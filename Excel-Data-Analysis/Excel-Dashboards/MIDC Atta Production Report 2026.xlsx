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tboffoodspvtltd.sharepoint.com/sites/TBOFProduction/Shared Documents/"/>
    </mc:Choice>
  </mc:AlternateContent>
  <xr:revisionPtr revIDLastSave="0" documentId="8_{F8C196EE-435F-404B-B725-E8DB7EF1E433}" xr6:coauthVersionLast="47" xr6:coauthVersionMax="47" xr10:uidLastSave="{00000000-0000-0000-0000-000000000000}"/>
  <bookViews>
    <workbookView xWindow="-108" yWindow="-108" windowWidth="23256" windowHeight="12456" firstSheet="17" activeTab="17" xr2:uid="{00000000-000D-0000-FFFF-FFFF00000000}"/>
  </bookViews>
  <sheets>
    <sheet name="Dashboard" sheetId="25" r:id="rId1"/>
    <sheet name="C6 JAN-FEB" sheetId="1" r:id="rId2"/>
    <sheet name=" C39 JAN-FEB" sheetId="2" r:id="rId3"/>
    <sheet name="C6 MARCH" sheetId="3" r:id="rId4"/>
    <sheet name="C39 MARCH" sheetId="4" r:id="rId5"/>
    <sheet name="C6 APRIL" sheetId="5" r:id="rId6"/>
    <sheet name="C39 APRIL" sheetId="6" r:id="rId7"/>
    <sheet name="C6-MAY" sheetId="7" r:id="rId8"/>
    <sheet name="C39-MAY" sheetId="8" r:id="rId9"/>
    <sheet name="C6-JUNE" sheetId="9" r:id="rId10"/>
    <sheet name="C39-JUNE" sheetId="10" r:id="rId11"/>
    <sheet name="C6-JULY" sheetId="12" r:id="rId12"/>
    <sheet name="C39-JULY" sheetId="13" r:id="rId13"/>
    <sheet name="C6-AUG" sheetId="15" r:id="rId14"/>
    <sheet name="C39-AUG" sheetId="14" r:id="rId15"/>
    <sheet name="C6 SEP" sheetId="19" r:id="rId16"/>
    <sheet name="C39 SEP" sheetId="18" r:id="rId17"/>
    <sheet name="C6 OCT" sheetId="23" r:id="rId18"/>
    <sheet name="C39 OCT" sheetId="24" r:id="rId19"/>
    <sheet name="Automation" sheetId="20" state="hidden" r:id="rId20"/>
    <sheet name="Sheet2" sheetId="17" state="hidden" r:id="rId21"/>
  </sheets>
  <externalReferences>
    <externalReference r:id="rId22"/>
  </externalReferences>
  <definedNames>
    <definedName name="_xlnm._FilterDatabase" localSheetId="2" hidden="1">' C39 JAN-FEB'!$A$2:$AA$61</definedName>
    <definedName name="_xlnm._FilterDatabase" localSheetId="6" hidden="1">'C39 APRIL'!$A$2:$O$29</definedName>
    <definedName name="_xlnm._FilterDatabase" localSheetId="4" hidden="1">'C39 MARCH'!$A$1:$AA$986</definedName>
    <definedName name="_xlnm._FilterDatabase" localSheetId="16" hidden="1">'C39 SEP'!$A$4:$Q$43</definedName>
    <definedName name="_xlnm._FilterDatabase" localSheetId="18" hidden="1">'C39 OCT'!$A$4:$Q$43</definedName>
    <definedName name="_xlnm._FilterDatabase" localSheetId="14" hidden="1">'C39-AUG'!$A$2:$R$19</definedName>
    <definedName name="_xlnm._FilterDatabase" localSheetId="12" hidden="1">'C39-JULY'!$A$2:$N$44</definedName>
    <definedName name="_xlnm._FilterDatabase" localSheetId="10" hidden="1">'C39-JUNE'!$A$2:$R$2</definedName>
    <definedName name="_xlnm._FilterDatabase" localSheetId="8" hidden="1">'C39-MAY'!$A$2:$O$28</definedName>
    <definedName name="_xlnm._FilterDatabase" localSheetId="5" hidden="1">'C6 APRIL'!$A$2:$O$42</definedName>
    <definedName name="_xlnm._FilterDatabase" localSheetId="1" hidden="1">'C6 JAN-FEB'!$A$2:$AA$85</definedName>
    <definedName name="_xlnm._FilterDatabase" localSheetId="3" hidden="1">'C6 MARCH'!$A$1:$AA$39</definedName>
    <definedName name="_xlnm._FilterDatabase" localSheetId="17" hidden="1">'C6 OCT'!$A$5:$P$60</definedName>
    <definedName name="_xlnm._FilterDatabase" localSheetId="15" hidden="1">'C6 SEP'!$A$5:$P$60</definedName>
    <definedName name="_xlnm._FilterDatabase" localSheetId="13" hidden="1">'C6-AUG'!$A$2:$Q$44</definedName>
    <definedName name="_xlnm._FilterDatabase" localSheetId="11" hidden="1">'C6-JULY'!$A$2:$Q$39</definedName>
    <definedName name="_xlnm._FilterDatabase" localSheetId="9" hidden="1">'C6-JUNE'!$A$2:$Q$2</definedName>
    <definedName name="_xlnm._FilterDatabase" localSheetId="7" hidden="1">'C6-MAY'!$A$2:$N$3</definedName>
    <definedName name="_xlnm._FilterDatabase" localSheetId="0" hidden="1">Dashboard!$A$41:$Q$625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2" i="20" l="1"/>
  <c r="AW22" i="20"/>
  <c r="AX22" i="20"/>
  <c r="AY22" i="20"/>
  <c r="AZ22" i="20"/>
  <c r="BA22" i="20"/>
  <c r="BB22" i="20"/>
  <c r="BC22" i="20"/>
  <c r="BD22" i="20"/>
  <c r="BE22" i="20"/>
  <c r="BF22" i="20"/>
  <c r="AV23" i="20"/>
  <c r="AW23" i="20"/>
  <c r="AX23" i="20"/>
  <c r="AY23" i="20"/>
  <c r="AZ23" i="20"/>
  <c r="BA23" i="20"/>
  <c r="BB23" i="20"/>
  <c r="BC23" i="20"/>
  <c r="BD23" i="20"/>
  <c r="BE23" i="20"/>
  <c r="BF23" i="20"/>
  <c r="AV24" i="20"/>
  <c r="AW24" i="20"/>
  <c r="AX24" i="20"/>
  <c r="AY24" i="20"/>
  <c r="AZ24" i="20"/>
  <c r="BA24" i="20"/>
  <c r="BB24" i="20"/>
  <c r="BC24" i="20"/>
  <c r="BD24" i="20"/>
  <c r="BE24" i="20"/>
  <c r="BF24" i="20"/>
  <c r="AU22" i="20"/>
  <c r="AU24" i="20"/>
  <c r="AF23" i="20" a="1"/>
  <c r="AF23" i="20"/>
  <c r="AU23" i="20" s="1"/>
  <c r="AV12" i="20"/>
  <c r="AW12" i="20"/>
  <c r="AX12" i="20"/>
  <c r="AY12" i="20"/>
  <c r="AZ12" i="20"/>
  <c r="BA12" i="20"/>
  <c r="BB12" i="20"/>
  <c r="BC12" i="20"/>
  <c r="BD12" i="20"/>
  <c r="BE12" i="20"/>
  <c r="BF12" i="20"/>
  <c r="BG12" i="20"/>
  <c r="BH12" i="20"/>
  <c r="AV13" i="20"/>
  <c r="AW13" i="20"/>
  <c r="AX13" i="20"/>
  <c r="AY13" i="20"/>
  <c r="AZ13" i="20"/>
  <c r="BA13" i="20"/>
  <c r="BB13" i="20"/>
  <c r="BC13" i="20"/>
  <c r="BD13" i="20"/>
  <c r="BE13" i="20"/>
  <c r="BF13" i="20"/>
  <c r="BG13" i="20"/>
  <c r="BH13" i="20"/>
  <c r="AV14" i="20"/>
  <c r="AW14" i="20"/>
  <c r="AX14" i="20"/>
  <c r="AY14" i="20"/>
  <c r="AZ14" i="20"/>
  <c r="BA14" i="20"/>
  <c r="BB14" i="20"/>
  <c r="BC14" i="20"/>
  <c r="BD14" i="20"/>
  <c r="BE14" i="20"/>
  <c r="BF14" i="20"/>
  <c r="BG14" i="20"/>
  <c r="BH14" i="20"/>
  <c r="AV15" i="20"/>
  <c r="AW15" i="20"/>
  <c r="AX15" i="20"/>
  <c r="AY15" i="20"/>
  <c r="AZ15" i="20"/>
  <c r="BA15" i="20"/>
  <c r="BB15" i="20"/>
  <c r="BC15" i="20"/>
  <c r="BD15" i="20"/>
  <c r="BE15" i="20"/>
  <c r="BF15" i="20"/>
  <c r="BG15" i="20"/>
  <c r="BH15" i="20"/>
  <c r="AU12" i="20"/>
  <c r="AU14" i="20"/>
  <c r="AU15" i="20"/>
  <c r="AV4" i="20"/>
  <c r="AW4" i="20"/>
  <c r="AX4" i="20"/>
  <c r="AY4" i="20"/>
  <c r="AZ4" i="20"/>
  <c r="BA4" i="20"/>
  <c r="BB4" i="20"/>
  <c r="BC4" i="20"/>
  <c r="BD4" i="20"/>
  <c r="BE4" i="20"/>
  <c r="BF4" i="20"/>
  <c r="BG4" i="20"/>
  <c r="BH4" i="20"/>
  <c r="AV6" i="20"/>
  <c r="AW6" i="20"/>
  <c r="AX6" i="20"/>
  <c r="AY6" i="20"/>
  <c r="AZ6" i="20"/>
  <c r="BA6" i="20"/>
  <c r="BB6" i="20"/>
  <c r="BC6" i="20"/>
  <c r="BD6" i="20"/>
  <c r="BE6" i="20"/>
  <c r="BF6" i="20"/>
  <c r="BG6" i="20"/>
  <c r="BH6" i="20"/>
  <c r="AV7" i="20"/>
  <c r="AW7" i="20"/>
  <c r="AX7" i="20"/>
  <c r="AY7" i="20"/>
  <c r="AZ7" i="20"/>
  <c r="BA7" i="20"/>
  <c r="BB7" i="20"/>
  <c r="BC7" i="20"/>
  <c r="BD7" i="20"/>
  <c r="BE7" i="20"/>
  <c r="BF7" i="20"/>
  <c r="BG7" i="20"/>
  <c r="BH7" i="20"/>
  <c r="AU4" i="20"/>
  <c r="AU6" i="20"/>
  <c r="AU7" i="20"/>
  <c r="AF5" i="20" a="1"/>
  <c r="AW5" i="20" s="1"/>
  <c r="AF13" i="20" a="1"/>
  <c r="AF13" i="20" s="1"/>
  <c r="AU13" i="20" s="1"/>
  <c r="J6" i="24"/>
  <c r="N6" i="24"/>
  <c r="O6" i="24"/>
  <c r="P6" i="24"/>
  <c r="J7" i="24"/>
  <c r="N7" i="24"/>
  <c r="O7" i="24"/>
  <c r="P7" i="24"/>
  <c r="J8" i="24"/>
  <c r="N8" i="24"/>
  <c r="O8" i="24"/>
  <c r="P8" i="24"/>
  <c r="J9" i="24"/>
  <c r="N9" i="24"/>
  <c r="O9" i="24"/>
  <c r="P9" i="24"/>
  <c r="J10" i="24"/>
  <c r="N10" i="24"/>
  <c r="O10" i="24"/>
  <c r="P10" i="24"/>
  <c r="J11" i="24"/>
  <c r="N11" i="24"/>
  <c r="O11" i="24"/>
  <c r="P11" i="24"/>
  <c r="J12" i="24"/>
  <c r="N12" i="24"/>
  <c r="O12" i="24"/>
  <c r="P12" i="24"/>
  <c r="G13" i="24"/>
  <c r="J13" i="24"/>
  <c r="N13" i="24"/>
  <c r="O13" i="24"/>
  <c r="P13" i="24"/>
  <c r="J6" i="23"/>
  <c r="N6" i="23"/>
  <c r="O6" i="23"/>
  <c r="P6" i="23"/>
  <c r="J7" i="23"/>
  <c r="N7" i="23"/>
  <c r="O7" i="23"/>
  <c r="P7" i="23"/>
  <c r="J8" i="23"/>
  <c r="N8" i="23"/>
  <c r="O8" i="23"/>
  <c r="P8" i="23"/>
  <c r="J9" i="23"/>
  <c r="N9" i="23"/>
  <c r="O9" i="23"/>
  <c r="P9" i="23"/>
  <c r="J10" i="23"/>
  <c r="N10" i="23"/>
  <c r="O10" i="23"/>
  <c r="P10" i="23"/>
  <c r="J11" i="23"/>
  <c r="N11" i="23"/>
  <c r="O11" i="23"/>
  <c r="P11" i="23"/>
  <c r="J12" i="23"/>
  <c r="N12" i="23"/>
  <c r="O12" i="23"/>
  <c r="P12" i="23"/>
  <c r="J13" i="23"/>
  <c r="N13" i="23"/>
  <c r="O13" i="23"/>
  <c r="P13" i="23"/>
  <c r="J14" i="23"/>
  <c r="N14" i="23"/>
  <c r="O14" i="23"/>
  <c r="P14" i="23"/>
  <c r="J6" i="18"/>
  <c r="N6" i="18"/>
  <c r="O6" i="18"/>
  <c r="P6" i="18"/>
  <c r="J7" i="18"/>
  <c r="N7" i="18"/>
  <c r="O7" i="18"/>
  <c r="P7" i="18"/>
  <c r="J8" i="18"/>
  <c r="N8" i="18"/>
  <c r="O8" i="18"/>
  <c r="P8" i="18"/>
  <c r="N9" i="18"/>
  <c r="O9" i="18"/>
  <c r="P9" i="18"/>
  <c r="J10" i="18"/>
  <c r="N10" i="18"/>
  <c r="O10" i="18"/>
  <c r="P10" i="18"/>
  <c r="J11" i="18"/>
  <c r="N11" i="18"/>
  <c r="O11" i="18"/>
  <c r="P11" i="18"/>
  <c r="J12" i="18"/>
  <c r="N12" i="18"/>
  <c r="O12" i="18"/>
  <c r="P12" i="18"/>
  <c r="J13" i="18"/>
  <c r="N13" i="18"/>
  <c r="O13" i="18"/>
  <c r="P13" i="18"/>
  <c r="J14" i="18"/>
  <c r="N14" i="18"/>
  <c r="O14" i="18"/>
  <c r="P14" i="18"/>
  <c r="J15" i="18"/>
  <c r="N15" i="18"/>
  <c r="O15" i="18"/>
  <c r="P15" i="18"/>
  <c r="J16" i="18"/>
  <c r="N16" i="18"/>
  <c r="O16" i="18"/>
  <c r="P16" i="18"/>
  <c r="J17" i="18"/>
  <c r="N17" i="18"/>
  <c r="O17" i="18"/>
  <c r="P17" i="18"/>
  <c r="J18" i="18"/>
  <c r="N18" i="18"/>
  <c r="O18" i="18"/>
  <c r="P18" i="18"/>
  <c r="O19" i="18"/>
  <c r="P19" i="18"/>
  <c r="J20" i="18"/>
  <c r="O20" i="18"/>
  <c r="P20" i="18"/>
  <c r="N21" i="18"/>
  <c r="O21" i="18"/>
  <c r="P21" i="18"/>
  <c r="N22" i="18"/>
  <c r="P22" i="18"/>
  <c r="J23" i="18"/>
  <c r="N23" i="18"/>
  <c r="O23" i="18"/>
  <c r="P23" i="18"/>
  <c r="J24" i="18"/>
  <c r="N24" i="18"/>
  <c r="O24" i="18"/>
  <c r="P24" i="18"/>
  <c r="J25" i="18"/>
  <c r="N25" i="18"/>
  <c r="O25" i="18"/>
  <c r="P25" i="18"/>
  <c r="J26" i="18"/>
  <c r="N26" i="18"/>
  <c r="O26" i="18"/>
  <c r="P26" i="18"/>
  <c r="J27" i="18"/>
  <c r="N27" i="18"/>
  <c r="O27" i="18"/>
  <c r="P27" i="18"/>
  <c r="J28" i="18"/>
  <c r="N28" i="18"/>
  <c r="O28" i="18"/>
  <c r="P28" i="18"/>
  <c r="J29" i="18"/>
  <c r="N29" i="18"/>
  <c r="O29" i="18"/>
  <c r="P29" i="18"/>
  <c r="J30" i="18"/>
  <c r="N30" i="18"/>
  <c r="O30" i="18"/>
  <c r="P30" i="18"/>
  <c r="J31" i="18"/>
  <c r="N31" i="18"/>
  <c r="O31" i="18"/>
  <c r="P31" i="18"/>
  <c r="J32" i="18"/>
  <c r="N32" i="18"/>
  <c r="O32" i="18"/>
  <c r="P32" i="18"/>
  <c r="J33" i="18"/>
  <c r="N33" i="18"/>
  <c r="O33" i="18"/>
  <c r="P33" i="18"/>
  <c r="J34" i="18"/>
  <c r="N34" i="18"/>
  <c r="O34" i="18"/>
  <c r="P34" i="18"/>
  <c r="J6" i="19"/>
  <c r="N6" i="19"/>
  <c r="O6" i="19"/>
  <c r="P6" i="19"/>
  <c r="J7" i="19"/>
  <c r="N7" i="19"/>
  <c r="O7" i="19"/>
  <c r="P7" i="19"/>
  <c r="J8" i="19"/>
  <c r="N8" i="19"/>
  <c r="O8" i="19"/>
  <c r="P8" i="19"/>
  <c r="J9" i="19"/>
  <c r="N9" i="19"/>
  <c r="O9" i="19"/>
  <c r="P9" i="19"/>
  <c r="J10" i="19"/>
  <c r="N10" i="19"/>
  <c r="O10" i="19"/>
  <c r="P10" i="19"/>
  <c r="J11" i="19"/>
  <c r="N11" i="19"/>
  <c r="O11" i="19"/>
  <c r="P11" i="19"/>
  <c r="J12" i="19"/>
  <c r="N12" i="19"/>
  <c r="O12" i="19"/>
  <c r="P12" i="19"/>
  <c r="J13" i="19"/>
  <c r="N13" i="19"/>
  <c r="O13" i="19"/>
  <c r="P13" i="19"/>
  <c r="J14" i="19"/>
  <c r="N14" i="19"/>
  <c r="O14" i="19"/>
  <c r="P14" i="19"/>
  <c r="J15" i="19"/>
  <c r="N15" i="19"/>
  <c r="O15" i="19"/>
  <c r="P15" i="19"/>
  <c r="J16" i="19"/>
  <c r="N16" i="19"/>
  <c r="O16" i="19"/>
  <c r="P16" i="19"/>
  <c r="J17" i="19"/>
  <c r="N17" i="19"/>
  <c r="O17" i="19"/>
  <c r="P17" i="19"/>
  <c r="J18" i="19"/>
  <c r="N18" i="19"/>
  <c r="O18" i="19"/>
  <c r="P18" i="19"/>
  <c r="J19" i="19"/>
  <c r="N19" i="19"/>
  <c r="O19" i="19"/>
  <c r="P19" i="19"/>
  <c r="J20" i="19"/>
  <c r="N20" i="19"/>
  <c r="O20" i="19"/>
  <c r="P20" i="19"/>
  <c r="J21" i="19"/>
  <c r="N21" i="19"/>
  <c r="O21" i="19"/>
  <c r="P21" i="19"/>
  <c r="J22" i="19"/>
  <c r="N22" i="19"/>
  <c r="O22" i="19"/>
  <c r="P22" i="19"/>
  <c r="J23" i="19"/>
  <c r="N23" i="19"/>
  <c r="O23" i="19"/>
  <c r="P23" i="19"/>
  <c r="J24" i="19"/>
  <c r="N24" i="19"/>
  <c r="O24" i="19"/>
  <c r="P24" i="19"/>
  <c r="J25" i="19"/>
  <c r="N25" i="19"/>
  <c r="O25" i="19"/>
  <c r="P25" i="19"/>
  <c r="J26" i="19"/>
  <c r="N26" i="19"/>
  <c r="O26" i="19"/>
  <c r="P26" i="19"/>
  <c r="J27" i="19"/>
  <c r="N27" i="19"/>
  <c r="O27" i="19"/>
  <c r="P27" i="19"/>
  <c r="J28" i="19"/>
  <c r="N28" i="19"/>
  <c r="O28" i="19"/>
  <c r="P28" i="19"/>
  <c r="J29" i="19"/>
  <c r="N29" i="19"/>
  <c r="O29" i="19"/>
  <c r="P29" i="19"/>
  <c r="J30" i="19"/>
  <c r="N30" i="19"/>
  <c r="O30" i="19"/>
  <c r="P30" i="19"/>
  <c r="J31" i="19"/>
  <c r="N31" i="19"/>
  <c r="O31" i="19"/>
  <c r="P31" i="19"/>
  <c r="J32" i="19"/>
  <c r="N32" i="19"/>
  <c r="O32" i="19"/>
  <c r="P32" i="19"/>
  <c r="J33" i="19"/>
  <c r="N33" i="19"/>
  <c r="O33" i="19"/>
  <c r="P33" i="19"/>
  <c r="J34" i="19"/>
  <c r="N34" i="19"/>
  <c r="O34" i="19"/>
  <c r="P34" i="19"/>
  <c r="J35" i="19"/>
  <c r="N35" i="19"/>
  <c r="O35" i="19"/>
  <c r="P35" i="19"/>
  <c r="J36" i="19"/>
  <c r="N36" i="19"/>
  <c r="O36" i="19"/>
  <c r="P36" i="19"/>
  <c r="J37" i="19"/>
  <c r="N37" i="19"/>
  <c r="O37" i="19"/>
  <c r="P37" i="19"/>
  <c r="J38" i="19"/>
  <c r="N38" i="19"/>
  <c r="O38" i="19"/>
  <c r="P38" i="19"/>
  <c r="J39" i="19"/>
  <c r="N39" i="19"/>
  <c r="O39" i="19"/>
  <c r="P39" i="19"/>
  <c r="J40" i="19"/>
  <c r="N40" i="19"/>
  <c r="O40" i="19"/>
  <c r="P40" i="19"/>
  <c r="J41" i="19"/>
  <c r="N41" i="19"/>
  <c r="O41" i="19"/>
  <c r="P41" i="19"/>
  <c r="J42" i="19"/>
  <c r="N42" i="19"/>
  <c r="O42" i="19"/>
  <c r="P42" i="19"/>
  <c r="J43" i="19"/>
  <c r="N43" i="19"/>
  <c r="O43" i="19"/>
  <c r="P43" i="19"/>
  <c r="J44" i="19"/>
  <c r="N44" i="19"/>
  <c r="O44" i="19"/>
  <c r="P44" i="19"/>
  <c r="J4" i="14"/>
  <c r="N4" i="14"/>
  <c r="O4" i="14"/>
  <c r="P4" i="14"/>
  <c r="J5" i="14"/>
  <c r="N5" i="14"/>
  <c r="O5" i="14"/>
  <c r="P5" i="14"/>
  <c r="J6" i="14"/>
  <c r="N6" i="14"/>
  <c r="O6" i="14"/>
  <c r="P6" i="14"/>
  <c r="J7" i="14"/>
  <c r="N7" i="14"/>
  <c r="O7" i="14"/>
  <c r="P7" i="14"/>
  <c r="J8" i="14"/>
  <c r="N8" i="14"/>
  <c r="O8" i="14"/>
  <c r="P8" i="14"/>
  <c r="J9" i="14"/>
  <c r="N9" i="14"/>
  <c r="O9" i="14"/>
  <c r="P9" i="14"/>
  <c r="J10" i="14"/>
  <c r="N10" i="14"/>
  <c r="O10" i="14"/>
  <c r="P10" i="14"/>
  <c r="J11" i="14"/>
  <c r="N11" i="14"/>
  <c r="O11" i="14"/>
  <c r="P11" i="14"/>
  <c r="J12" i="14"/>
  <c r="N12" i="14"/>
  <c r="O12" i="14"/>
  <c r="P12" i="14"/>
  <c r="J13" i="14"/>
  <c r="N13" i="14"/>
  <c r="O13" i="14"/>
  <c r="P13" i="14"/>
  <c r="J14" i="14"/>
  <c r="N14" i="14"/>
  <c r="O14" i="14"/>
  <c r="P14" i="14"/>
  <c r="N15" i="14"/>
  <c r="O15" i="14"/>
  <c r="P15" i="14"/>
  <c r="J16" i="14"/>
  <c r="N16" i="14"/>
  <c r="O16" i="14"/>
  <c r="P16" i="14"/>
  <c r="J17" i="14"/>
  <c r="N17" i="14"/>
  <c r="O17" i="14"/>
  <c r="P17" i="14"/>
  <c r="J18" i="14"/>
  <c r="N18" i="14"/>
  <c r="O18" i="14"/>
  <c r="P18" i="14"/>
  <c r="J19" i="14"/>
  <c r="N19" i="14"/>
  <c r="O19" i="14"/>
  <c r="P19" i="14"/>
  <c r="J22" i="14"/>
  <c r="N22" i="14"/>
  <c r="O22" i="14"/>
  <c r="P22" i="14"/>
  <c r="J23" i="14"/>
  <c r="N23" i="14"/>
  <c r="O23" i="14"/>
  <c r="P23" i="14"/>
  <c r="J24" i="14"/>
  <c r="N24" i="14"/>
  <c r="O24" i="14"/>
  <c r="P24" i="14"/>
  <c r="J25" i="14"/>
  <c r="N25" i="14"/>
  <c r="O25" i="14"/>
  <c r="P25" i="14"/>
  <c r="J26" i="14"/>
  <c r="N26" i="14"/>
  <c r="O26" i="14"/>
  <c r="P26" i="14"/>
  <c r="J27" i="14"/>
  <c r="N27" i="14"/>
  <c r="O27" i="14"/>
  <c r="P27" i="14"/>
  <c r="J28" i="14"/>
  <c r="N28" i="14"/>
  <c r="O28" i="14"/>
  <c r="P28" i="14"/>
  <c r="J29" i="14"/>
  <c r="N29" i="14"/>
  <c r="O29" i="14"/>
  <c r="P29" i="14"/>
  <c r="N30" i="14"/>
  <c r="O30" i="14"/>
  <c r="P30" i="14"/>
  <c r="J31" i="14"/>
  <c r="N31" i="14"/>
  <c r="O31" i="14"/>
  <c r="P31" i="14"/>
  <c r="J32" i="14"/>
  <c r="N32" i="14"/>
  <c r="O32" i="14"/>
  <c r="P32" i="14"/>
  <c r="J33" i="14"/>
  <c r="N33" i="14"/>
  <c r="O33" i="14"/>
  <c r="P33" i="14"/>
  <c r="J34" i="14"/>
  <c r="N34" i="14"/>
  <c r="O34" i="14"/>
  <c r="P34" i="14"/>
  <c r="J35" i="14"/>
  <c r="N35" i="14"/>
  <c r="O35" i="14"/>
  <c r="P35" i="14"/>
  <c r="J36" i="14"/>
  <c r="N36" i="14"/>
  <c r="O36" i="14"/>
  <c r="P36" i="14"/>
  <c r="J37" i="14"/>
  <c r="N37" i="14"/>
  <c r="O37" i="14"/>
  <c r="P37" i="14"/>
  <c r="J38" i="14"/>
  <c r="N38" i="14"/>
  <c r="O38" i="14"/>
  <c r="P38" i="14"/>
  <c r="J39" i="14"/>
  <c r="N39" i="14"/>
  <c r="O39" i="14"/>
  <c r="P39" i="14"/>
  <c r="J40" i="14"/>
  <c r="N40" i="14"/>
  <c r="O40" i="14"/>
  <c r="P40" i="14"/>
  <c r="J4" i="15"/>
  <c r="N4" i="15"/>
  <c r="O4" i="15"/>
  <c r="P4" i="15"/>
  <c r="J5" i="15"/>
  <c r="N5" i="15"/>
  <c r="O5" i="15"/>
  <c r="P5" i="15"/>
  <c r="J6" i="15"/>
  <c r="N6" i="15"/>
  <c r="O6" i="15"/>
  <c r="P6" i="15"/>
  <c r="J7" i="15"/>
  <c r="N7" i="15"/>
  <c r="O7" i="15"/>
  <c r="P7" i="15"/>
  <c r="J8" i="15"/>
  <c r="N8" i="15"/>
  <c r="O8" i="15"/>
  <c r="P8" i="15"/>
  <c r="J9" i="15"/>
  <c r="N9" i="15"/>
  <c r="O9" i="15"/>
  <c r="P9" i="15"/>
  <c r="J10" i="15"/>
  <c r="N10" i="15"/>
  <c r="O10" i="15"/>
  <c r="P10" i="15"/>
  <c r="J11" i="15"/>
  <c r="N11" i="15"/>
  <c r="O11" i="15"/>
  <c r="P11" i="15"/>
  <c r="J12" i="15"/>
  <c r="N12" i="15"/>
  <c r="O12" i="15"/>
  <c r="P12" i="15"/>
  <c r="J13" i="15"/>
  <c r="N13" i="15"/>
  <c r="O13" i="15"/>
  <c r="P13" i="15"/>
  <c r="J14" i="15"/>
  <c r="N14" i="15"/>
  <c r="O14" i="15"/>
  <c r="P14" i="15"/>
  <c r="J15" i="15"/>
  <c r="N15" i="15"/>
  <c r="O15" i="15"/>
  <c r="P15" i="15"/>
  <c r="J16" i="15"/>
  <c r="N16" i="15"/>
  <c r="O16" i="15"/>
  <c r="P16" i="15"/>
  <c r="J17" i="15"/>
  <c r="N17" i="15"/>
  <c r="O17" i="15"/>
  <c r="P17" i="15"/>
  <c r="J18" i="15"/>
  <c r="N18" i="15"/>
  <c r="O18" i="15"/>
  <c r="P18" i="15"/>
  <c r="J19" i="15"/>
  <c r="N19" i="15"/>
  <c r="O19" i="15"/>
  <c r="P19" i="15"/>
  <c r="J20" i="15"/>
  <c r="N20" i="15"/>
  <c r="O20" i="15"/>
  <c r="P20" i="15"/>
  <c r="J21" i="15"/>
  <c r="N21" i="15"/>
  <c r="O21" i="15"/>
  <c r="P21" i="15"/>
  <c r="J22" i="15"/>
  <c r="N22" i="15"/>
  <c r="O22" i="15"/>
  <c r="P22" i="15"/>
  <c r="J23" i="15"/>
  <c r="N23" i="15"/>
  <c r="O23" i="15"/>
  <c r="P23" i="15"/>
  <c r="J24" i="15"/>
  <c r="N24" i="15"/>
  <c r="O24" i="15"/>
  <c r="P24" i="15"/>
  <c r="J25" i="15"/>
  <c r="N25" i="15"/>
  <c r="O25" i="15"/>
  <c r="P25" i="15"/>
  <c r="J26" i="15"/>
  <c r="N26" i="15"/>
  <c r="O26" i="15"/>
  <c r="P26" i="15"/>
  <c r="J27" i="15"/>
  <c r="N27" i="15"/>
  <c r="O27" i="15"/>
  <c r="P27" i="15"/>
  <c r="J28" i="15"/>
  <c r="N28" i="15"/>
  <c r="O28" i="15"/>
  <c r="P28" i="15"/>
  <c r="J29" i="15"/>
  <c r="N29" i="15"/>
  <c r="O29" i="15"/>
  <c r="P29" i="15"/>
  <c r="J30" i="15"/>
  <c r="N30" i="15"/>
  <c r="O30" i="15"/>
  <c r="P30" i="15"/>
  <c r="J31" i="15"/>
  <c r="N31" i="15"/>
  <c r="O31" i="15"/>
  <c r="P31" i="15"/>
  <c r="J32" i="15"/>
  <c r="N32" i="15"/>
  <c r="O32" i="15"/>
  <c r="P32" i="15"/>
  <c r="J33" i="15"/>
  <c r="N33" i="15"/>
  <c r="O33" i="15"/>
  <c r="P33" i="15"/>
  <c r="J34" i="15"/>
  <c r="N34" i="15"/>
  <c r="O34" i="15"/>
  <c r="P34" i="15"/>
  <c r="J35" i="15"/>
  <c r="N35" i="15"/>
  <c r="O35" i="15"/>
  <c r="P35" i="15"/>
  <c r="J36" i="15"/>
  <c r="N36" i="15"/>
  <c r="O36" i="15"/>
  <c r="P36" i="15"/>
  <c r="J37" i="15"/>
  <c r="N37" i="15"/>
  <c r="O37" i="15"/>
  <c r="P37" i="15"/>
  <c r="J38" i="15"/>
  <c r="N38" i="15"/>
  <c r="O38" i="15"/>
  <c r="P38" i="15"/>
  <c r="J39" i="15"/>
  <c r="N39" i="15"/>
  <c r="O39" i="15"/>
  <c r="P39" i="15"/>
  <c r="J40" i="15"/>
  <c r="N40" i="15"/>
  <c r="O40" i="15"/>
  <c r="P40" i="15"/>
  <c r="J41" i="15"/>
  <c r="N41" i="15"/>
  <c r="O41" i="15"/>
  <c r="P41" i="15"/>
  <c r="J42" i="15"/>
  <c r="N42" i="15"/>
  <c r="O42" i="15"/>
  <c r="P42" i="15"/>
  <c r="J43" i="15"/>
  <c r="N43" i="15"/>
  <c r="O43" i="15"/>
  <c r="P43" i="15"/>
  <c r="J4" i="13"/>
  <c r="N4" i="13"/>
  <c r="O4" i="13"/>
  <c r="P4" i="13"/>
  <c r="J5" i="13"/>
  <c r="N5" i="13"/>
  <c r="O5" i="13"/>
  <c r="P5" i="13"/>
  <c r="J6" i="13"/>
  <c r="N6" i="13"/>
  <c r="O6" i="13"/>
  <c r="P6" i="13"/>
  <c r="J7" i="13"/>
  <c r="N7" i="13"/>
  <c r="O7" i="13"/>
  <c r="P7" i="13"/>
  <c r="J8" i="13"/>
  <c r="N8" i="13"/>
  <c r="O8" i="13"/>
  <c r="P8" i="13"/>
  <c r="J9" i="13"/>
  <c r="N9" i="13"/>
  <c r="O9" i="13"/>
  <c r="P9" i="13"/>
  <c r="P10" i="13"/>
  <c r="J11" i="13"/>
  <c r="N11" i="13"/>
  <c r="O11" i="13"/>
  <c r="P11" i="13"/>
  <c r="N12" i="13"/>
  <c r="O12" i="13"/>
  <c r="P12" i="13"/>
  <c r="J13" i="13"/>
  <c r="N13" i="13"/>
  <c r="O13" i="13"/>
  <c r="P13" i="13"/>
  <c r="N14" i="13"/>
  <c r="O14" i="13"/>
  <c r="P14" i="13"/>
  <c r="J15" i="13"/>
  <c r="N15" i="13"/>
  <c r="O15" i="13"/>
  <c r="P15" i="13"/>
  <c r="J16" i="13"/>
  <c r="N16" i="13"/>
  <c r="O16" i="13"/>
  <c r="P16" i="13"/>
  <c r="J17" i="13"/>
  <c r="N17" i="13"/>
  <c r="O17" i="13"/>
  <c r="P17" i="13"/>
  <c r="J19" i="13"/>
  <c r="N19" i="13"/>
  <c r="O19" i="13"/>
  <c r="P19" i="13"/>
  <c r="J20" i="13"/>
  <c r="N20" i="13"/>
  <c r="O20" i="13"/>
  <c r="J21" i="13"/>
  <c r="N21" i="13"/>
  <c r="O21" i="13"/>
  <c r="P21" i="13"/>
  <c r="E22" i="13"/>
  <c r="J22" i="13"/>
  <c r="N22" i="13"/>
  <c r="O22" i="13"/>
  <c r="P22" i="13"/>
  <c r="J23" i="13"/>
  <c r="N23" i="13"/>
  <c r="O23" i="13"/>
  <c r="P23" i="13"/>
  <c r="J24" i="13"/>
  <c r="N24" i="13"/>
  <c r="O24" i="13"/>
  <c r="P24" i="13"/>
  <c r="J25" i="13"/>
  <c r="N25" i="13"/>
  <c r="O25" i="13"/>
  <c r="P25" i="13"/>
  <c r="J26" i="13"/>
  <c r="N26" i="13"/>
  <c r="O26" i="13"/>
  <c r="P26" i="13"/>
  <c r="J27" i="13"/>
  <c r="N27" i="13"/>
  <c r="O27" i="13"/>
  <c r="P27" i="13"/>
  <c r="J28" i="13"/>
  <c r="N28" i="13"/>
  <c r="O28" i="13"/>
  <c r="P28" i="13"/>
  <c r="J29" i="13"/>
  <c r="N29" i="13"/>
  <c r="O29" i="13"/>
  <c r="P29" i="13"/>
  <c r="J30" i="13"/>
  <c r="N30" i="13"/>
  <c r="O30" i="13"/>
  <c r="P30" i="13"/>
  <c r="J31" i="13"/>
  <c r="N31" i="13"/>
  <c r="O31" i="13"/>
  <c r="P31" i="13"/>
  <c r="J32" i="13"/>
  <c r="N32" i="13"/>
  <c r="O32" i="13"/>
  <c r="P32" i="13"/>
  <c r="J4" i="12"/>
  <c r="N4" i="12"/>
  <c r="O4" i="12"/>
  <c r="P4" i="12"/>
  <c r="J5" i="12"/>
  <c r="N5" i="12"/>
  <c r="O5" i="12"/>
  <c r="P5" i="12"/>
  <c r="J6" i="12"/>
  <c r="N6" i="12"/>
  <c r="O6" i="12"/>
  <c r="P6" i="12"/>
  <c r="J7" i="12"/>
  <c r="N7" i="12"/>
  <c r="O7" i="12"/>
  <c r="P7" i="12"/>
  <c r="J8" i="12"/>
  <c r="N8" i="12"/>
  <c r="O8" i="12"/>
  <c r="P8" i="12"/>
  <c r="J9" i="12"/>
  <c r="N9" i="12"/>
  <c r="O9" i="12"/>
  <c r="P9" i="12"/>
  <c r="J10" i="12"/>
  <c r="N10" i="12"/>
  <c r="O10" i="12"/>
  <c r="P10" i="12"/>
  <c r="J11" i="12"/>
  <c r="N11" i="12"/>
  <c r="O11" i="12"/>
  <c r="P11" i="12"/>
  <c r="J12" i="12"/>
  <c r="N12" i="12"/>
  <c r="O12" i="12"/>
  <c r="P12" i="12"/>
  <c r="J13" i="12"/>
  <c r="N13" i="12"/>
  <c r="O13" i="12"/>
  <c r="P13" i="12"/>
  <c r="J14" i="12"/>
  <c r="N14" i="12"/>
  <c r="O14" i="12"/>
  <c r="P14" i="12"/>
  <c r="J15" i="12"/>
  <c r="N15" i="12"/>
  <c r="O15" i="12"/>
  <c r="P15" i="12"/>
  <c r="J16" i="12"/>
  <c r="N16" i="12"/>
  <c r="O16" i="12"/>
  <c r="P16" i="12"/>
  <c r="J17" i="12"/>
  <c r="N17" i="12"/>
  <c r="O17" i="12"/>
  <c r="P17" i="12"/>
  <c r="J18" i="12"/>
  <c r="N18" i="12"/>
  <c r="O18" i="12"/>
  <c r="P18" i="12"/>
  <c r="J19" i="12"/>
  <c r="N19" i="12"/>
  <c r="O19" i="12"/>
  <c r="P19" i="12"/>
  <c r="J20" i="12"/>
  <c r="N20" i="12"/>
  <c r="O20" i="12"/>
  <c r="P20" i="12"/>
  <c r="J21" i="12"/>
  <c r="N21" i="12"/>
  <c r="O21" i="12"/>
  <c r="P21" i="12"/>
  <c r="J22" i="12"/>
  <c r="N22" i="12"/>
  <c r="O22" i="12"/>
  <c r="P22" i="12"/>
  <c r="J23" i="12"/>
  <c r="N23" i="12"/>
  <c r="O23" i="12"/>
  <c r="P23" i="12"/>
  <c r="J24" i="12"/>
  <c r="N24" i="12"/>
  <c r="O24" i="12"/>
  <c r="P24" i="12"/>
  <c r="J25" i="12"/>
  <c r="N25" i="12"/>
  <c r="O25" i="12"/>
  <c r="P25" i="12"/>
  <c r="J26" i="12"/>
  <c r="N26" i="12"/>
  <c r="O26" i="12"/>
  <c r="P26" i="12"/>
  <c r="J27" i="12"/>
  <c r="N27" i="12"/>
  <c r="O27" i="12"/>
  <c r="P27" i="12"/>
  <c r="J28" i="12"/>
  <c r="N28" i="12"/>
  <c r="O28" i="12"/>
  <c r="P28" i="12"/>
  <c r="J29" i="12"/>
  <c r="N29" i="12"/>
  <c r="O29" i="12"/>
  <c r="P29" i="12"/>
  <c r="J30" i="12"/>
  <c r="N30" i="12"/>
  <c r="O30" i="12"/>
  <c r="P30" i="12"/>
  <c r="J31" i="12"/>
  <c r="N31" i="12"/>
  <c r="O31" i="12"/>
  <c r="P31" i="12"/>
  <c r="J32" i="12"/>
  <c r="N32" i="12"/>
  <c r="O32" i="12"/>
  <c r="P32" i="12"/>
  <c r="J33" i="12"/>
  <c r="N33" i="12"/>
  <c r="O33" i="12"/>
  <c r="P33" i="12"/>
  <c r="J34" i="12"/>
  <c r="N34" i="12"/>
  <c r="O34" i="12"/>
  <c r="P34" i="12"/>
  <c r="J35" i="12"/>
  <c r="N35" i="12"/>
  <c r="O35" i="12"/>
  <c r="P35" i="12"/>
  <c r="J36" i="12"/>
  <c r="N36" i="12"/>
  <c r="O36" i="12"/>
  <c r="P36" i="12"/>
  <c r="J4" i="10"/>
  <c r="N4" i="10"/>
  <c r="O4" i="10"/>
  <c r="P4" i="10"/>
  <c r="J5" i="10"/>
  <c r="N5" i="10"/>
  <c r="O5" i="10"/>
  <c r="P5" i="10"/>
  <c r="J6" i="10"/>
  <c r="N6" i="10"/>
  <c r="O6" i="10"/>
  <c r="P6" i="10"/>
  <c r="J7" i="10"/>
  <c r="N7" i="10"/>
  <c r="O7" i="10"/>
  <c r="P7" i="10"/>
  <c r="J8" i="10"/>
  <c r="N8" i="10"/>
  <c r="O8" i="10"/>
  <c r="P8" i="10"/>
  <c r="J9" i="10"/>
  <c r="N9" i="10"/>
  <c r="O9" i="10"/>
  <c r="P9" i="10"/>
  <c r="J10" i="10"/>
  <c r="N10" i="10"/>
  <c r="O10" i="10"/>
  <c r="P10" i="10"/>
  <c r="J11" i="10"/>
  <c r="N11" i="10"/>
  <c r="O11" i="10"/>
  <c r="P11" i="10"/>
  <c r="J12" i="10"/>
  <c r="N12" i="10"/>
  <c r="O12" i="10"/>
  <c r="P12" i="10"/>
  <c r="J13" i="10"/>
  <c r="N13" i="10"/>
  <c r="O13" i="10"/>
  <c r="P13" i="10"/>
  <c r="J14" i="10"/>
  <c r="N14" i="10"/>
  <c r="O14" i="10"/>
  <c r="P14" i="10"/>
  <c r="J15" i="10"/>
  <c r="N15" i="10"/>
  <c r="O15" i="10"/>
  <c r="P15" i="10"/>
  <c r="J16" i="10"/>
  <c r="N16" i="10"/>
  <c r="O16" i="10"/>
  <c r="P16" i="10"/>
  <c r="J17" i="10"/>
  <c r="N17" i="10"/>
  <c r="O17" i="10"/>
  <c r="P17" i="10"/>
  <c r="N18" i="10"/>
  <c r="O18" i="10"/>
  <c r="P18" i="10"/>
  <c r="N19" i="10"/>
  <c r="O19" i="10"/>
  <c r="P19" i="10"/>
  <c r="J20" i="10"/>
  <c r="N20" i="10"/>
  <c r="O20" i="10"/>
  <c r="P20" i="10"/>
  <c r="J21" i="10"/>
  <c r="N21" i="10"/>
  <c r="O21" i="10"/>
  <c r="P21" i="10"/>
  <c r="J22" i="10"/>
  <c r="N22" i="10"/>
  <c r="O22" i="10"/>
  <c r="P22" i="10"/>
  <c r="J23" i="10"/>
  <c r="N23" i="10"/>
  <c r="O23" i="10"/>
  <c r="P23" i="10"/>
  <c r="J24" i="10"/>
  <c r="N24" i="10"/>
  <c r="O24" i="10"/>
  <c r="P24" i="10"/>
  <c r="J25" i="10"/>
  <c r="N25" i="10"/>
  <c r="O25" i="10"/>
  <c r="P25" i="10"/>
  <c r="J26" i="10"/>
  <c r="N26" i="10"/>
  <c r="O26" i="10"/>
  <c r="P26" i="10"/>
  <c r="J27" i="10"/>
  <c r="N27" i="10"/>
  <c r="O27" i="10"/>
  <c r="P27" i="10"/>
  <c r="J28" i="10"/>
  <c r="N28" i="10"/>
  <c r="O28" i="10"/>
  <c r="P28" i="10"/>
  <c r="J29" i="10"/>
  <c r="N29" i="10"/>
  <c r="O29" i="10"/>
  <c r="P29" i="10"/>
  <c r="J4" i="9"/>
  <c r="N4" i="9"/>
  <c r="O4" i="9"/>
  <c r="P4" i="9"/>
  <c r="J5" i="9"/>
  <c r="N5" i="9"/>
  <c r="O5" i="9"/>
  <c r="P5" i="9"/>
  <c r="J6" i="9"/>
  <c r="N6" i="9"/>
  <c r="O6" i="9"/>
  <c r="P6" i="9"/>
  <c r="J7" i="9"/>
  <c r="N7" i="9"/>
  <c r="O7" i="9"/>
  <c r="P7" i="9"/>
  <c r="J8" i="9"/>
  <c r="N8" i="9"/>
  <c r="O8" i="9"/>
  <c r="P8" i="9"/>
  <c r="J9" i="9"/>
  <c r="N9" i="9"/>
  <c r="O9" i="9"/>
  <c r="P9" i="9"/>
  <c r="J10" i="9"/>
  <c r="N10" i="9"/>
  <c r="O10" i="9"/>
  <c r="P10" i="9"/>
  <c r="J11" i="9"/>
  <c r="N11" i="9"/>
  <c r="O11" i="9"/>
  <c r="P11" i="9"/>
  <c r="J12" i="9"/>
  <c r="N12" i="9"/>
  <c r="O12" i="9"/>
  <c r="P12" i="9"/>
  <c r="J13" i="9"/>
  <c r="N13" i="9"/>
  <c r="O13" i="9"/>
  <c r="P13" i="9"/>
  <c r="J14" i="9"/>
  <c r="N14" i="9"/>
  <c r="O14" i="9"/>
  <c r="P14" i="9"/>
  <c r="J15" i="9"/>
  <c r="N15" i="9"/>
  <c r="O15" i="9"/>
  <c r="P15" i="9"/>
  <c r="J16" i="9"/>
  <c r="N16" i="9"/>
  <c r="O16" i="9"/>
  <c r="P16" i="9"/>
  <c r="J17" i="9"/>
  <c r="N17" i="9"/>
  <c r="O17" i="9"/>
  <c r="P17" i="9"/>
  <c r="J18" i="9"/>
  <c r="N18" i="9"/>
  <c r="O18" i="9"/>
  <c r="P18" i="9"/>
  <c r="J19" i="9"/>
  <c r="N19" i="9"/>
  <c r="O19" i="9"/>
  <c r="P19" i="9"/>
  <c r="J20" i="9"/>
  <c r="N20" i="9"/>
  <c r="O20" i="9"/>
  <c r="P20" i="9"/>
  <c r="J21" i="9"/>
  <c r="N21" i="9"/>
  <c r="O21" i="9"/>
  <c r="P21" i="9"/>
  <c r="J22" i="9"/>
  <c r="N22" i="9"/>
  <c r="O22" i="9"/>
  <c r="P22" i="9"/>
  <c r="J23" i="9"/>
  <c r="N23" i="9"/>
  <c r="O23" i="9"/>
  <c r="P23" i="9"/>
  <c r="J24" i="9"/>
  <c r="N24" i="9"/>
  <c r="O24" i="9"/>
  <c r="P24" i="9"/>
  <c r="J25" i="9"/>
  <c r="N25" i="9"/>
  <c r="O25" i="9"/>
  <c r="P25" i="9"/>
  <c r="J26" i="9"/>
  <c r="N26" i="9"/>
  <c r="O26" i="9"/>
  <c r="P26" i="9"/>
  <c r="J27" i="9"/>
  <c r="N27" i="9"/>
  <c r="O27" i="9"/>
  <c r="P27" i="9"/>
  <c r="J28" i="9"/>
  <c r="N28" i="9"/>
  <c r="O28" i="9"/>
  <c r="P28" i="9"/>
  <c r="J29" i="9"/>
  <c r="N29" i="9"/>
  <c r="O29" i="9"/>
  <c r="P29" i="9"/>
  <c r="J30" i="9"/>
  <c r="N30" i="9"/>
  <c r="O30" i="9"/>
  <c r="P30" i="9"/>
  <c r="J31" i="9"/>
  <c r="N31" i="9"/>
  <c r="O31" i="9"/>
  <c r="P31" i="9"/>
  <c r="J32" i="9"/>
  <c r="N32" i="9"/>
  <c r="O32" i="9"/>
  <c r="P32" i="9"/>
  <c r="J33" i="9"/>
  <c r="N33" i="9"/>
  <c r="O33" i="9"/>
  <c r="P33" i="9"/>
  <c r="J34" i="9"/>
  <c r="N34" i="9"/>
  <c r="O34" i="9"/>
  <c r="P34" i="9"/>
  <c r="J35" i="9"/>
  <c r="N35" i="9"/>
  <c r="O35" i="9"/>
  <c r="P35" i="9"/>
  <c r="J36" i="9"/>
  <c r="N36" i="9"/>
  <c r="O36" i="9"/>
  <c r="P36" i="9"/>
  <c r="J37" i="9"/>
  <c r="N37" i="9"/>
  <c r="O37" i="9"/>
  <c r="P37" i="9"/>
  <c r="J38" i="9"/>
  <c r="N38" i="9"/>
  <c r="O38" i="9"/>
  <c r="P38" i="9"/>
  <c r="J39" i="9"/>
  <c r="N39" i="9"/>
  <c r="O39" i="9"/>
  <c r="P39" i="9"/>
  <c r="J40" i="9"/>
  <c r="N40" i="9"/>
  <c r="O40" i="9"/>
  <c r="P40" i="9"/>
  <c r="J4" i="8"/>
  <c r="N4" i="8"/>
  <c r="O4" i="8"/>
  <c r="P4" i="8"/>
  <c r="J5" i="8"/>
  <c r="N5" i="8"/>
  <c r="O5" i="8"/>
  <c r="P5" i="8"/>
  <c r="J6" i="8"/>
  <c r="N6" i="8"/>
  <c r="O6" i="8"/>
  <c r="P6" i="8"/>
  <c r="J7" i="8"/>
  <c r="N7" i="8"/>
  <c r="O7" i="8"/>
  <c r="P7" i="8"/>
  <c r="J8" i="8"/>
  <c r="N8" i="8"/>
  <c r="O8" i="8"/>
  <c r="P8" i="8"/>
  <c r="J9" i="8"/>
  <c r="O9" i="8"/>
  <c r="P9" i="8"/>
  <c r="J10" i="8"/>
  <c r="O10" i="8"/>
  <c r="P10" i="8"/>
  <c r="J11" i="8"/>
  <c r="N11" i="8"/>
  <c r="O11" i="8"/>
  <c r="P11" i="8"/>
  <c r="J12" i="8"/>
  <c r="O12" i="8"/>
  <c r="P12" i="8"/>
  <c r="J13" i="8"/>
  <c r="O13" i="8"/>
  <c r="P13" i="8"/>
  <c r="J14" i="8"/>
  <c r="N14" i="8"/>
  <c r="O14" i="8"/>
  <c r="P14" i="8"/>
  <c r="J15" i="8"/>
  <c r="O15" i="8"/>
  <c r="P15" i="8"/>
  <c r="J16" i="8"/>
  <c r="N16" i="8"/>
  <c r="O16" i="8"/>
  <c r="P16" i="8"/>
  <c r="J17" i="8"/>
  <c r="N17" i="8"/>
  <c r="O17" i="8"/>
  <c r="P17" i="8"/>
  <c r="J18" i="8"/>
  <c r="N18" i="8"/>
  <c r="O18" i="8"/>
  <c r="P18" i="8"/>
  <c r="J19" i="8"/>
  <c r="N19" i="8"/>
  <c r="O19" i="8"/>
  <c r="P19" i="8"/>
  <c r="J20" i="8"/>
  <c r="N20" i="8"/>
  <c r="O20" i="8"/>
  <c r="P20" i="8"/>
  <c r="J21" i="8"/>
  <c r="N21" i="8"/>
  <c r="O21" i="8"/>
  <c r="P21" i="8"/>
  <c r="J22" i="8"/>
  <c r="N22" i="8"/>
  <c r="O22" i="8"/>
  <c r="P22" i="8"/>
  <c r="G23" i="8"/>
  <c r="J23" i="8"/>
  <c r="N23" i="8"/>
  <c r="O23" i="8"/>
  <c r="P23" i="8"/>
  <c r="N24" i="8"/>
  <c r="O24" i="8"/>
  <c r="P24" i="8"/>
  <c r="J25" i="8"/>
  <c r="N25" i="8"/>
  <c r="O25" i="8"/>
  <c r="P25" i="8"/>
  <c r="J26" i="8"/>
  <c r="N26" i="8"/>
  <c r="O26" i="8"/>
  <c r="P26" i="8"/>
  <c r="J27" i="8"/>
  <c r="N27" i="8"/>
  <c r="O27" i="8"/>
  <c r="P27" i="8"/>
  <c r="J28" i="8"/>
  <c r="N28" i="8"/>
  <c r="O28" i="8"/>
  <c r="P28" i="8"/>
  <c r="J4" i="7"/>
  <c r="N4" i="7"/>
  <c r="O4" i="7"/>
  <c r="P4" i="7"/>
  <c r="J5" i="7"/>
  <c r="N5" i="7"/>
  <c r="O5" i="7"/>
  <c r="P5" i="7"/>
  <c r="J6" i="7"/>
  <c r="N6" i="7"/>
  <c r="O6" i="7"/>
  <c r="P6" i="7"/>
  <c r="J7" i="7"/>
  <c r="N7" i="7"/>
  <c r="O7" i="7"/>
  <c r="P7" i="7"/>
  <c r="J8" i="7"/>
  <c r="N8" i="7"/>
  <c r="O8" i="7"/>
  <c r="P8" i="7"/>
  <c r="J9" i="7"/>
  <c r="N9" i="7"/>
  <c r="O9" i="7"/>
  <c r="P9" i="7"/>
  <c r="J10" i="7"/>
  <c r="N10" i="7"/>
  <c r="O10" i="7"/>
  <c r="P10" i="7"/>
  <c r="J11" i="7"/>
  <c r="N11" i="7"/>
  <c r="O11" i="7"/>
  <c r="P11" i="7"/>
  <c r="J12" i="7"/>
  <c r="N12" i="7"/>
  <c r="O12" i="7"/>
  <c r="P12" i="7"/>
  <c r="J13" i="7"/>
  <c r="N13" i="7"/>
  <c r="O13" i="7"/>
  <c r="P13" i="7"/>
  <c r="J14" i="7"/>
  <c r="N14" i="7"/>
  <c r="O14" i="7"/>
  <c r="P14" i="7"/>
  <c r="J15" i="7"/>
  <c r="N15" i="7"/>
  <c r="O15" i="7"/>
  <c r="P15" i="7"/>
  <c r="N16" i="7"/>
  <c r="O16" i="7"/>
  <c r="P16" i="7"/>
  <c r="J17" i="7"/>
  <c r="N17" i="7"/>
  <c r="O17" i="7"/>
  <c r="P17" i="7"/>
  <c r="J18" i="7"/>
  <c r="N18" i="7"/>
  <c r="O18" i="7"/>
  <c r="P18" i="7"/>
  <c r="N19" i="7"/>
  <c r="O19" i="7"/>
  <c r="P19" i="7"/>
  <c r="J20" i="7"/>
  <c r="N20" i="7"/>
  <c r="O20" i="7"/>
  <c r="P20" i="7"/>
  <c r="J21" i="7"/>
  <c r="N21" i="7"/>
  <c r="O21" i="7"/>
  <c r="P21" i="7"/>
  <c r="J22" i="7"/>
  <c r="N22" i="7"/>
  <c r="O22" i="7"/>
  <c r="P22" i="7"/>
  <c r="J23" i="7"/>
  <c r="N23" i="7"/>
  <c r="O23" i="7"/>
  <c r="P23" i="7"/>
  <c r="J24" i="7"/>
  <c r="N24" i="7"/>
  <c r="O24" i="7"/>
  <c r="P24" i="7"/>
  <c r="J25" i="7"/>
  <c r="N25" i="7"/>
  <c r="O25" i="7"/>
  <c r="P25" i="7"/>
  <c r="J26" i="7"/>
  <c r="N26" i="7"/>
  <c r="O26" i="7"/>
  <c r="P26" i="7"/>
  <c r="J27" i="7"/>
  <c r="N27" i="7"/>
  <c r="O27" i="7"/>
  <c r="P27" i="7"/>
  <c r="J28" i="7"/>
  <c r="N28" i="7"/>
  <c r="O28" i="7"/>
  <c r="P28" i="7"/>
  <c r="J29" i="7"/>
  <c r="N29" i="7"/>
  <c r="O29" i="7"/>
  <c r="P29" i="7"/>
  <c r="J30" i="7"/>
  <c r="N30" i="7"/>
  <c r="O30" i="7"/>
  <c r="P30" i="7"/>
  <c r="J31" i="7"/>
  <c r="N31" i="7"/>
  <c r="O31" i="7"/>
  <c r="P31" i="7"/>
  <c r="J32" i="7"/>
  <c r="N32" i="7"/>
  <c r="O32" i="7"/>
  <c r="P32" i="7"/>
  <c r="J33" i="7"/>
  <c r="N33" i="7"/>
  <c r="O33" i="7"/>
  <c r="P33" i="7"/>
  <c r="J34" i="7"/>
  <c r="N34" i="7"/>
  <c r="O34" i="7"/>
  <c r="P34" i="7"/>
  <c r="J35" i="7"/>
  <c r="N35" i="7"/>
  <c r="O35" i="7"/>
  <c r="P35" i="7"/>
  <c r="J36" i="7"/>
  <c r="N36" i="7"/>
  <c r="O36" i="7"/>
  <c r="P36" i="7"/>
  <c r="J37" i="7"/>
  <c r="N37" i="7"/>
  <c r="O37" i="7"/>
  <c r="P37" i="7"/>
  <c r="J38" i="7"/>
  <c r="N38" i="7"/>
  <c r="O38" i="7"/>
  <c r="P38" i="7"/>
  <c r="N4" i="6"/>
  <c r="O4" i="6"/>
  <c r="P4" i="6"/>
  <c r="J5" i="6"/>
  <c r="N5" i="6"/>
  <c r="O5" i="6"/>
  <c r="P5" i="6"/>
  <c r="N6" i="6"/>
  <c r="P6" i="6"/>
  <c r="J7" i="6"/>
  <c r="N7" i="6"/>
  <c r="O7" i="6"/>
  <c r="P7" i="6"/>
  <c r="J8" i="6"/>
  <c r="N8" i="6"/>
  <c r="O8" i="6"/>
  <c r="P8" i="6"/>
  <c r="J9" i="6"/>
  <c r="N9" i="6"/>
  <c r="O9" i="6"/>
  <c r="P9" i="6"/>
  <c r="J10" i="6"/>
  <c r="N10" i="6"/>
  <c r="O10" i="6"/>
  <c r="P10" i="6"/>
  <c r="J11" i="6"/>
  <c r="N11" i="6"/>
  <c r="O11" i="6"/>
  <c r="P11" i="6"/>
  <c r="J12" i="6"/>
  <c r="N12" i="6"/>
  <c r="O12" i="6"/>
  <c r="P12" i="6"/>
  <c r="J13" i="6"/>
  <c r="N13" i="6"/>
  <c r="O13" i="6"/>
  <c r="P13" i="6"/>
  <c r="J14" i="6"/>
  <c r="N14" i="6"/>
  <c r="O14" i="6"/>
  <c r="P14" i="6"/>
  <c r="J15" i="6"/>
  <c r="N15" i="6"/>
  <c r="O15" i="6"/>
  <c r="P15" i="6"/>
  <c r="J16" i="6"/>
  <c r="N16" i="6"/>
  <c r="O16" i="6"/>
  <c r="P16" i="6"/>
  <c r="J17" i="6"/>
  <c r="N17" i="6"/>
  <c r="O17" i="6"/>
  <c r="P17" i="6"/>
  <c r="J18" i="6"/>
  <c r="N18" i="6"/>
  <c r="O18" i="6"/>
  <c r="P18" i="6"/>
  <c r="J19" i="6"/>
  <c r="N19" i="6"/>
  <c r="O19" i="6"/>
  <c r="P19" i="6"/>
  <c r="N20" i="6"/>
  <c r="O20" i="6"/>
  <c r="P20" i="6"/>
  <c r="N21" i="6"/>
  <c r="O21" i="6"/>
  <c r="P21" i="6"/>
  <c r="N22" i="6"/>
  <c r="O22" i="6"/>
  <c r="P22" i="6"/>
  <c r="N23" i="6"/>
  <c r="O23" i="6"/>
  <c r="P23" i="6"/>
  <c r="N24" i="6"/>
  <c r="O24" i="6"/>
  <c r="P24" i="6"/>
  <c r="N25" i="6"/>
  <c r="O25" i="6"/>
  <c r="P25" i="6"/>
  <c r="N26" i="6"/>
  <c r="O26" i="6"/>
  <c r="P26" i="6"/>
  <c r="O27" i="6"/>
  <c r="P27" i="6"/>
  <c r="J28" i="6"/>
  <c r="P28" i="6"/>
  <c r="P29" i="6"/>
  <c r="J4" i="5"/>
  <c r="N4" i="5"/>
  <c r="O4" i="5"/>
  <c r="P4" i="5"/>
  <c r="J5" i="5"/>
  <c r="N5" i="5"/>
  <c r="O5" i="5"/>
  <c r="P5" i="5"/>
  <c r="J6" i="5"/>
  <c r="N6" i="5"/>
  <c r="O6" i="5"/>
  <c r="P6" i="5"/>
  <c r="J7" i="5"/>
  <c r="N7" i="5"/>
  <c r="O7" i="5"/>
  <c r="P7" i="5"/>
  <c r="J8" i="5"/>
  <c r="N8" i="5"/>
  <c r="O8" i="5"/>
  <c r="P8" i="5"/>
  <c r="J9" i="5"/>
  <c r="N9" i="5"/>
  <c r="O9" i="5"/>
  <c r="P9" i="5"/>
  <c r="J10" i="5"/>
  <c r="N10" i="5"/>
  <c r="O10" i="5"/>
  <c r="P10" i="5"/>
  <c r="J11" i="5"/>
  <c r="N11" i="5"/>
  <c r="O11" i="5"/>
  <c r="P11" i="5"/>
  <c r="J12" i="5"/>
  <c r="N12" i="5"/>
  <c r="O12" i="5"/>
  <c r="P12" i="5"/>
  <c r="J13" i="5"/>
  <c r="N13" i="5"/>
  <c r="O13" i="5"/>
  <c r="P13" i="5"/>
  <c r="J14" i="5"/>
  <c r="N14" i="5"/>
  <c r="O14" i="5"/>
  <c r="P14" i="5"/>
  <c r="J15" i="5"/>
  <c r="N15" i="5"/>
  <c r="O15" i="5"/>
  <c r="P15" i="5"/>
  <c r="J16" i="5"/>
  <c r="N16" i="5"/>
  <c r="O16" i="5"/>
  <c r="P16" i="5"/>
  <c r="J17" i="5"/>
  <c r="N17" i="5"/>
  <c r="O17" i="5"/>
  <c r="P17" i="5"/>
  <c r="J18" i="5"/>
  <c r="N18" i="5"/>
  <c r="O18" i="5"/>
  <c r="P18" i="5"/>
  <c r="J19" i="5"/>
  <c r="N19" i="5"/>
  <c r="O19" i="5"/>
  <c r="P19" i="5"/>
  <c r="J20" i="5"/>
  <c r="N20" i="5"/>
  <c r="O20" i="5"/>
  <c r="P20" i="5"/>
  <c r="J21" i="5"/>
  <c r="N21" i="5"/>
  <c r="O21" i="5"/>
  <c r="P21" i="5"/>
  <c r="J22" i="5"/>
  <c r="N22" i="5"/>
  <c r="O22" i="5"/>
  <c r="P22" i="5"/>
  <c r="J23" i="5"/>
  <c r="N23" i="5"/>
  <c r="O23" i="5"/>
  <c r="P23" i="5"/>
  <c r="J24" i="5"/>
  <c r="N24" i="5"/>
  <c r="O24" i="5"/>
  <c r="P24" i="5"/>
  <c r="J25" i="5"/>
  <c r="N25" i="5"/>
  <c r="O25" i="5"/>
  <c r="P25" i="5"/>
  <c r="J26" i="5"/>
  <c r="N26" i="5"/>
  <c r="O26" i="5"/>
  <c r="P26" i="5"/>
  <c r="J27" i="5"/>
  <c r="N27" i="5"/>
  <c r="O27" i="5"/>
  <c r="P27" i="5"/>
  <c r="J28" i="5"/>
  <c r="N28" i="5"/>
  <c r="O28" i="5"/>
  <c r="P28" i="5"/>
  <c r="J29" i="5"/>
  <c r="N29" i="5"/>
  <c r="O29" i="5"/>
  <c r="P29" i="5"/>
  <c r="J30" i="5"/>
  <c r="N30" i="5"/>
  <c r="O30" i="5"/>
  <c r="P30" i="5"/>
  <c r="J31" i="5"/>
  <c r="N31" i="5"/>
  <c r="O31" i="5"/>
  <c r="P31" i="5"/>
  <c r="J32" i="5"/>
  <c r="N32" i="5"/>
  <c r="O32" i="5"/>
  <c r="P32" i="5"/>
  <c r="J33" i="5"/>
  <c r="N33" i="5"/>
  <c r="O33" i="5"/>
  <c r="P33" i="5"/>
  <c r="J34" i="5"/>
  <c r="N34" i="5"/>
  <c r="O34" i="5"/>
  <c r="P34" i="5"/>
  <c r="J35" i="5"/>
  <c r="N35" i="5"/>
  <c r="O35" i="5"/>
  <c r="P35" i="5"/>
  <c r="J36" i="5"/>
  <c r="N36" i="5"/>
  <c r="O36" i="5"/>
  <c r="P36" i="5"/>
  <c r="J37" i="5"/>
  <c r="N37" i="5"/>
  <c r="O37" i="5"/>
  <c r="P37" i="5"/>
  <c r="J38" i="5"/>
  <c r="N38" i="5"/>
  <c r="O38" i="5"/>
  <c r="P38" i="5"/>
  <c r="J39" i="5"/>
  <c r="N39" i="5"/>
  <c r="O39" i="5"/>
  <c r="P39" i="5"/>
  <c r="J40" i="5"/>
  <c r="N40" i="5"/>
  <c r="O40" i="5"/>
  <c r="P40" i="5"/>
  <c r="J41" i="5"/>
  <c r="N41" i="5"/>
  <c r="O41" i="5"/>
  <c r="P41" i="5"/>
  <c r="J42" i="5"/>
  <c r="N42" i="5"/>
  <c r="O42" i="5"/>
  <c r="P42" i="5"/>
  <c r="J4" i="4"/>
  <c r="N4" i="4"/>
  <c r="O4" i="4"/>
  <c r="P4" i="4"/>
  <c r="J5" i="4"/>
  <c r="N5" i="4"/>
  <c r="O5" i="4"/>
  <c r="P5" i="4"/>
  <c r="J6" i="4"/>
  <c r="N6" i="4"/>
  <c r="O6" i="4"/>
  <c r="P6" i="4"/>
  <c r="J7" i="4"/>
  <c r="N7" i="4"/>
  <c r="O7" i="4"/>
  <c r="P7" i="4"/>
  <c r="J8" i="4"/>
  <c r="N8" i="4"/>
  <c r="O8" i="4"/>
  <c r="P8" i="4"/>
  <c r="J9" i="4"/>
  <c r="N9" i="4"/>
  <c r="O9" i="4"/>
  <c r="P9" i="4"/>
  <c r="J10" i="4"/>
  <c r="N10" i="4"/>
  <c r="O10" i="4"/>
  <c r="P10" i="4"/>
  <c r="J11" i="4"/>
  <c r="O11" i="4"/>
  <c r="P11" i="4"/>
  <c r="J12" i="4"/>
  <c r="N12" i="4"/>
  <c r="O12" i="4"/>
  <c r="P12" i="4"/>
  <c r="E13" i="4"/>
  <c r="J13" i="4"/>
  <c r="K13" i="4"/>
  <c r="O13" i="4"/>
  <c r="P13" i="4"/>
  <c r="J14" i="4"/>
  <c r="N14" i="4"/>
  <c r="O14" i="4"/>
  <c r="P14" i="4"/>
  <c r="J15" i="4"/>
  <c r="N15" i="4"/>
  <c r="O15" i="4"/>
  <c r="P15" i="4"/>
  <c r="J16" i="4"/>
  <c r="N16" i="4"/>
  <c r="O16" i="4"/>
  <c r="P16" i="4"/>
  <c r="J17" i="4"/>
  <c r="N17" i="4"/>
  <c r="O17" i="4"/>
  <c r="P17" i="4"/>
  <c r="J18" i="4"/>
  <c r="N18" i="4"/>
  <c r="O18" i="4"/>
  <c r="P18" i="4"/>
  <c r="J19" i="4"/>
  <c r="N19" i="4"/>
  <c r="O19" i="4"/>
  <c r="P19" i="4"/>
  <c r="J20" i="4"/>
  <c r="N20" i="4"/>
  <c r="O20" i="4"/>
  <c r="P20" i="4"/>
  <c r="J21" i="4"/>
  <c r="O21" i="4"/>
  <c r="P21" i="4"/>
  <c r="J22" i="4"/>
  <c r="N22" i="4"/>
  <c r="O22" i="4"/>
  <c r="P22" i="4"/>
  <c r="J23" i="4"/>
  <c r="N23" i="4"/>
  <c r="O23" i="4"/>
  <c r="P23" i="4"/>
  <c r="J24" i="4"/>
  <c r="N24" i="4"/>
  <c r="O24" i="4"/>
  <c r="P24" i="4"/>
  <c r="J25" i="4"/>
  <c r="N25" i="4"/>
  <c r="O25" i="4"/>
  <c r="P25" i="4"/>
  <c r="J26" i="4"/>
  <c r="N26" i="4"/>
  <c r="O26" i="4"/>
  <c r="P26" i="4"/>
  <c r="N27" i="4"/>
  <c r="O27" i="4"/>
  <c r="P27" i="4"/>
  <c r="J28" i="4"/>
  <c r="N28" i="4"/>
  <c r="O28" i="4"/>
  <c r="P28" i="4"/>
  <c r="J14" i="24"/>
  <c r="J15" i="24"/>
  <c r="J16" i="24"/>
  <c r="J17" i="24"/>
  <c r="J18" i="24"/>
  <c r="J19" i="24"/>
  <c r="J20" i="24"/>
  <c r="J21" i="24"/>
  <c r="J22" i="24"/>
  <c r="O22" i="24" s="1"/>
  <c r="J23" i="24"/>
  <c r="O23" i="24" s="1"/>
  <c r="J24" i="24"/>
  <c r="J25" i="24"/>
  <c r="J26" i="24"/>
  <c r="J27" i="24"/>
  <c r="N19" i="24"/>
  <c r="N20" i="24"/>
  <c r="N21" i="24"/>
  <c r="N43" i="24"/>
  <c r="J43" i="24"/>
  <c r="O43" i="24" s="1"/>
  <c r="P43" i="24" s="1"/>
  <c r="N42" i="24"/>
  <c r="J42" i="24"/>
  <c r="O42" i="24" s="1"/>
  <c r="P42" i="24" s="1"/>
  <c r="N41" i="24"/>
  <c r="J41" i="24"/>
  <c r="O41" i="24" s="1"/>
  <c r="P41" i="24" s="1"/>
  <c r="N40" i="24"/>
  <c r="J40" i="24"/>
  <c r="O40" i="24" s="1"/>
  <c r="P40" i="24" s="1"/>
  <c r="N39" i="24"/>
  <c r="J39" i="24"/>
  <c r="O39" i="24" s="1"/>
  <c r="P39" i="24" s="1"/>
  <c r="N38" i="24"/>
  <c r="J38" i="24"/>
  <c r="O38" i="24" s="1"/>
  <c r="P38" i="24" s="1"/>
  <c r="N37" i="24"/>
  <c r="J37" i="24"/>
  <c r="O37" i="24" s="1"/>
  <c r="P37" i="24" s="1"/>
  <c r="N36" i="24"/>
  <c r="J36" i="24"/>
  <c r="O36" i="24" s="1"/>
  <c r="P36" i="24" s="1"/>
  <c r="N35" i="24"/>
  <c r="J35" i="24"/>
  <c r="O35" i="24" s="1"/>
  <c r="P35" i="24" s="1"/>
  <c r="N34" i="24"/>
  <c r="J34" i="24"/>
  <c r="O34" i="24" s="1"/>
  <c r="P34" i="24" s="1"/>
  <c r="N33" i="24"/>
  <c r="J33" i="24"/>
  <c r="O33" i="24" s="1"/>
  <c r="P33" i="24" s="1"/>
  <c r="N32" i="24"/>
  <c r="J32" i="24"/>
  <c r="O32" i="24" s="1"/>
  <c r="P32" i="24" s="1"/>
  <c r="N31" i="24"/>
  <c r="J31" i="24"/>
  <c r="O31" i="24" s="1"/>
  <c r="P31" i="24" s="1"/>
  <c r="N30" i="24"/>
  <c r="J30" i="24"/>
  <c r="O30" i="24" s="1"/>
  <c r="P30" i="24" s="1"/>
  <c r="N29" i="24"/>
  <c r="J29" i="24"/>
  <c r="O29" i="24" s="1"/>
  <c r="P29" i="24" s="1"/>
  <c r="N28" i="24"/>
  <c r="J28" i="24"/>
  <c r="O28" i="24" s="1"/>
  <c r="P28" i="24" s="1"/>
  <c r="N27" i="24"/>
  <c r="O27" i="24"/>
  <c r="P27" i="24" s="1"/>
  <c r="N26" i="24"/>
  <c r="O26" i="24"/>
  <c r="P26" i="24" s="1"/>
  <c r="N25" i="24"/>
  <c r="O25" i="24"/>
  <c r="P25" i="24" s="1"/>
  <c r="N24" i="24"/>
  <c r="O24" i="24"/>
  <c r="P24" i="24" s="1"/>
  <c r="N23" i="24"/>
  <c r="P23" i="24"/>
  <c r="P22" i="24"/>
  <c r="N22" i="24"/>
  <c r="O21" i="24"/>
  <c r="P21" i="24" s="1"/>
  <c r="O20" i="24"/>
  <c r="P20" i="24" s="1"/>
  <c r="O19" i="24"/>
  <c r="P19" i="24" s="1"/>
  <c r="N18" i="24"/>
  <c r="O18" i="24"/>
  <c r="P18" i="24" s="1"/>
  <c r="N17" i="24"/>
  <c r="O17" i="24"/>
  <c r="P17" i="24" s="1"/>
  <c r="N16" i="24"/>
  <c r="O16" i="24"/>
  <c r="P16" i="24" s="1"/>
  <c r="N15" i="24"/>
  <c r="O15" i="24"/>
  <c r="P15" i="24" s="1"/>
  <c r="N14" i="24"/>
  <c r="O14" i="24"/>
  <c r="P14" i="24" s="1"/>
  <c r="K3" i="24"/>
  <c r="J3" i="24"/>
  <c r="I3" i="24"/>
  <c r="H3" i="24"/>
  <c r="G3" i="24"/>
  <c r="F3" i="24"/>
  <c r="E3" i="24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N60" i="23"/>
  <c r="N59" i="23"/>
  <c r="N58" i="23"/>
  <c r="N57" i="23"/>
  <c r="N56" i="23"/>
  <c r="N55" i="23"/>
  <c r="N54" i="23"/>
  <c r="N53" i="23"/>
  <c r="O52" i="23"/>
  <c r="P52" i="23" s="1"/>
  <c r="N52" i="23"/>
  <c r="O51" i="23"/>
  <c r="P51" i="23" s="1"/>
  <c r="N51" i="23"/>
  <c r="O50" i="23"/>
  <c r="P50" i="23" s="1"/>
  <c r="N50" i="23"/>
  <c r="O49" i="23"/>
  <c r="P49" i="23" s="1"/>
  <c r="N49" i="23"/>
  <c r="O48" i="23"/>
  <c r="P48" i="23" s="1"/>
  <c r="N48" i="23"/>
  <c r="O47" i="23"/>
  <c r="P47" i="23" s="1"/>
  <c r="N47" i="23"/>
  <c r="O46" i="23"/>
  <c r="P46" i="23" s="1"/>
  <c r="N46" i="23"/>
  <c r="N45" i="23"/>
  <c r="O45" i="23"/>
  <c r="P45" i="23" s="1"/>
  <c r="N44" i="23"/>
  <c r="O44" i="23"/>
  <c r="P44" i="23" s="1"/>
  <c r="N43" i="23"/>
  <c r="O43" i="23"/>
  <c r="P43" i="23" s="1"/>
  <c r="N42" i="23"/>
  <c r="O42" i="23"/>
  <c r="P42" i="23" s="1"/>
  <c r="N41" i="23"/>
  <c r="O41" i="23"/>
  <c r="P41" i="23" s="1"/>
  <c r="N40" i="23"/>
  <c r="O40" i="23"/>
  <c r="P40" i="23" s="1"/>
  <c r="N39" i="23"/>
  <c r="O39" i="23"/>
  <c r="P39" i="23" s="1"/>
  <c r="N38" i="23"/>
  <c r="O38" i="23"/>
  <c r="P38" i="23" s="1"/>
  <c r="N37" i="23"/>
  <c r="O37" i="23"/>
  <c r="P37" i="23" s="1"/>
  <c r="N36" i="23"/>
  <c r="O36" i="23"/>
  <c r="P36" i="23" s="1"/>
  <c r="N35" i="23"/>
  <c r="O35" i="23"/>
  <c r="P35" i="23" s="1"/>
  <c r="N34" i="23"/>
  <c r="O34" i="23"/>
  <c r="P34" i="23" s="1"/>
  <c r="N33" i="23"/>
  <c r="O33" i="23"/>
  <c r="P33" i="23" s="1"/>
  <c r="N32" i="23"/>
  <c r="O32" i="23"/>
  <c r="P32" i="23" s="1"/>
  <c r="N31" i="23"/>
  <c r="O31" i="23"/>
  <c r="P31" i="23" s="1"/>
  <c r="N30" i="23"/>
  <c r="O30" i="23"/>
  <c r="P30" i="23" s="1"/>
  <c r="N29" i="23"/>
  <c r="O29" i="23"/>
  <c r="P29" i="23" s="1"/>
  <c r="N28" i="23"/>
  <c r="O28" i="23"/>
  <c r="P28" i="23" s="1"/>
  <c r="N27" i="23"/>
  <c r="O27" i="23"/>
  <c r="P27" i="23" s="1"/>
  <c r="N26" i="23"/>
  <c r="O26" i="23"/>
  <c r="P26" i="23" s="1"/>
  <c r="N25" i="23"/>
  <c r="O25" i="23"/>
  <c r="P25" i="23" s="1"/>
  <c r="N24" i="23"/>
  <c r="O24" i="23"/>
  <c r="P24" i="23" s="1"/>
  <c r="N23" i="23"/>
  <c r="O23" i="23"/>
  <c r="P23" i="23" s="1"/>
  <c r="N22" i="23"/>
  <c r="O22" i="23"/>
  <c r="P22" i="23" s="1"/>
  <c r="N21" i="23"/>
  <c r="O21" i="23"/>
  <c r="P21" i="23" s="1"/>
  <c r="N20" i="23"/>
  <c r="O20" i="23"/>
  <c r="P20" i="23" s="1"/>
  <c r="N19" i="23"/>
  <c r="O19" i="23"/>
  <c r="P19" i="23" s="1"/>
  <c r="N18" i="23"/>
  <c r="O18" i="23"/>
  <c r="P18" i="23" s="1"/>
  <c r="N17" i="23"/>
  <c r="O17" i="23"/>
  <c r="P17" i="23" s="1"/>
  <c r="N16" i="23"/>
  <c r="O16" i="23"/>
  <c r="P16" i="23" s="1"/>
  <c r="N15" i="23"/>
  <c r="O15" i="23"/>
  <c r="P15" i="23" s="1"/>
  <c r="P3" i="23"/>
  <c r="O3" i="23"/>
  <c r="K3" i="23"/>
  <c r="J3" i="23"/>
  <c r="I3" i="23"/>
  <c r="H3" i="23"/>
  <c r="G3" i="23"/>
  <c r="F3" i="23"/>
  <c r="E3" i="23"/>
  <c r="J45" i="19"/>
  <c r="O45" i="19"/>
  <c r="P45" i="19"/>
  <c r="O46" i="19"/>
  <c r="P46" i="19"/>
  <c r="O47" i="19"/>
  <c r="P47" i="19"/>
  <c r="O48" i="19"/>
  <c r="P48" i="19"/>
  <c r="O49" i="19"/>
  <c r="P49" i="19"/>
  <c r="O50" i="19"/>
  <c r="P50" i="19"/>
  <c r="O51" i="19"/>
  <c r="P51" i="19"/>
  <c r="O52" i="19"/>
  <c r="P52" i="19"/>
  <c r="K3" i="18"/>
  <c r="I3" i="18"/>
  <c r="H3" i="18"/>
  <c r="G3" i="18"/>
  <c r="F3" i="18"/>
  <c r="E3" i="18"/>
  <c r="K3" i="19"/>
  <c r="I3" i="19"/>
  <c r="H3" i="19"/>
  <c r="G3" i="19"/>
  <c r="F3" i="19"/>
  <c r="E3" i="19"/>
  <c r="H52" i="15"/>
  <c r="H53" i="15"/>
  <c r="H51" i="15"/>
  <c r="G51" i="15"/>
  <c r="G52" i="15"/>
  <c r="G53" i="15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J35" i="18"/>
  <c r="O35" i="18" s="1"/>
  <c r="P35" i="18" s="1"/>
  <c r="J36" i="18"/>
  <c r="O36" i="18" s="1"/>
  <c r="P36" i="18" s="1"/>
  <c r="J37" i="18"/>
  <c r="O37" i="18" s="1"/>
  <c r="P37" i="18" s="1"/>
  <c r="J38" i="18"/>
  <c r="O38" i="18" s="1"/>
  <c r="P38" i="18" s="1"/>
  <c r="J39" i="18"/>
  <c r="O39" i="18" s="1"/>
  <c r="P39" i="18" s="1"/>
  <c r="J40" i="18"/>
  <c r="O40" i="18" s="1"/>
  <c r="P40" i="18" s="1"/>
  <c r="J41" i="18"/>
  <c r="O41" i="18" s="1"/>
  <c r="P41" i="18" s="1"/>
  <c r="J42" i="18"/>
  <c r="O42" i="18" s="1"/>
  <c r="P42" i="18" s="1"/>
  <c r="J43" i="18"/>
  <c r="O43" i="18" s="1"/>
  <c r="P43" i="18" s="1"/>
  <c r="N35" i="18"/>
  <c r="N36" i="18"/>
  <c r="N37" i="18"/>
  <c r="N38" i="18"/>
  <c r="N39" i="18"/>
  <c r="N40" i="18"/>
  <c r="N41" i="18"/>
  <c r="N42" i="18"/>
  <c r="N43" i="18"/>
  <c r="N44" i="15"/>
  <c r="O44" i="15"/>
  <c r="P44" i="15" s="1"/>
  <c r="D6" i="17"/>
  <c r="D7" i="17"/>
  <c r="D5" i="17"/>
  <c r="K6" i="17"/>
  <c r="K7" i="17"/>
  <c r="K5" i="17"/>
  <c r="J41" i="14"/>
  <c r="O41" i="14"/>
  <c r="P41" i="14" s="1"/>
  <c r="J42" i="14"/>
  <c r="O42" i="14"/>
  <c r="J43" i="14"/>
  <c r="O43" i="14"/>
  <c r="P43" i="14" s="1"/>
  <c r="J44" i="14"/>
  <c r="O44" i="14"/>
  <c r="J45" i="14"/>
  <c r="O45" i="14"/>
  <c r="P45" i="14" s="1"/>
  <c r="J46" i="14"/>
  <c r="O46" i="14"/>
  <c r="P46" i="14"/>
  <c r="P44" i="14"/>
  <c r="P42" i="14"/>
  <c r="N37" i="12"/>
  <c r="N38" i="12"/>
  <c r="E41" i="10"/>
  <c r="K41" i="10"/>
  <c r="G48" i="10"/>
  <c r="H48" i="10"/>
  <c r="G47" i="10"/>
  <c r="H47" i="10"/>
  <c r="G46" i="10"/>
  <c r="H46" i="10"/>
  <c r="G51" i="9"/>
  <c r="H51" i="9"/>
  <c r="G50" i="9"/>
  <c r="H50" i="9"/>
  <c r="G49" i="9"/>
  <c r="H49" i="9"/>
  <c r="J37" i="12"/>
  <c r="J38" i="12"/>
  <c r="J39" i="12"/>
  <c r="J44" i="13"/>
  <c r="O44" i="13"/>
  <c r="P44" i="13"/>
  <c r="J43" i="13"/>
  <c r="O43" i="13"/>
  <c r="P43" i="13"/>
  <c r="J42" i="13"/>
  <c r="O42" i="13"/>
  <c r="P42" i="13"/>
  <c r="J41" i="13"/>
  <c r="O41" i="13"/>
  <c r="P41" i="13"/>
  <c r="J40" i="13"/>
  <c r="O40" i="13"/>
  <c r="P40" i="13"/>
  <c r="J39" i="13"/>
  <c r="O39" i="13"/>
  <c r="P39" i="13"/>
  <c r="J38" i="13"/>
  <c r="O38" i="13"/>
  <c r="P38" i="13"/>
  <c r="J37" i="13"/>
  <c r="O37" i="13"/>
  <c r="P37" i="13"/>
  <c r="J36" i="13"/>
  <c r="O36" i="13"/>
  <c r="P36" i="13"/>
  <c r="J35" i="13"/>
  <c r="O35" i="13"/>
  <c r="P35" i="13"/>
  <c r="J34" i="13"/>
  <c r="O34" i="13"/>
  <c r="P34" i="13"/>
  <c r="J33" i="13"/>
  <c r="O33" i="13"/>
  <c r="P33" i="13"/>
  <c r="O39" i="12"/>
  <c r="P39" i="12"/>
  <c r="O38" i="12"/>
  <c r="P38" i="12"/>
  <c r="O37" i="12"/>
  <c r="P37" i="12"/>
  <c r="J40" i="10"/>
  <c r="O40" i="10"/>
  <c r="P40" i="10"/>
  <c r="J39" i="10"/>
  <c r="O39" i="10"/>
  <c r="P39" i="10"/>
  <c r="J38" i="10"/>
  <c r="O38" i="10"/>
  <c r="P38" i="10"/>
  <c r="J37" i="10"/>
  <c r="O37" i="10"/>
  <c r="P37" i="10"/>
  <c r="J36" i="10"/>
  <c r="O36" i="10"/>
  <c r="P36" i="10"/>
  <c r="J35" i="10"/>
  <c r="O35" i="10"/>
  <c r="P35" i="10"/>
  <c r="J34" i="10"/>
  <c r="O34" i="10"/>
  <c r="P34" i="10"/>
  <c r="J33" i="10"/>
  <c r="O33" i="10"/>
  <c r="P33" i="10"/>
  <c r="J32" i="10"/>
  <c r="O32" i="10"/>
  <c r="P32" i="10"/>
  <c r="J31" i="10"/>
  <c r="O31" i="10"/>
  <c r="P31" i="10"/>
  <c r="J30" i="10"/>
  <c r="O30" i="10"/>
  <c r="P30" i="10"/>
  <c r="G44" i="8"/>
  <c r="H44" i="8"/>
  <c r="G43" i="8"/>
  <c r="H43" i="8"/>
  <c r="G42" i="8"/>
  <c r="H42" i="8"/>
  <c r="G41" i="8"/>
  <c r="H41" i="8"/>
  <c r="L39" i="8"/>
  <c r="K39" i="8"/>
  <c r="G38" i="8"/>
  <c r="H38" i="8"/>
  <c r="G37" i="8"/>
  <c r="H37" i="8"/>
  <c r="G33" i="8"/>
  <c r="C33" i="8"/>
  <c r="B33" i="8"/>
  <c r="N30" i="8"/>
  <c r="I1014" i="7"/>
  <c r="G1010" i="7"/>
  <c r="K58" i="7"/>
  <c r="L55" i="7"/>
  <c r="K55" i="7"/>
  <c r="G53" i="7"/>
  <c r="H53" i="7"/>
  <c r="G52" i="7"/>
  <c r="H52" i="7"/>
  <c r="G51" i="7"/>
  <c r="H51" i="7"/>
  <c r="G50" i="7"/>
  <c r="H50" i="7"/>
  <c r="K39" i="7"/>
  <c r="E39" i="7"/>
  <c r="N32" i="6"/>
  <c r="S64" i="5"/>
  <c r="S63" i="5"/>
  <c r="S62" i="5"/>
  <c r="S61" i="5"/>
  <c r="S60" i="5"/>
  <c r="S59" i="5"/>
  <c r="S58" i="5"/>
  <c r="S57" i="5"/>
  <c r="Q56" i="5"/>
  <c r="S56" i="5"/>
  <c r="N45" i="5"/>
  <c r="S61" i="3"/>
  <c r="S60" i="3"/>
  <c r="S59" i="3"/>
  <c r="S58" i="3"/>
  <c r="S57" i="3"/>
  <c r="S56" i="3"/>
  <c r="S55" i="3"/>
  <c r="S54" i="3"/>
  <c r="Q53" i="3"/>
  <c r="S53" i="3"/>
  <c r="N42" i="3"/>
  <c r="N39" i="3"/>
  <c r="J39" i="3"/>
  <c r="O39" i="3"/>
  <c r="P39" i="3"/>
  <c r="N38" i="3"/>
  <c r="J38" i="3"/>
  <c r="O38" i="3"/>
  <c r="P38" i="3"/>
  <c r="N37" i="3"/>
  <c r="J37" i="3"/>
  <c r="O37" i="3"/>
  <c r="P37" i="3"/>
  <c r="N36" i="3"/>
  <c r="J36" i="3"/>
  <c r="O36" i="3"/>
  <c r="P36" i="3"/>
  <c r="N35" i="3"/>
  <c r="J35" i="3"/>
  <c r="O35" i="3"/>
  <c r="P35" i="3"/>
  <c r="N34" i="3"/>
  <c r="J34" i="3"/>
  <c r="O34" i="3"/>
  <c r="P34" i="3"/>
  <c r="N33" i="3"/>
  <c r="J33" i="3"/>
  <c r="O33" i="3"/>
  <c r="P33" i="3"/>
  <c r="N32" i="3"/>
  <c r="J32" i="3"/>
  <c r="O32" i="3"/>
  <c r="P32" i="3"/>
  <c r="N31" i="3"/>
  <c r="J31" i="3"/>
  <c r="O31" i="3"/>
  <c r="P31" i="3"/>
  <c r="K30" i="3"/>
  <c r="J30" i="3"/>
  <c r="E30" i="3"/>
  <c r="N29" i="3"/>
  <c r="J29" i="3"/>
  <c r="O29" i="3"/>
  <c r="P29" i="3"/>
  <c r="N28" i="3"/>
  <c r="J28" i="3"/>
  <c r="O28" i="3"/>
  <c r="P28" i="3"/>
  <c r="N27" i="3"/>
  <c r="J27" i="3"/>
  <c r="O27" i="3"/>
  <c r="P27" i="3"/>
  <c r="N26" i="3"/>
  <c r="J26" i="3"/>
  <c r="O26" i="3"/>
  <c r="P26" i="3"/>
  <c r="N25" i="3"/>
  <c r="J25" i="3"/>
  <c r="O25" i="3"/>
  <c r="P25" i="3"/>
  <c r="N24" i="3"/>
  <c r="J24" i="3"/>
  <c r="O24" i="3"/>
  <c r="P24" i="3"/>
  <c r="N23" i="3"/>
  <c r="J23" i="3"/>
  <c r="O23" i="3"/>
  <c r="P23" i="3"/>
  <c r="O22" i="3"/>
  <c r="P22" i="3"/>
  <c r="N22" i="3"/>
  <c r="N21" i="3"/>
  <c r="J21" i="3"/>
  <c r="O21" i="3"/>
  <c r="P21" i="3"/>
  <c r="N20" i="3"/>
  <c r="J20" i="3"/>
  <c r="O20" i="3"/>
  <c r="P20" i="3"/>
  <c r="N19" i="3"/>
  <c r="J19" i="3"/>
  <c r="O19" i="3"/>
  <c r="P19" i="3"/>
  <c r="N18" i="3"/>
  <c r="J18" i="3"/>
  <c r="O18" i="3"/>
  <c r="P18" i="3"/>
  <c r="N17" i="3"/>
  <c r="J17" i="3"/>
  <c r="O17" i="3"/>
  <c r="P17" i="3"/>
  <c r="N16" i="3"/>
  <c r="J16" i="3"/>
  <c r="O16" i="3"/>
  <c r="P16" i="3"/>
  <c r="K15" i="3"/>
  <c r="J15" i="3"/>
  <c r="E15" i="3"/>
  <c r="N14" i="3"/>
  <c r="J14" i="3"/>
  <c r="O14" i="3"/>
  <c r="P14" i="3"/>
  <c r="N13" i="3"/>
  <c r="J13" i="3"/>
  <c r="O13" i="3"/>
  <c r="P13" i="3"/>
  <c r="N12" i="3"/>
  <c r="J12" i="3"/>
  <c r="O12" i="3"/>
  <c r="P12" i="3"/>
  <c r="N11" i="3"/>
  <c r="J11" i="3"/>
  <c r="O11" i="3"/>
  <c r="P11" i="3"/>
  <c r="N10" i="3"/>
  <c r="J10" i="3"/>
  <c r="O10" i="3"/>
  <c r="P10" i="3"/>
  <c r="N9" i="3"/>
  <c r="J9" i="3"/>
  <c r="O9" i="3"/>
  <c r="P9" i="3"/>
  <c r="N8" i="3"/>
  <c r="J8" i="3"/>
  <c r="O8" i="3"/>
  <c r="P8" i="3"/>
  <c r="N7" i="3"/>
  <c r="J7" i="3"/>
  <c r="O7" i="3"/>
  <c r="P7" i="3"/>
  <c r="K6" i="3"/>
  <c r="J6" i="3"/>
  <c r="N5" i="3"/>
  <c r="J5" i="3"/>
  <c r="O5" i="3"/>
  <c r="P5" i="3"/>
  <c r="O4" i="3"/>
  <c r="P4" i="3"/>
  <c r="N4" i="3"/>
  <c r="N56" i="2"/>
  <c r="N53" i="2"/>
  <c r="J53" i="2"/>
  <c r="O53" i="2"/>
  <c r="P53" i="2"/>
  <c r="N52" i="2"/>
  <c r="J52" i="2"/>
  <c r="O52" i="2"/>
  <c r="P52" i="2"/>
  <c r="N51" i="2"/>
  <c r="J51" i="2"/>
  <c r="O51" i="2"/>
  <c r="P51" i="2"/>
  <c r="N50" i="2"/>
  <c r="J50" i="2"/>
  <c r="O50" i="2"/>
  <c r="P50" i="2"/>
  <c r="N49" i="2"/>
  <c r="J49" i="2"/>
  <c r="O49" i="2"/>
  <c r="P49" i="2"/>
  <c r="N48" i="2"/>
  <c r="J48" i="2"/>
  <c r="O48" i="2"/>
  <c r="P48" i="2"/>
  <c r="N47" i="2"/>
  <c r="J47" i="2"/>
  <c r="O47" i="2"/>
  <c r="P47" i="2"/>
  <c r="N46" i="2"/>
  <c r="J46" i="2"/>
  <c r="O46" i="2"/>
  <c r="P46" i="2"/>
  <c r="N45" i="2"/>
  <c r="J45" i="2"/>
  <c r="O45" i="2"/>
  <c r="P45" i="2"/>
  <c r="N44" i="2"/>
  <c r="J44" i="2"/>
  <c r="O44" i="2"/>
  <c r="P44" i="2"/>
  <c r="N43" i="2"/>
  <c r="J43" i="2"/>
  <c r="O43" i="2"/>
  <c r="P43" i="2"/>
  <c r="N42" i="2"/>
  <c r="J42" i="2"/>
  <c r="O42" i="2"/>
  <c r="P42" i="2"/>
  <c r="N41" i="2"/>
  <c r="J41" i="2"/>
  <c r="O41" i="2"/>
  <c r="P41" i="2"/>
  <c r="N40" i="2"/>
  <c r="J40" i="2"/>
  <c r="O40" i="2"/>
  <c r="P40" i="2"/>
  <c r="N39" i="2"/>
  <c r="J39" i="2"/>
  <c r="O39" i="2"/>
  <c r="P39" i="2"/>
  <c r="N38" i="2"/>
  <c r="J38" i="2"/>
  <c r="O38" i="2"/>
  <c r="P38" i="2"/>
  <c r="N37" i="2"/>
  <c r="J37" i="2"/>
  <c r="O37" i="2"/>
  <c r="P37" i="2"/>
  <c r="N36" i="2"/>
  <c r="J36" i="2"/>
  <c r="O36" i="2"/>
  <c r="P36" i="2"/>
  <c r="N35" i="2"/>
  <c r="J35" i="2"/>
  <c r="O35" i="2"/>
  <c r="P35" i="2"/>
  <c r="N34" i="2"/>
  <c r="J34" i="2"/>
  <c r="O34" i="2"/>
  <c r="P34" i="2"/>
  <c r="N33" i="2"/>
  <c r="J33" i="2"/>
  <c r="O33" i="2"/>
  <c r="P33" i="2"/>
  <c r="N32" i="2"/>
  <c r="J32" i="2"/>
  <c r="O32" i="2"/>
  <c r="P32" i="2"/>
  <c r="N31" i="2"/>
  <c r="J31" i="2"/>
  <c r="O31" i="2"/>
  <c r="P31" i="2"/>
  <c r="N30" i="2"/>
  <c r="J30" i="2"/>
  <c r="O30" i="2"/>
  <c r="P30" i="2"/>
  <c r="N29" i="2"/>
  <c r="J29" i="2"/>
  <c r="O29" i="2"/>
  <c r="P29" i="2"/>
  <c r="N28" i="2"/>
  <c r="J28" i="2"/>
  <c r="O28" i="2"/>
  <c r="P28" i="2"/>
  <c r="N27" i="2"/>
  <c r="J27" i="2"/>
  <c r="O27" i="2"/>
  <c r="P27" i="2"/>
  <c r="N26" i="2"/>
  <c r="J26" i="2"/>
  <c r="O26" i="2"/>
  <c r="P26" i="2"/>
  <c r="N25" i="2"/>
  <c r="J25" i="2"/>
  <c r="O25" i="2"/>
  <c r="P25" i="2"/>
  <c r="N24" i="2"/>
  <c r="J24" i="2"/>
  <c r="O24" i="2"/>
  <c r="P24" i="2"/>
  <c r="N23" i="2"/>
  <c r="J23" i="2"/>
  <c r="O23" i="2"/>
  <c r="P23" i="2"/>
  <c r="N22" i="2"/>
  <c r="J22" i="2"/>
  <c r="O22" i="2"/>
  <c r="P22" i="2"/>
  <c r="N21" i="2"/>
  <c r="J21" i="2"/>
  <c r="O21" i="2"/>
  <c r="P21" i="2"/>
  <c r="N20" i="2"/>
  <c r="J20" i="2"/>
  <c r="O20" i="2"/>
  <c r="P20" i="2"/>
  <c r="N19" i="2"/>
  <c r="J19" i="2"/>
  <c r="O19" i="2"/>
  <c r="P19" i="2"/>
  <c r="N18" i="2"/>
  <c r="J18" i="2"/>
  <c r="O18" i="2"/>
  <c r="P18" i="2"/>
  <c r="N17" i="2"/>
  <c r="J17" i="2"/>
  <c r="O17" i="2"/>
  <c r="P17" i="2"/>
  <c r="N16" i="2"/>
  <c r="J16" i="2"/>
  <c r="O16" i="2"/>
  <c r="P16" i="2"/>
  <c r="N15" i="2"/>
  <c r="J15" i="2"/>
  <c r="O15" i="2"/>
  <c r="P15" i="2"/>
  <c r="N14" i="2"/>
  <c r="J14" i="2"/>
  <c r="O14" i="2"/>
  <c r="P14" i="2"/>
  <c r="N13" i="2"/>
  <c r="J13" i="2"/>
  <c r="O13" i="2"/>
  <c r="P13" i="2"/>
  <c r="N12" i="2"/>
  <c r="J12" i="2"/>
  <c r="O12" i="2"/>
  <c r="P12" i="2"/>
  <c r="N11" i="2"/>
  <c r="J11" i="2"/>
  <c r="O11" i="2"/>
  <c r="P11" i="2"/>
  <c r="N10" i="2"/>
  <c r="J10" i="2"/>
  <c r="O10" i="2"/>
  <c r="P10" i="2"/>
  <c r="N9" i="2"/>
  <c r="J9" i="2"/>
  <c r="O9" i="2"/>
  <c r="P9" i="2"/>
  <c r="N8" i="2"/>
  <c r="J8" i="2"/>
  <c r="O8" i="2"/>
  <c r="P8" i="2"/>
  <c r="N7" i="2"/>
  <c r="J7" i="2"/>
  <c r="O7" i="2"/>
  <c r="P7" i="2"/>
  <c r="N6" i="2"/>
  <c r="J6" i="2"/>
  <c r="O6" i="2"/>
  <c r="P6" i="2"/>
  <c r="N5" i="2"/>
  <c r="J5" i="2"/>
  <c r="O5" i="2"/>
  <c r="P5" i="2"/>
  <c r="N96" i="1"/>
  <c r="J96" i="1"/>
  <c r="O96" i="1"/>
  <c r="P96" i="1"/>
  <c r="N95" i="1"/>
  <c r="J95" i="1"/>
  <c r="O95" i="1"/>
  <c r="P95" i="1"/>
  <c r="N94" i="1"/>
  <c r="J94" i="1"/>
  <c r="O94" i="1"/>
  <c r="P94" i="1"/>
  <c r="N93" i="1"/>
  <c r="J93" i="1"/>
  <c r="O93" i="1"/>
  <c r="P93" i="1"/>
  <c r="N92" i="1"/>
  <c r="J92" i="1"/>
  <c r="O92" i="1"/>
  <c r="P92" i="1"/>
  <c r="N91" i="1"/>
  <c r="J91" i="1"/>
  <c r="O91" i="1"/>
  <c r="P91" i="1"/>
  <c r="N90" i="1"/>
  <c r="J90" i="1"/>
  <c r="O90" i="1"/>
  <c r="P90" i="1"/>
  <c r="N89" i="1"/>
  <c r="J89" i="1"/>
  <c r="O89" i="1"/>
  <c r="P89" i="1"/>
  <c r="N88" i="1"/>
  <c r="J88" i="1"/>
  <c r="O88" i="1"/>
  <c r="P88" i="1"/>
  <c r="N87" i="1"/>
  <c r="J87" i="1"/>
  <c r="O87" i="1"/>
  <c r="P87" i="1"/>
  <c r="N86" i="1"/>
  <c r="J86" i="1"/>
  <c r="O86" i="1"/>
  <c r="P86" i="1"/>
  <c r="N85" i="1"/>
  <c r="J85" i="1"/>
  <c r="O85" i="1"/>
  <c r="P85" i="1"/>
  <c r="N84" i="1"/>
  <c r="J84" i="1"/>
  <c r="O84" i="1"/>
  <c r="P84" i="1"/>
  <c r="N83" i="1"/>
  <c r="J83" i="1"/>
  <c r="O83" i="1"/>
  <c r="P83" i="1"/>
  <c r="N82" i="1"/>
  <c r="J82" i="1"/>
  <c r="O82" i="1"/>
  <c r="P82" i="1"/>
  <c r="N81" i="1"/>
  <c r="J81" i="1"/>
  <c r="O81" i="1"/>
  <c r="P81" i="1"/>
  <c r="N80" i="1"/>
  <c r="J80" i="1"/>
  <c r="O80" i="1"/>
  <c r="P80" i="1"/>
  <c r="N79" i="1"/>
  <c r="J79" i="1"/>
  <c r="O79" i="1"/>
  <c r="P79" i="1"/>
  <c r="N78" i="1"/>
  <c r="J78" i="1"/>
  <c r="O78" i="1"/>
  <c r="P78" i="1"/>
  <c r="N77" i="1"/>
  <c r="J77" i="1"/>
  <c r="O77" i="1"/>
  <c r="P77" i="1"/>
  <c r="N76" i="1"/>
  <c r="J76" i="1"/>
  <c r="O76" i="1"/>
  <c r="P76" i="1"/>
  <c r="K75" i="1"/>
  <c r="J75" i="1"/>
  <c r="N74" i="1"/>
  <c r="J74" i="1"/>
  <c r="O74" i="1"/>
  <c r="P74" i="1"/>
  <c r="N73" i="1"/>
  <c r="J73" i="1"/>
  <c r="O73" i="1"/>
  <c r="P73" i="1"/>
  <c r="N72" i="1"/>
  <c r="J72" i="1"/>
  <c r="O72" i="1"/>
  <c r="P72" i="1"/>
  <c r="N71" i="1"/>
  <c r="J71" i="1"/>
  <c r="O71" i="1"/>
  <c r="P71" i="1"/>
  <c r="N70" i="1"/>
  <c r="J70" i="1"/>
  <c r="O70" i="1"/>
  <c r="P70" i="1"/>
  <c r="N69" i="1"/>
  <c r="J69" i="1"/>
  <c r="O69" i="1"/>
  <c r="P69" i="1"/>
  <c r="N68" i="1"/>
  <c r="J68" i="1"/>
  <c r="O68" i="1"/>
  <c r="P68" i="1"/>
  <c r="N67" i="1"/>
  <c r="J67" i="1"/>
  <c r="O67" i="1"/>
  <c r="P67" i="1"/>
  <c r="N66" i="1"/>
  <c r="J66" i="1"/>
  <c r="O66" i="1"/>
  <c r="P66" i="1"/>
  <c r="N65" i="1"/>
  <c r="J65" i="1"/>
  <c r="O65" i="1"/>
  <c r="P65" i="1"/>
  <c r="N64" i="1"/>
  <c r="J64" i="1"/>
  <c r="O64" i="1"/>
  <c r="P64" i="1"/>
  <c r="N63" i="1"/>
  <c r="J63" i="1"/>
  <c r="O63" i="1"/>
  <c r="P63" i="1"/>
  <c r="S62" i="1"/>
  <c r="N62" i="1"/>
  <c r="J62" i="1"/>
  <c r="O62" i="1"/>
  <c r="P62" i="1"/>
  <c r="S61" i="1"/>
  <c r="N61" i="1"/>
  <c r="J61" i="1"/>
  <c r="O61" i="1"/>
  <c r="P61" i="1"/>
  <c r="S60" i="1"/>
  <c r="N60" i="1"/>
  <c r="J60" i="1"/>
  <c r="O60" i="1"/>
  <c r="P60" i="1"/>
  <c r="S59" i="1"/>
  <c r="N59" i="1"/>
  <c r="J59" i="1"/>
  <c r="O59" i="1"/>
  <c r="P59" i="1"/>
  <c r="S58" i="1"/>
  <c r="N58" i="1"/>
  <c r="J58" i="1"/>
  <c r="O58" i="1"/>
  <c r="P58" i="1"/>
  <c r="S57" i="1"/>
  <c r="N57" i="1"/>
  <c r="J57" i="1"/>
  <c r="O57" i="1"/>
  <c r="P57" i="1"/>
  <c r="S56" i="1"/>
  <c r="N56" i="1"/>
  <c r="J56" i="1"/>
  <c r="O56" i="1"/>
  <c r="P56" i="1"/>
  <c r="S55" i="1"/>
  <c r="N55" i="1"/>
  <c r="J55" i="1"/>
  <c r="O55" i="1"/>
  <c r="P55" i="1"/>
  <c r="Q54" i="1"/>
  <c r="S54" i="1"/>
  <c r="N54" i="1"/>
  <c r="J54" i="1"/>
  <c r="O54" i="1"/>
  <c r="P54" i="1"/>
  <c r="N53" i="1"/>
  <c r="J53" i="1"/>
  <c r="O53" i="1"/>
  <c r="P53" i="1"/>
  <c r="N52" i="1"/>
  <c r="J52" i="1"/>
  <c r="O52" i="1"/>
  <c r="P52" i="1"/>
  <c r="K51" i="1"/>
  <c r="J51" i="1"/>
  <c r="E51" i="1"/>
  <c r="N50" i="1"/>
  <c r="J50" i="1"/>
  <c r="O50" i="1"/>
  <c r="P50" i="1"/>
  <c r="N49" i="1"/>
  <c r="J49" i="1"/>
  <c r="O49" i="1"/>
  <c r="P49" i="1"/>
  <c r="N48" i="1"/>
  <c r="J48" i="1"/>
  <c r="O48" i="1"/>
  <c r="P48" i="1"/>
  <c r="K47" i="1"/>
  <c r="J47" i="1"/>
  <c r="N46" i="1"/>
  <c r="J46" i="1"/>
  <c r="O46" i="1"/>
  <c r="P46" i="1"/>
  <c r="N45" i="1"/>
  <c r="J45" i="1"/>
  <c r="O45" i="1"/>
  <c r="P45" i="1"/>
  <c r="N44" i="1"/>
  <c r="J44" i="1"/>
  <c r="O44" i="1"/>
  <c r="P44" i="1"/>
  <c r="O43" i="1"/>
  <c r="P43" i="1"/>
  <c r="N43" i="1"/>
  <c r="N42" i="1"/>
  <c r="J42" i="1"/>
  <c r="O42" i="1"/>
  <c r="P42" i="1"/>
  <c r="N41" i="1"/>
  <c r="J41" i="1"/>
  <c r="O41" i="1"/>
  <c r="P41" i="1"/>
  <c r="N40" i="1"/>
  <c r="J40" i="1"/>
  <c r="O40" i="1"/>
  <c r="P40" i="1"/>
  <c r="N39" i="1"/>
  <c r="J39" i="1"/>
  <c r="O39" i="1"/>
  <c r="P39" i="1"/>
  <c r="N38" i="1"/>
  <c r="J38" i="1"/>
  <c r="O38" i="1"/>
  <c r="P38" i="1"/>
  <c r="N37" i="1"/>
  <c r="J37" i="1"/>
  <c r="O37" i="1"/>
  <c r="P37" i="1"/>
  <c r="N36" i="1"/>
  <c r="J36" i="1"/>
  <c r="O36" i="1"/>
  <c r="P36" i="1"/>
  <c r="N35" i="1"/>
  <c r="J35" i="1"/>
  <c r="O35" i="1"/>
  <c r="P35" i="1"/>
  <c r="N34" i="1"/>
  <c r="J34" i="1"/>
  <c r="O34" i="1"/>
  <c r="P34" i="1"/>
  <c r="N33" i="1"/>
  <c r="J33" i="1"/>
  <c r="O33" i="1"/>
  <c r="P33" i="1"/>
  <c r="N32" i="1"/>
  <c r="J32" i="1"/>
  <c r="O32" i="1"/>
  <c r="P32" i="1"/>
  <c r="N31" i="1"/>
  <c r="J31" i="1"/>
  <c r="O31" i="1"/>
  <c r="P31" i="1"/>
  <c r="N30" i="1"/>
  <c r="J30" i="1"/>
  <c r="O30" i="1"/>
  <c r="P30" i="1"/>
  <c r="N29" i="1"/>
  <c r="J29" i="1"/>
  <c r="O29" i="1"/>
  <c r="P29" i="1"/>
  <c r="N28" i="1"/>
  <c r="J28" i="1"/>
  <c r="O28" i="1"/>
  <c r="P28" i="1"/>
  <c r="N27" i="1"/>
  <c r="J27" i="1"/>
  <c r="O27" i="1"/>
  <c r="P27" i="1"/>
  <c r="N26" i="1"/>
  <c r="J26" i="1"/>
  <c r="O26" i="1"/>
  <c r="P26" i="1"/>
  <c r="N25" i="1"/>
  <c r="J25" i="1"/>
  <c r="O25" i="1"/>
  <c r="P25" i="1"/>
  <c r="N24" i="1"/>
  <c r="J24" i="1"/>
  <c r="O24" i="1"/>
  <c r="P24" i="1"/>
  <c r="K23" i="1"/>
  <c r="J23" i="1"/>
  <c r="N22" i="1"/>
  <c r="J22" i="1"/>
  <c r="O22" i="1"/>
  <c r="P22" i="1"/>
  <c r="N21" i="1"/>
  <c r="J21" i="1"/>
  <c r="O21" i="1"/>
  <c r="P21" i="1"/>
  <c r="N20" i="1"/>
  <c r="J20" i="1"/>
  <c r="O20" i="1"/>
  <c r="P20" i="1"/>
  <c r="N19" i="1"/>
  <c r="J19" i="1"/>
  <c r="O19" i="1"/>
  <c r="P19" i="1"/>
  <c r="N18" i="1"/>
  <c r="J18" i="1"/>
  <c r="O18" i="1"/>
  <c r="P18" i="1"/>
  <c r="N17" i="1"/>
  <c r="J17" i="1"/>
  <c r="O17" i="1"/>
  <c r="P17" i="1"/>
  <c r="N16" i="1"/>
  <c r="J16" i="1"/>
  <c r="O16" i="1"/>
  <c r="P16" i="1"/>
  <c r="N15" i="1"/>
  <c r="J15" i="1"/>
  <c r="O15" i="1"/>
  <c r="P15" i="1"/>
  <c r="N14" i="1"/>
  <c r="J14" i="1"/>
  <c r="O14" i="1"/>
  <c r="P14" i="1"/>
  <c r="N13" i="1"/>
  <c r="J13" i="1"/>
  <c r="O13" i="1"/>
  <c r="P13" i="1"/>
  <c r="N12" i="1"/>
  <c r="J12" i="1"/>
  <c r="O12" i="1"/>
  <c r="P12" i="1"/>
  <c r="N11" i="1"/>
  <c r="J11" i="1"/>
  <c r="O11" i="1"/>
  <c r="P11" i="1"/>
  <c r="N10" i="1"/>
  <c r="J10" i="1"/>
  <c r="O10" i="1"/>
  <c r="P10" i="1"/>
  <c r="N9" i="1"/>
  <c r="J9" i="1"/>
  <c r="O9" i="1"/>
  <c r="P9" i="1"/>
  <c r="K8" i="1"/>
  <c r="J8" i="1"/>
  <c r="E8" i="1"/>
  <c r="K7" i="1"/>
  <c r="J7" i="1"/>
  <c r="N6" i="1"/>
  <c r="J6" i="1"/>
  <c r="O6" i="1"/>
  <c r="N5" i="1"/>
  <c r="J5" i="1"/>
  <c r="O5" i="1"/>
  <c r="P5" i="1"/>
  <c r="O7" i="1"/>
  <c r="P7" i="1"/>
  <c r="N7" i="1"/>
  <c r="O8" i="1"/>
  <c r="P8" i="1"/>
  <c r="N8" i="1"/>
  <c r="O23" i="1"/>
  <c r="P23" i="1"/>
  <c r="N23" i="1"/>
  <c r="O47" i="1"/>
  <c r="P47" i="1"/>
  <c r="N47" i="1"/>
  <c r="O51" i="1"/>
  <c r="P51" i="1"/>
  <c r="N51" i="1"/>
  <c r="O75" i="1"/>
  <c r="P75" i="1"/>
  <c r="N75" i="1"/>
  <c r="O6" i="3"/>
  <c r="P6" i="3"/>
  <c r="N6" i="3"/>
  <c r="O15" i="3"/>
  <c r="P15" i="3"/>
  <c r="N15" i="3"/>
  <c r="O30" i="3"/>
  <c r="P30" i="3"/>
  <c r="N30" i="3"/>
  <c r="L56" i="7"/>
  <c r="D33" i="8"/>
  <c r="K41" i="8"/>
  <c r="N108" i="1"/>
  <c r="BH5" i="20" l="1"/>
  <c r="BE5" i="20"/>
  <c r="BB5" i="20"/>
  <c r="AY5" i="20"/>
  <c r="AV5" i="20"/>
  <c r="BG5" i="20"/>
  <c r="BD5" i="20"/>
  <c r="BA5" i="20"/>
  <c r="AX5" i="20"/>
  <c r="AF5" i="20"/>
  <c r="AU5" i="20" s="1"/>
  <c r="BF5" i="20"/>
  <c r="BC5" i="20"/>
  <c r="AZ5" i="20"/>
  <c r="N3" i="24"/>
  <c r="N3" i="23"/>
  <c r="J3" i="18"/>
  <c r="J3" i="19"/>
  <c r="N3" i="18"/>
  <c r="P3" i="19"/>
  <c r="O3" i="19"/>
  <c r="N3" i="19"/>
  <c r="B2" i="20" a="1"/>
  <c r="A32" i="25" l="1" a="1"/>
  <c r="A32" i="25" s="1"/>
  <c r="D23" i="25" a="1"/>
  <c r="D23" i="25" s="1"/>
  <c r="D22" i="25" a="1"/>
  <c r="D22" i="25" s="1"/>
  <c r="D21" i="25" a="1"/>
  <c r="D21" i="25" s="1"/>
  <c r="D20" i="25" a="1"/>
  <c r="D20" i="25" s="1"/>
  <c r="D19" i="25" a="1"/>
  <c r="D19" i="25" s="1"/>
  <c r="D18" i="25" a="1"/>
  <c r="D18" i="25" s="1"/>
  <c r="D17" i="25" a="1"/>
  <c r="D17" i="25" s="1"/>
  <c r="D16" i="25" a="1"/>
  <c r="D16" i="25" s="1"/>
  <c r="D15" i="25" a="1"/>
  <c r="D15" i="25" s="1"/>
  <c r="D14" i="25" a="1"/>
  <c r="D14" i="25" s="1"/>
  <c r="D13" i="25" a="1"/>
  <c r="D13" i="25" s="1"/>
  <c r="C23" i="25" a="1"/>
  <c r="C23" i="25" s="1"/>
  <c r="C22" i="25" a="1"/>
  <c r="C22" i="25" s="1"/>
  <c r="C21" i="25" a="1"/>
  <c r="C21" i="25" s="1"/>
  <c r="C20" i="25" a="1"/>
  <c r="C20" i="25" s="1"/>
  <c r="C19" i="25" a="1"/>
  <c r="C19" i="25" s="1"/>
  <c r="C18" i="25" a="1"/>
  <c r="C18" i="25" s="1"/>
  <c r="C17" i="25" a="1"/>
  <c r="C17" i="25" s="1"/>
  <c r="C16" i="25" a="1"/>
  <c r="C16" i="25" s="1"/>
  <c r="C15" i="25" a="1"/>
  <c r="C15" i="25" s="1"/>
  <c r="C14" i="25" a="1"/>
  <c r="C14" i="25" s="1"/>
  <c r="C13" i="25" a="1"/>
  <c r="C13" i="25" s="1"/>
  <c r="D12" i="25" a="1"/>
  <c r="D12" i="25" s="1"/>
  <c r="B23" i="25" a="1"/>
  <c r="B23" i="25" s="1"/>
  <c r="B22" i="25" a="1"/>
  <c r="B22" i="25" s="1"/>
  <c r="B21" i="25" a="1"/>
  <c r="B21" i="25" s="1"/>
  <c r="B20" i="25" a="1"/>
  <c r="B20" i="25" s="1"/>
  <c r="B19" i="25" a="1"/>
  <c r="B19" i="25" s="1"/>
  <c r="B18" i="25" a="1"/>
  <c r="B18" i="25" s="1"/>
  <c r="B17" i="25" a="1"/>
  <c r="B17" i="25" s="1"/>
  <c r="B16" i="25" a="1"/>
  <c r="B16" i="25" s="1"/>
  <c r="B15" i="25" a="1"/>
  <c r="B15" i="25" s="1"/>
  <c r="B14" i="25" a="1"/>
  <c r="B14" i="25" s="1"/>
  <c r="B13" i="25" a="1"/>
  <c r="B13" i="25" s="1"/>
  <c r="B12" i="25" a="1"/>
  <c r="B12" i="25" s="1"/>
  <c r="C12" i="25" a="1"/>
  <c r="C12" i="25" s="1"/>
  <c r="B2" i="20"/>
  <c r="A42" i="25" s="1" a="1"/>
  <c r="A3" i="25"/>
  <c r="G9" i="25" l="1"/>
  <c r="J9" i="25"/>
  <c r="A9" i="25"/>
  <c r="D9" i="25"/>
  <c r="D6" i="25"/>
  <c r="J6" i="25"/>
  <c r="A42" i="25"/>
  <c r="M6" i="25" s="1"/>
  <c r="A6" i="25"/>
  <c r="G6" i="25" s="1"/>
  <c r="E12" i="25"/>
  <c r="C28" i="25" a="1"/>
  <c r="C28" i="25" s="1"/>
  <c r="D28" i="25" a="1"/>
  <c r="D28" i="25" s="1"/>
  <c r="D27" i="25" a="1"/>
  <c r="D27" i="25" s="1"/>
  <c r="B28" i="25" a="1"/>
  <c r="B28" i="25" s="1"/>
  <c r="B27" i="25" a="1"/>
  <c r="B27" i="25" s="1"/>
  <c r="C27" i="25" a="1"/>
  <c r="C27" i="25" s="1"/>
  <c r="E13" i="25"/>
  <c r="E14" i="25"/>
  <c r="E15" i="25"/>
  <c r="E16" i="25"/>
  <c r="E17" i="25"/>
  <c r="E18" i="25"/>
  <c r="E19" i="25"/>
  <c r="E20" i="25"/>
  <c r="E21" i="25"/>
  <c r="E22" i="25"/>
  <c r="E23" i="25"/>
  <c r="M9" i="25" l="1"/>
  <c r="E27" i="25"/>
  <c r="E28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tc={199720d4-312b-4624-9516-b422de8f80b7}</author>
  </authors>
  <commentList>
    <comment ref="E67" authorId="0" shapeId="0" xr:uid="{199720D4-312B-4624-9516-B422DE8F80B7}">
      <text>
        <t>[Threaded comment]
Your version of Excel allows you to read this threaded comment; however, any edits to it will get removed if the file is opened in a newer version of Excel. Learn more: https://go.microsoft.com/fwlink/?linkid=870924
Comment:
    10000 Batch start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tc={3f5a41be-2c8e-4fc7-88be-910343e3e6dd}</author>
  </authors>
  <commentList>
    <comment ref="K38" authorId="0" shapeId="0" xr:uid="{3F5A41BE-2C8E-4FC7-88BE-910343E3E6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 ganesh sirani marla ahe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tc={ea9363b1-c053-4b2f-bd92-53795223fdb6}</author>
  </authors>
  <commentList>
    <comment ref="K13" authorId="0" shapeId="0" xr:uid="{EA9363B1-C053-4B2F-BD92-53795223FD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 Done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tc={70093731-cf82-420a-aaa5-196d21aae8f0}</author>
  </authors>
  <commentList>
    <comment ref="A1" authorId="0" shapeId="0" xr:uid="{70093731-CF82-420A-AAA5-196D21AAE8F0}">
      <text>
        <t>[Threaded comment]
Your version of Excel allows you to read this threaded comment; however, any edits to it will get removed if the file is opened in a newer version of Excel. Learn more: https://go.microsoft.com/fwlink/?linkid=870924
Comment:
    RM NOT STY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tc={DD781288-5941-4499-AF1F-F700FBB578BB}</author>
  </authors>
  <commentList>
    <comment ref="G34" authorId="0" shapeId="0" xr:uid="{DD781288-5941-4499-AF1F-F700FBB578B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CHAKKI NO 5 SEIVE CHENGE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<sst xmlns="http://schemas.openxmlformats.org/spreadsheetml/2006/main" count="3028" uniqueCount="214">
  <si>
    <t>ATTA PRODUCTION COMMAND CENTER</t>
  </si>
  <si>
    <t>TOTAL INPUT RM</t>
  </si>
  <si>
    <t>TOTAL OUTPUT</t>
  </si>
  <si>
    <t>WEIGHTED YIELD</t>
  </si>
  <si>
    <t>TOTAL WASTAGE</t>
  </si>
  <si>
    <t>VISIBLE RECORDS</t>
  </si>
  <si>
    <t>SORTING WASTE</t>
  </si>
  <si>
    <t>TOTAL BRAN</t>
  </si>
  <si>
    <t>FLOOR WASTE</t>
  </si>
  <si>
    <t>PROCESS LOSS</t>
  </si>
  <si>
    <t>WASTE RATE</t>
  </si>
  <si>
    <t>MONTHLY PRODUCTION — 2026</t>
  </si>
  <si>
    <t>Month</t>
  </si>
  <si>
    <t>Input (kg)</t>
  </si>
  <si>
    <t>Output (kg)</t>
  </si>
  <si>
    <t>Wastage (kg)</t>
  </si>
  <si>
    <t>Yield</t>
  </si>
  <si>
    <t>PLANT GROUP PERFORMANCE</t>
  </si>
  <si>
    <t>Group</t>
  </si>
  <si>
    <t>C6</t>
  </si>
  <si>
    <t>C39</t>
  </si>
  <si>
    <t>TOP PRODUCTS BY OUTPUT</t>
  </si>
  <si>
    <t>Product</t>
  </si>
  <si>
    <t>ALL PRODUCTION RECORDS — USE HEADER DROPDOWNS TO FILTER DATE, PLANT, PRODUCT, SHIFT &amp; MORE</t>
  </si>
  <si>
    <t>Source Sheet</t>
  </si>
  <si>
    <t>Date</t>
  </si>
  <si>
    <t>Machine</t>
  </si>
  <si>
    <t>Plant</t>
  </si>
  <si>
    <t>IN in Kg</t>
  </si>
  <si>
    <t>Sorting</t>
  </si>
  <si>
    <t>Bran</t>
  </si>
  <si>
    <t>Floor Atta</t>
  </si>
  <si>
    <t>Process Loss</t>
  </si>
  <si>
    <t>Total Wastage</t>
  </si>
  <si>
    <t>OUT in Kg</t>
  </si>
  <si>
    <t>Manpower</t>
  </si>
  <si>
    <t>Shift</t>
  </si>
  <si>
    <t>Yield %</t>
  </si>
  <si>
    <t>Mass Balance</t>
  </si>
  <si>
    <t>Variance</t>
  </si>
  <si>
    <t>Atta Production Report</t>
  </si>
  <si>
    <t>SHIFT</t>
  </si>
  <si>
    <t>Grader</t>
  </si>
  <si>
    <t>Sieve</t>
  </si>
  <si>
    <t>Floor</t>
  </si>
  <si>
    <t>Chakki1,2&amp;3</t>
  </si>
  <si>
    <t>Jowar</t>
  </si>
  <si>
    <t>Bajra</t>
  </si>
  <si>
    <t>Multigrain</t>
  </si>
  <si>
    <t>Day</t>
  </si>
  <si>
    <t>Night</t>
  </si>
  <si>
    <t>Khapli</t>
  </si>
  <si>
    <t>Chakki1,2</t>
  </si>
  <si>
    <t>DAY</t>
  </si>
  <si>
    <t>NIGHT</t>
  </si>
  <si>
    <t>Chakki1,2,3</t>
  </si>
  <si>
    <t>chakki1,2,3</t>
  </si>
  <si>
    <t>Total</t>
  </si>
  <si>
    <t>Avarage</t>
  </si>
  <si>
    <t>Total Cost</t>
  </si>
  <si>
    <t>Cost Per kg</t>
  </si>
  <si>
    <t>Remark</t>
  </si>
  <si>
    <t>3&amp;4</t>
  </si>
  <si>
    <t>day</t>
  </si>
  <si>
    <t>Pulveriser</t>
  </si>
  <si>
    <t>Besan</t>
  </si>
  <si>
    <t>night</t>
  </si>
  <si>
    <t xml:space="preserve">Khapli  </t>
  </si>
  <si>
    <t xml:space="preserve">Khapli </t>
  </si>
  <si>
    <t xml:space="preserve">Day </t>
  </si>
  <si>
    <t>Pulvriser</t>
  </si>
  <si>
    <t>Pearl Millet</t>
  </si>
  <si>
    <t>Khapli wheat</t>
  </si>
  <si>
    <t>Chakki 1,2,3</t>
  </si>
  <si>
    <t>07.03.26</t>
  </si>
  <si>
    <t>08.02.26</t>
  </si>
  <si>
    <t>09.03.26</t>
  </si>
  <si>
    <t>10.03.26</t>
  </si>
  <si>
    <t>11.03.26</t>
  </si>
  <si>
    <t>jowar</t>
  </si>
  <si>
    <t>12.03.26</t>
  </si>
  <si>
    <t>13.03.26</t>
  </si>
  <si>
    <t>14.03.26</t>
  </si>
  <si>
    <t>17.03.26</t>
  </si>
  <si>
    <t>Chakki 1</t>
  </si>
  <si>
    <t>18.03.26</t>
  </si>
  <si>
    <t>20.03.26</t>
  </si>
  <si>
    <t>21.03.26</t>
  </si>
  <si>
    <t xml:space="preserve">Bajra </t>
  </si>
  <si>
    <t>28.03.26</t>
  </si>
  <si>
    <t>30.03.26</t>
  </si>
  <si>
    <t>31.03.26</t>
  </si>
  <si>
    <t>Besan atta</t>
  </si>
  <si>
    <t>1,3&amp;4</t>
  </si>
  <si>
    <t>khapli</t>
  </si>
  <si>
    <t>1&amp;3&amp;4</t>
  </si>
  <si>
    <t>1,2,3&amp;4</t>
  </si>
  <si>
    <t>multigrain</t>
  </si>
  <si>
    <t>c39</t>
  </si>
  <si>
    <t>Cross Verification</t>
  </si>
  <si>
    <t>Chakki 1&amp;2</t>
  </si>
  <si>
    <t>Protein Atta</t>
  </si>
  <si>
    <t>Multigrains</t>
  </si>
  <si>
    <t>123&amp;4</t>
  </si>
  <si>
    <t>khapli Grains</t>
  </si>
  <si>
    <t>MULTIGRAIN</t>
  </si>
  <si>
    <t xml:space="preserve">khapli </t>
  </si>
  <si>
    <t>khapli Multigrain</t>
  </si>
  <si>
    <t>NEW PLANT</t>
  </si>
  <si>
    <t>HIGH PROTEIN ATTA</t>
  </si>
  <si>
    <t>jowar grains</t>
  </si>
  <si>
    <t>OLD PLANT</t>
  </si>
  <si>
    <t xml:space="preserve">KHAPLI </t>
  </si>
  <si>
    <t>KHAPLI</t>
  </si>
  <si>
    <t>JOWAR</t>
  </si>
  <si>
    <t xml:space="preserve">change over &amp;  wheat not available </t>
  </si>
  <si>
    <t xml:space="preserve">Input </t>
  </si>
  <si>
    <t>Output</t>
  </si>
  <si>
    <t>Loss in kg</t>
  </si>
  <si>
    <t>Loss In %</t>
  </si>
  <si>
    <t>yield %</t>
  </si>
  <si>
    <t xml:space="preserve"> high protien </t>
  </si>
  <si>
    <t>\</t>
  </si>
  <si>
    <t>Blender</t>
  </si>
  <si>
    <t>chana dal</t>
  </si>
  <si>
    <t>NIGH</t>
  </si>
  <si>
    <t>bender</t>
  </si>
  <si>
    <t>1,2,3,4</t>
  </si>
  <si>
    <t>dAY</t>
  </si>
  <si>
    <t>DAy</t>
  </si>
  <si>
    <t>1,23,4</t>
  </si>
  <si>
    <t>Summery report</t>
  </si>
  <si>
    <t>old plant</t>
  </si>
  <si>
    <t>Jowar Grains</t>
  </si>
  <si>
    <t>New Plant</t>
  </si>
  <si>
    <t>High Protein Atta</t>
  </si>
  <si>
    <t>Khapli Grains</t>
  </si>
  <si>
    <t xml:space="preserve">The regular operator was absent, and the ground atta was misplaced Therefore, the final stock count of RM and SFG was taken on the morning of the 9th, resulting in a second entry.
</t>
  </si>
  <si>
    <t>Bajra Grains</t>
  </si>
  <si>
    <t>Bajra grains</t>
  </si>
  <si>
    <t>Chakki1</t>
  </si>
  <si>
    <t>multigrains</t>
  </si>
  <si>
    <t>other</t>
  </si>
  <si>
    <t>besan</t>
  </si>
  <si>
    <t>-</t>
  </si>
  <si>
    <t>BESAN</t>
  </si>
  <si>
    <t>1.2.3.4</t>
  </si>
  <si>
    <t>blender</t>
  </si>
  <si>
    <t>Other</t>
  </si>
  <si>
    <t>protein premix 60%</t>
  </si>
  <si>
    <t>protein atta</t>
  </si>
  <si>
    <t>multgrain</t>
  </si>
  <si>
    <t>C6 New Plant</t>
  </si>
  <si>
    <t>Khapli Protein Grains</t>
  </si>
  <si>
    <t>DONE</t>
  </si>
  <si>
    <t>C6 Old Plant</t>
  </si>
  <si>
    <t>Khapli Protein Grains 60%</t>
  </si>
  <si>
    <t>khapli atta</t>
  </si>
  <si>
    <t>BAJARA ATTA</t>
  </si>
  <si>
    <t>Yield  %</t>
  </si>
  <si>
    <t>Khapli atta</t>
  </si>
  <si>
    <t>Protein atta</t>
  </si>
  <si>
    <t>blendar</t>
  </si>
  <si>
    <t>1,2,34</t>
  </si>
  <si>
    <t>multigrain 60%</t>
  </si>
  <si>
    <t>Blendar</t>
  </si>
  <si>
    <t>1,,2,3,4</t>
  </si>
  <si>
    <t xml:space="preserve">   </t>
  </si>
  <si>
    <t>(a) INPUT RM -Kg</t>
  </si>
  <si>
    <t>(b) Wastage @Sorting,Kg</t>
  </si>
  <si>
    <t>(c) Bran, Kg</t>
  </si>
  <si>
    <t>(d) Wastage Floor spillages, Kg</t>
  </si>
  <si>
    <t>(e) Process Loss, Kg</t>
  </si>
  <si>
    <t>(f) Total Wastage, Kg (b+c+d+e)</t>
  </si>
  <si>
    <t>(g) Atta SFG, Kg</t>
  </si>
  <si>
    <t>khapli protein grains</t>
  </si>
  <si>
    <t>khapli multigrian 60%</t>
  </si>
  <si>
    <t>Proteins grains 60%</t>
  </si>
  <si>
    <t>chakki1</t>
  </si>
  <si>
    <t>khapli grains</t>
  </si>
  <si>
    <t>khapli protein premix</t>
  </si>
  <si>
    <t>khapli wheat grains</t>
  </si>
  <si>
    <t>SOURCE SHEET REGISTER</t>
  </si>
  <si>
    <t>C6 JAN-FEB</t>
  </si>
  <si>
    <t xml:space="preserve"> C39 JAN-FEB</t>
  </si>
  <si>
    <t>Atta Production Report (C6)</t>
  </si>
  <si>
    <t>C6 MARCH</t>
  </si>
  <si>
    <t>C39 MARCH</t>
  </si>
  <si>
    <t>C6 APRIL</t>
  </si>
  <si>
    <t>C39 APRIL</t>
  </si>
  <si>
    <t>C6-MAY</t>
  </si>
  <si>
    <t>C39-MAY</t>
  </si>
  <si>
    <t>C6-JUNE</t>
  </si>
  <si>
    <t>C39-JUNE</t>
  </si>
  <si>
    <t>Atta Production Report (C39)</t>
  </si>
  <si>
    <t>C6-JULY</t>
  </si>
  <si>
    <t>C39-JULY</t>
  </si>
  <si>
    <t>C6-AUG</t>
  </si>
  <si>
    <t>C39-AUG</t>
  </si>
  <si>
    <t>C6 SEP</t>
  </si>
  <si>
    <t>C39 SEP</t>
  </si>
  <si>
    <t>C6 OCT</t>
  </si>
  <si>
    <t>C39 OCT</t>
  </si>
  <si>
    <t>Oil Production Report</t>
  </si>
  <si>
    <t>Pend</t>
  </si>
  <si>
    <t>B Grade</t>
  </si>
  <si>
    <t>Oil Out in KG</t>
  </si>
  <si>
    <t>Yeild %</t>
  </si>
  <si>
    <t>To include a new monthly sheet: enter its exact tab name in the next blank cell in A2:A50.</t>
  </si>
  <si>
    <t>Before Changing sieves</t>
  </si>
  <si>
    <t>After Changing sieves</t>
  </si>
  <si>
    <t>Grains in Kg</t>
  </si>
  <si>
    <t>Bran in Kg</t>
  </si>
  <si>
    <t>Bran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</si>
</sst>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[$-409]d\-mmm\-yy;@"/>
    <numFmt numFmtId="166" formatCode="0.0%"/>
    <numFmt numFmtId="167" formatCode="dd\-mmm\-yy"/>
    <numFmt numFmtId="168" formatCode="#,##0.0"/>
    <numFmt numFmtId="169" formatCode="#,##0\ &quot;kg&quot;"/>
    <numFmt numFmtId="170" formatCode="mmm"/>
  </numFmts>
  <fonts count="38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3"/>
      <color theme="1"/>
      <name val="Calibri"/>
      <family val="2"/>
    </font>
    <font>
      <sz val="23"/>
      <color theme="1"/>
      <name val="Arial"/>
      <family val="2"/>
    </font>
    <font>
      <sz val="23"/>
      <color theme="1"/>
      <name val="Arial"/>
      <family val="2"/>
      <scheme val="minor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</font>
    <font>
      <sz val="12"/>
      <name val="Arial"/>
      <family val="2"/>
    </font>
    <font>
      <b/>
      <sz val="14"/>
      <color rgb="FF000000"/>
      <name val="Arial"/>
      <family val="2"/>
      <scheme val="minor"/>
    </font>
    <font>
      <sz val="16"/>
      <name val="Arial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color rgb="FFFFFFFF"/>
      <name val="Arial"/>
      <scheme val="minor"/>
    </font>
    <font>
      <i/>
      <sz val="10"/>
      <color rgb="FF5B6573"/>
      <name val="Arial"/>
      <scheme val="minor"/>
    </font>
    <font>
      <sz val="10"/>
      <color rgb="FF000000"/>
      <name val="Aptos"/>
    </font>
    <font>
      <b/>
      <sz val="10"/>
      <color rgb="FFFFFFFF"/>
      <name val="Aptos"/>
    </font>
    <font>
      <b/>
      <sz val="24"/>
      <color rgb="FFFFFFFF"/>
      <name val="Aptos"/>
    </font>
    <font>
      <i/>
      <sz val="10"/>
      <color rgb="FF334E68"/>
      <name val="Aptos"/>
    </font>
    <font>
      <b/>
      <sz val="12"/>
      <color rgb="FFFFFFFF"/>
      <name val="Aptos"/>
    </font>
    <font>
      <b/>
      <sz val="16"/>
      <color theme="1"/>
      <name val="Calibri"/>
    </font>
    <font>
      <b/>
      <sz val="14"/>
      <color theme="1"/>
      <name val="Calibri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17324D"/>
      <name val="Aptos"/>
    </font>
    <font>
      <b/>
      <sz val="15"/>
      <color rgb="FF17324D"/>
      <name val="Arial"/>
      <scheme val="minor"/>
    </font>
    <font>
      <b/>
      <sz val="15"/>
      <color rgb="FF000000"/>
      <name val="Calibri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76A5AF"/>
        <bgColor rgb="FF76A5AF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rgb="FF4A86E8"/>
        <bgColor rgb="FF4A86E8"/>
      </patternFill>
    </fill>
    <fill>
      <patternFill patternType="solid">
        <fgColor rgb="FFAEAAAA"/>
        <bgColor rgb="FFAEAAAA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132A46"/>
        <bgColor indexed="64"/>
      </patternFill>
    </fill>
    <fill>
      <patternFill patternType="solid">
        <fgColor rgb="FFE8F0F7"/>
        <bgColor indexed="64"/>
      </patternFill>
    </fill>
    <fill>
      <patternFill patternType="solid">
        <fgColor rgb="FF00A6A6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EAF2F8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10" borderId="9" xfId="0" applyFont="1" applyFill="1" applyBorder="1" applyAlignment="1">
      <alignment horizontal="center" vertical="center" wrapText="1"/>
    </xf>
    <xf numFmtId="0" fontId="3" fillId="0" borderId="0" xfId="0" applyFont="1"/>
    <xf numFmtId="10" fontId="1" fillId="0" borderId="0" xfId="0" applyNumberFormat="1" applyFont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164" fontId="6" fillId="2" borderId="5" xfId="0" applyNumberFormat="1" applyFont="1" applyFill="1" applyBorder="1" applyAlignment="1">
      <alignment horizontal="center" vertical="center" wrapText="1"/>
    </xf>
    <xf numFmtId="2" fontId="6" fillId="2" borderId="5" xfId="0" applyNumberFormat="1" applyFont="1" applyFill="1" applyBorder="1" applyAlignment="1">
      <alignment horizontal="center" vertical="center" wrapText="1"/>
    </xf>
    <xf numFmtId="2" fontId="6" fillId="2" borderId="9" xfId="0" applyNumberFormat="1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164" fontId="14" fillId="12" borderId="5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3" fillId="12" borderId="9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13" borderId="9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 wrapText="1"/>
    </xf>
    <xf numFmtId="0" fontId="6" fillId="15" borderId="9" xfId="0" applyFont="1" applyFill="1" applyBorder="1" applyAlignment="1">
      <alignment horizontal="center" vertical="center" wrapText="1"/>
    </xf>
    <xf numFmtId="0" fontId="6" fillId="16" borderId="9" xfId="0" applyFont="1" applyFill="1" applyBorder="1" applyAlignment="1">
      <alignment horizontal="center" vertical="center" wrapText="1"/>
    </xf>
    <xf numFmtId="0" fontId="6" fillId="17" borderId="9" xfId="0" applyFont="1" applyFill="1" applyBorder="1" applyAlignment="1">
      <alignment horizontal="center" vertical="center" wrapText="1"/>
    </xf>
    <xf numFmtId="0" fontId="6" fillId="18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vertical="center" wrapText="1"/>
    </xf>
    <xf numFmtId="164" fontId="14" fillId="12" borderId="9" xfId="0" applyNumberFormat="1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19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0" borderId="9" xfId="0" applyFont="1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1" fillId="2" borderId="9" xfId="0" applyFont="1" applyFill="1" applyBorder="1"/>
    <xf numFmtId="164" fontId="6" fillId="2" borderId="5" xfId="0" applyNumberFormat="1" applyFont="1" applyFill="1" applyBorder="1" applyAlignment="1">
      <alignment horizontal="center" wrapText="1"/>
    </xf>
    <xf numFmtId="0" fontId="6" fillId="7" borderId="6" xfId="0" applyFont="1" applyFill="1" applyBorder="1" applyAlignment="1">
      <alignment horizontal="center" vertical="center" wrapText="1"/>
    </xf>
    <xf numFmtId="164" fontId="6" fillId="2" borderId="8" xfId="0" applyNumberFormat="1" applyFont="1" applyFill="1" applyBorder="1" applyAlignment="1">
      <alignment horizontal="center" vertical="center" wrapText="1"/>
    </xf>
    <xf numFmtId="0" fontId="3" fillId="21" borderId="9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/>
    </xf>
    <xf numFmtId="10" fontId="3" fillId="0" borderId="9" xfId="0" applyNumberFormat="1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2" borderId="9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15" fillId="0" borderId="5" xfId="0" applyFont="1" applyBorder="1" applyAlignment="1">
      <alignment horizontal="center" vertical="center" readingOrder="1"/>
    </xf>
    <xf numFmtId="0" fontId="15" fillId="22" borderId="3" xfId="0" applyFont="1" applyFill="1" applyBorder="1" applyAlignment="1">
      <alignment horizontal="center" vertical="center" readingOrder="1"/>
    </xf>
    <xf numFmtId="0" fontId="15" fillId="22" borderId="5" xfId="0" applyFont="1" applyFill="1" applyBorder="1" applyAlignment="1">
      <alignment horizontal="center" vertical="center" readingOrder="1"/>
    </xf>
    <xf numFmtId="0" fontId="3" fillId="22" borderId="9" xfId="0" applyFont="1" applyFill="1" applyBorder="1" applyAlignment="1">
      <alignment horizontal="center"/>
    </xf>
    <xf numFmtId="0" fontId="3" fillId="24" borderId="9" xfId="0" applyFont="1" applyFill="1" applyBorder="1" applyAlignment="1">
      <alignment horizontal="center" vertical="center"/>
    </xf>
    <xf numFmtId="0" fontId="0" fillId="0" borderId="9" xfId="0" applyBorder="1"/>
    <xf numFmtId="10" fontId="3" fillId="0" borderId="1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3" fillId="24" borderId="9" xfId="0" applyFont="1" applyFill="1" applyBorder="1" applyAlignment="1">
      <alignment horizontal="center"/>
    </xf>
    <xf numFmtId="0" fontId="15" fillId="24" borderId="3" xfId="0" applyFont="1" applyFill="1" applyBorder="1" applyAlignment="1">
      <alignment horizontal="center" vertical="center" readingOrder="1"/>
    </xf>
    <xf numFmtId="0" fontId="15" fillId="24" borderId="5" xfId="0" applyFont="1" applyFill="1" applyBorder="1" applyAlignment="1">
      <alignment horizontal="center" vertical="center" readingOrder="1"/>
    </xf>
    <xf numFmtId="0" fontId="0" fillId="24" borderId="0" xfId="0" applyFill="1"/>
    <xf numFmtId="10" fontId="3" fillId="0" borderId="9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0" fontId="3" fillId="0" borderId="10" xfId="0" applyNumberFormat="1" applyFont="1" applyBorder="1" applyAlignment="1">
      <alignment horizontal="center" vertical="center"/>
    </xf>
    <xf numFmtId="0" fontId="0" fillId="0" borderId="6" xfId="0" applyBorder="1"/>
    <xf numFmtId="0" fontId="3" fillId="22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5" borderId="9" xfId="0" applyFont="1" applyFill="1" applyBorder="1" applyAlignment="1">
      <alignment horizontal="center"/>
    </xf>
    <xf numFmtId="0" fontId="3" fillId="26" borderId="9" xfId="0" applyFont="1" applyFill="1" applyBorder="1" applyAlignment="1">
      <alignment horizontal="center"/>
    </xf>
    <xf numFmtId="165" fontId="3" fillId="0" borderId="2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3" fillId="0" borderId="17" xfId="0" applyNumberFormat="1" applyFont="1" applyBorder="1" applyAlignment="1">
      <alignment horizontal="center" vertical="center" indent="1"/>
    </xf>
    <xf numFmtId="165" fontId="3" fillId="0" borderId="19" xfId="0" applyNumberFormat="1" applyFont="1" applyBorder="1" applyAlignment="1">
      <alignment horizontal="center" vertical="center" indent="1"/>
    </xf>
    <xf numFmtId="0" fontId="3" fillId="0" borderId="20" xfId="0" applyFont="1" applyBorder="1" applyAlignment="1">
      <alignment horizontal="center" vertical="center"/>
    </xf>
    <xf numFmtId="165" fontId="3" fillId="0" borderId="25" xfId="0" applyNumberFormat="1" applyFont="1" applyBorder="1" applyAlignment="1">
      <alignment horizontal="center" vertical="center" indent="1"/>
    </xf>
    <xf numFmtId="15" fontId="3" fillId="0" borderId="19" xfId="0" applyNumberFormat="1" applyFont="1" applyBorder="1" applyAlignment="1">
      <alignment horizontal="center" vertical="center"/>
    </xf>
    <xf numFmtId="166" fontId="0" fillId="31" borderId="26" xfId="0" applyNumberFormat="1" applyFill="1" applyBorder="1" applyAlignment="1">
      <alignment horizontal="center" vertical="center"/>
    </xf>
    <xf numFmtId="166" fontId="0" fillId="31" borderId="18" xfId="0" applyNumberFormat="1" applyFill="1" applyBorder="1" applyAlignment="1">
      <alignment horizontal="center" vertical="center"/>
    </xf>
    <xf numFmtId="166" fontId="0" fillId="31" borderId="21" xfId="0" applyNumberFormat="1" applyFill="1" applyBorder="1" applyAlignment="1">
      <alignment horizontal="center" vertical="center"/>
    </xf>
    <xf numFmtId="166" fontId="0" fillId="32" borderId="26" xfId="0" applyNumberFormat="1" applyFill="1" applyBorder="1" applyAlignment="1">
      <alignment horizontal="center" vertical="center"/>
    </xf>
    <xf numFmtId="166" fontId="0" fillId="32" borderId="18" xfId="0" applyNumberFormat="1" applyFill="1" applyBorder="1" applyAlignment="1">
      <alignment horizontal="center" vertical="center"/>
    </xf>
    <xf numFmtId="166" fontId="0" fillId="32" borderId="21" xfId="0" applyNumberFormat="1" applyFill="1" applyBorder="1" applyAlignment="1">
      <alignment horizontal="center" vertical="center"/>
    </xf>
    <xf numFmtId="165" fontId="0" fillId="0" borderId="0" xfId="0" applyNumberFormat="1"/>
    <xf numFmtId="0" fontId="11" fillId="0" borderId="0" xfId="0" applyFont="1" applyAlignment="1">
      <alignment horizontal="center" vertical="center"/>
    </xf>
    <xf numFmtId="165" fontId="11" fillId="0" borderId="6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24" borderId="9" xfId="0" applyFont="1" applyFill="1" applyBorder="1" applyAlignment="1">
      <alignment horizontal="center" vertical="center"/>
    </xf>
    <xf numFmtId="0" fontId="11" fillId="22" borderId="9" xfId="0" applyFont="1" applyFill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165" fontId="11" fillId="0" borderId="9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22" borderId="6" xfId="0" applyFont="1" applyFill="1" applyBorder="1" applyAlignment="1">
      <alignment horizontal="center" vertical="center"/>
    </xf>
    <xf numFmtId="10" fontId="11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24" borderId="0" xfId="0" applyFont="1" applyFill="1" applyAlignment="1">
      <alignment horizontal="center" vertical="center"/>
    </xf>
    <xf numFmtId="2" fontId="11" fillId="0" borderId="9" xfId="0" applyNumberFormat="1" applyFont="1" applyBorder="1" applyAlignment="1">
      <alignment horizontal="center" vertical="center"/>
    </xf>
    <xf numFmtId="0" fontId="11" fillId="26" borderId="9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 readingOrder="1"/>
    </xf>
    <xf numFmtId="0" fontId="21" fillId="22" borderId="3" xfId="0" applyFont="1" applyFill="1" applyBorder="1" applyAlignment="1">
      <alignment horizontal="center" vertical="center" readingOrder="1"/>
    </xf>
    <xf numFmtId="0" fontId="21" fillId="0" borderId="5" xfId="0" applyFont="1" applyBorder="1" applyAlignment="1">
      <alignment horizontal="center" vertical="center" readingOrder="1"/>
    </xf>
    <xf numFmtId="0" fontId="21" fillId="22" borderId="5" xfId="0" applyFont="1" applyFill="1" applyBorder="1" applyAlignment="1">
      <alignment horizontal="center" vertical="center" readingOrder="1"/>
    </xf>
    <xf numFmtId="0" fontId="11" fillId="2" borderId="3" xfId="0" applyFont="1" applyFill="1" applyBorder="1" applyAlignment="1">
      <alignment horizontal="center" vertical="center" wrapText="1"/>
    </xf>
    <xf numFmtId="0" fontId="11" fillId="27" borderId="9" xfId="0" applyFont="1" applyFill="1" applyBorder="1" applyAlignment="1">
      <alignment horizontal="center" vertical="center"/>
    </xf>
    <xf numFmtId="0" fontId="11" fillId="28" borderId="9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33" borderId="9" xfId="0" applyFont="1" applyFill="1" applyBorder="1" applyAlignment="1">
      <alignment horizontal="center" vertical="center"/>
    </xf>
    <xf numFmtId="10" fontId="11" fillId="0" borderId="9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5" fontId="21" fillId="0" borderId="9" xfId="0" applyNumberFormat="1" applyFont="1" applyBorder="1" applyAlignment="1">
      <alignment horizontal="center" vertical="center"/>
    </xf>
    <xf numFmtId="0" fontId="21" fillId="22" borderId="9" xfId="0" applyFont="1" applyFill="1" applyBorder="1" applyAlignment="1">
      <alignment horizontal="center" vertical="center"/>
    </xf>
    <xf numFmtId="0" fontId="22" fillId="23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0" fillId="23" borderId="4" xfId="0" applyFont="1" applyFill="1" applyBorder="1" applyAlignment="1">
      <alignment horizontal="center" vertical="center"/>
    </xf>
    <xf numFmtId="0" fontId="23" fillId="23" borderId="4" xfId="0" applyFont="1" applyFill="1" applyBorder="1" applyAlignment="1">
      <alignment horizontal="center" vertical="center"/>
    </xf>
    <xf numFmtId="1" fontId="23" fillId="23" borderId="4" xfId="0" applyNumberFormat="1" applyFont="1" applyFill="1" applyBorder="1" applyAlignment="1">
      <alignment horizontal="center" vertical="center"/>
    </xf>
    <xf numFmtId="9" fontId="21" fillId="0" borderId="9" xfId="0" applyNumberFormat="1" applyFont="1" applyBorder="1" applyAlignment="1">
      <alignment horizontal="center" vertical="center"/>
    </xf>
    <xf numFmtId="0" fontId="22" fillId="23" borderId="0" xfId="0" applyFont="1" applyFill="1" applyAlignment="1">
      <alignment horizontal="center" vertical="center" wrapText="1"/>
    </xf>
    <xf numFmtId="0" fontId="23" fillId="22" borderId="0" xfId="0" applyFont="1" applyFill="1" applyAlignment="1">
      <alignment horizontal="center" vertical="center"/>
    </xf>
    <xf numFmtId="0" fontId="20" fillId="23" borderId="0" xfId="0" applyFont="1" applyFill="1" applyAlignment="1">
      <alignment horizontal="center" vertical="center"/>
    </xf>
    <xf numFmtId="0" fontId="2" fillId="0" borderId="7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8" xfId="0" applyFont="1" applyBorder="1"/>
    <xf numFmtId="0" fontId="2" fillId="0" borderId="13" xfId="0" applyFont="1" applyBorder="1"/>
    <xf numFmtId="167" fontId="6" fillId="2" borderId="6" xfId="0" applyNumberFormat="1" applyFont="1" applyFill="1" applyBorder="1" applyAlignment="1">
      <alignment horizontal="center" vertical="center" wrapText="1"/>
    </xf>
    <xf numFmtId="167" fontId="2" fillId="0" borderId="7" xfId="0" applyNumberFormat="1" applyFont="1" applyBorder="1"/>
    <xf numFmtId="167" fontId="6" fillId="2" borderId="9" xfId="0" applyNumberFormat="1" applyFont="1" applyFill="1" applyBorder="1" applyAlignment="1">
      <alignment horizontal="center" vertical="center" wrapText="1"/>
    </xf>
    <xf numFmtId="167" fontId="2" fillId="0" borderId="4" xfId="0" applyNumberFormat="1" applyFont="1" applyBorder="1"/>
    <xf numFmtId="167" fontId="6" fillId="2" borderId="6" xfId="0" applyNumberFormat="1" applyFont="1" applyFill="1" applyBorder="1" applyAlignment="1">
      <alignment horizontal="left" vertical="center" wrapText="1"/>
    </xf>
    <xf numFmtId="167" fontId="6" fillId="2" borderId="4" xfId="0" applyNumberFormat="1" applyFont="1" applyFill="1" applyBorder="1" applyAlignment="1">
      <alignment horizontal="center" vertical="center" wrapText="1"/>
    </xf>
    <xf numFmtId="167" fontId="6" fillId="2" borderId="7" xfId="0" applyNumberFormat="1" applyFont="1" applyFill="1" applyBorder="1" applyAlignment="1">
      <alignment horizontal="center" vertical="center" wrapText="1"/>
    </xf>
    <xf numFmtId="167" fontId="3" fillId="0" borderId="9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67" fontId="2" fillId="0" borderId="4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7" fontId="3" fillId="0" borderId="9" xfId="0" applyNumberFormat="1" applyFont="1" applyBorder="1" applyAlignment="1">
      <alignment horizontal="center"/>
    </xf>
    <xf numFmtId="167" fontId="3" fillId="0" borderId="6" xfId="0" applyNumberFormat="1" applyFont="1" applyBorder="1" applyAlignment="1">
      <alignment indent="1"/>
    </xf>
    <xf numFmtId="167" fontId="3" fillId="0" borderId="7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/>
    </xf>
    <xf numFmtId="167" fontId="3" fillId="0" borderId="6" xfId="0" applyNumberFormat="1" applyFont="1" applyBorder="1" applyAlignment="1">
      <alignment horizontal="center" indent="1"/>
    </xf>
    <xf numFmtId="167" fontId="11" fillId="0" borderId="6" xfId="0" applyNumberFormat="1" applyFont="1" applyBorder="1" applyAlignment="1">
      <alignment horizontal="center" vertical="center"/>
    </xf>
    <xf numFmtId="167" fontId="11" fillId="0" borderId="9" xfId="0" applyNumberFormat="1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/>
    </xf>
    <xf numFmtId="167" fontId="21" fillId="0" borderId="9" xfId="0" applyNumberFormat="1" applyFont="1" applyBorder="1" applyAlignment="1">
      <alignment horizontal="center" vertical="center"/>
    </xf>
    <xf numFmtId="0" fontId="24" fillId="34" borderId="0" xfId="0" applyFont="1" applyFill="1"/>
    <xf numFmtId="0" fontId="25" fillId="0" borderId="0" xfId="0" applyFont="1"/>
    <xf numFmtId="167" fontId="0" fillId="0" borderId="0" xfId="0" applyNumberFormat="1"/>
    <xf numFmtId="168" fontId="0" fillId="0" borderId="0" xfId="0" applyNumberFormat="1"/>
    <xf numFmtId="166" fontId="0" fillId="0" borderId="0" xfId="0" applyNumberFormat="1"/>
    <xf numFmtId="0" fontId="26" fillId="0" borderId="0" xfId="0" applyFont="1"/>
    <xf numFmtId="0" fontId="27" fillId="36" borderId="0" xfId="0" applyFont="1" applyFill="1"/>
    <xf numFmtId="170" fontId="26" fillId="0" borderId="0" xfId="0" applyNumberFormat="1" applyFont="1"/>
    <xf numFmtId="3" fontId="26" fillId="0" borderId="0" xfId="0" applyNumberFormat="1" applyFont="1"/>
    <xf numFmtId="166" fontId="26" fillId="0" borderId="0" xfId="0" applyNumberFormat="1" applyFont="1"/>
    <xf numFmtId="0" fontId="27" fillId="36" borderId="0" xfId="0" applyFont="1" applyFill="1" applyAlignment="1">
      <alignment horizontal="center" vertical="center" wrapText="1"/>
    </xf>
    <xf numFmtId="167" fontId="26" fillId="0" borderId="0" xfId="0" applyNumberFormat="1" applyFont="1" applyAlignment="1">
      <alignment horizontal="center"/>
    </xf>
    <xf numFmtId="168" fontId="26" fillId="0" borderId="0" xfId="0" applyNumberFormat="1" applyFont="1" applyAlignment="1">
      <alignment horizontal="right"/>
    </xf>
    <xf numFmtId="166" fontId="26" fillId="0" borderId="0" xfId="0" applyNumberFormat="1" applyFont="1" applyAlignment="1">
      <alignment horizontal="right"/>
    </xf>
    <xf numFmtId="0" fontId="26" fillId="0" borderId="0" xfId="0" applyFont="1" applyAlignment="1">
      <alignment horizontal="right"/>
    </xf>
    <xf numFmtId="165" fontId="33" fillId="0" borderId="25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166" fontId="33" fillId="0" borderId="26" xfId="0" applyNumberFormat="1" applyFont="1" applyBorder="1" applyAlignment="1">
      <alignment horizontal="center" vertical="center" wrapText="1"/>
    </xf>
    <xf numFmtId="165" fontId="33" fillId="0" borderId="17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166" fontId="33" fillId="0" borderId="18" xfId="0" applyNumberFormat="1" applyFont="1" applyBorder="1" applyAlignment="1">
      <alignment horizontal="center" vertical="center" wrapText="1"/>
    </xf>
    <xf numFmtId="165" fontId="34" fillId="0" borderId="19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166" fontId="33" fillId="0" borderId="21" xfId="0" applyNumberFormat="1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2" borderId="31" xfId="0" applyFont="1" applyFill="1" applyBorder="1" applyAlignment="1">
      <alignment horizontal="center" vertical="center"/>
    </xf>
    <xf numFmtId="164" fontId="32" fillId="0" borderId="32" xfId="0" applyNumberFormat="1" applyFont="1" applyBorder="1" applyAlignment="1">
      <alignment horizontal="center" vertical="center"/>
    </xf>
    <xf numFmtId="9" fontId="0" fillId="0" borderId="0" xfId="0" applyNumberFormat="1"/>
    <xf numFmtId="165" fontId="14" fillId="0" borderId="25" xfId="0" applyNumberFormat="1" applyFont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 vertical="center" wrapText="1"/>
    </xf>
    <xf numFmtId="165" fontId="14" fillId="0" borderId="19" xfId="0" applyNumberFormat="1" applyFont="1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37" fillId="2" borderId="30" xfId="0" applyFont="1" applyFill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32" xfId="0" applyFont="1" applyBorder="1" applyAlignment="1">
      <alignment horizontal="center" vertical="center"/>
    </xf>
    <xf numFmtId="0" fontId="22" fillId="23" borderId="9" xfId="0" applyFont="1" applyFill="1" applyBorder="1" applyAlignment="1">
      <alignment horizontal="center" vertical="center" wrapText="1"/>
    </xf>
    <xf numFmtId="0" fontId="20" fillId="23" borderId="9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164" fontId="22" fillId="0" borderId="4" xfId="0" applyNumberFormat="1" applyFont="1" applyBorder="1" applyAlignment="1">
      <alignment horizontal="center" vertical="center" wrapText="1"/>
    </xf>
    <xf numFmtId="0" fontId="24" fillId="37" borderId="0" xfId="0" applyFont="1" applyFill="1" applyAlignment="1">
      <alignment horizontal="center" vertical="center"/>
    </xf>
    <xf numFmtId="169" fontId="36" fillId="38" borderId="0" xfId="0" applyNumberFormat="1" applyFont="1" applyFill="1" applyAlignment="1">
      <alignment horizontal="center" vertical="center"/>
    </xf>
    <xf numFmtId="0" fontId="36" fillId="38" borderId="0" xfId="0" applyFont="1" applyFill="1" applyAlignment="1">
      <alignment horizontal="center" vertical="center"/>
    </xf>
    <xf numFmtId="166" fontId="36" fillId="38" borderId="0" xfId="0" applyNumberFormat="1" applyFont="1" applyFill="1" applyAlignment="1">
      <alignment horizontal="center" vertical="center"/>
    </xf>
    <xf numFmtId="0" fontId="28" fillId="34" borderId="0" xfId="0" applyFont="1" applyFill="1" applyAlignment="1">
      <alignment horizontal="center" vertical="center"/>
    </xf>
    <xf numFmtId="0" fontId="29" fillId="35" borderId="0" xfId="0" applyFont="1" applyFill="1" applyAlignment="1">
      <alignment horizontal="center"/>
    </xf>
    <xf numFmtId="0" fontId="27" fillId="37" borderId="0" xfId="0" applyFont="1" applyFill="1" applyAlignment="1">
      <alignment horizontal="center" vertical="center"/>
    </xf>
    <xf numFmtId="169" fontId="35" fillId="38" borderId="0" xfId="0" applyNumberFormat="1" applyFont="1" applyFill="1" applyAlignment="1">
      <alignment horizontal="center" vertical="center"/>
    </xf>
    <xf numFmtId="166" fontId="35" fillId="38" borderId="0" xfId="0" applyNumberFormat="1" applyFont="1" applyFill="1" applyAlignment="1">
      <alignment horizontal="center" vertical="center"/>
    </xf>
    <xf numFmtId="3" fontId="35" fillId="38" borderId="0" xfId="0" applyNumberFormat="1" applyFont="1" applyFill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3" fillId="12" borderId="12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2" fillId="2" borderId="6" xfId="0" applyFont="1" applyFill="1" applyBorder="1" applyAlignment="1">
      <alignment horizontal="center" vertical="center" wrapText="1"/>
    </xf>
    <xf numFmtId="0" fontId="22" fillId="23" borderId="1" xfId="0" applyFont="1" applyFill="1" applyBorder="1" applyAlignment="1">
      <alignment horizontal="center" vertical="center" wrapText="1"/>
    </xf>
    <xf numFmtId="0" fontId="20" fillId="23" borderId="2" xfId="0" applyFont="1" applyFill="1" applyBorder="1" applyAlignment="1">
      <alignment horizontal="center" vertical="center"/>
    </xf>
    <xf numFmtId="0" fontId="20" fillId="23" borderId="3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164" fontId="22" fillId="0" borderId="6" xfId="0" applyNumberFormat="1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/>
    </xf>
    <xf numFmtId="0" fontId="22" fillId="23" borderId="10" xfId="0" applyFont="1" applyFill="1" applyBorder="1" applyAlignment="1">
      <alignment horizontal="center" vertical="center" wrapText="1"/>
    </xf>
    <xf numFmtId="0" fontId="20" fillId="23" borderId="12" xfId="0" applyFont="1" applyFill="1" applyBorder="1" applyAlignment="1">
      <alignment horizontal="center" vertical="center"/>
    </xf>
    <xf numFmtId="0" fontId="20" fillId="23" borderId="11" xfId="0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164" fontId="11" fillId="0" borderId="9" xfId="0" applyNumberFormat="1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31" fillId="22" borderId="33" xfId="0" applyFont="1" applyFill="1" applyBorder="1" applyAlignment="1">
      <alignment horizontal="center" vertical="center" wrapText="1"/>
    </xf>
    <xf numFmtId="0" fontId="31" fillId="22" borderId="34" xfId="0" applyFont="1" applyFill="1" applyBorder="1" applyAlignment="1">
      <alignment horizontal="center" vertical="center" wrapText="1"/>
    </xf>
    <xf numFmtId="0" fontId="31" fillId="22" borderId="35" xfId="0" applyFont="1" applyFill="1" applyBorder="1" applyAlignment="1">
      <alignment horizontal="center" vertical="center" wrapText="1"/>
    </xf>
    <xf numFmtId="0" fontId="18" fillId="29" borderId="22" xfId="0" applyFont="1" applyFill="1" applyBorder="1" applyAlignment="1">
      <alignment horizontal="center" vertical="center"/>
    </xf>
    <xf numFmtId="0" fontId="18" fillId="29" borderId="23" xfId="0" applyFont="1" applyFill="1" applyBorder="1" applyAlignment="1">
      <alignment horizontal="center" vertical="center"/>
    </xf>
    <xf numFmtId="0" fontId="18" fillId="29" borderId="24" xfId="0" applyFont="1" applyFill="1" applyBorder="1" applyAlignment="1">
      <alignment horizontal="center" vertical="center"/>
    </xf>
    <xf numFmtId="0" fontId="16" fillId="30" borderId="14" xfId="0" applyFont="1" applyFill="1" applyBorder="1" applyAlignment="1">
      <alignment horizontal="center" vertical="center" wrapText="1"/>
    </xf>
    <xf numFmtId="0" fontId="17" fillId="30" borderId="19" xfId="0" applyFont="1" applyFill="1" applyBorder="1" applyAlignment="1">
      <alignment horizontal="center" vertical="center"/>
    </xf>
    <xf numFmtId="0" fontId="16" fillId="30" borderId="15" xfId="0" applyFont="1" applyFill="1" applyBorder="1" applyAlignment="1">
      <alignment horizontal="center" vertical="center" wrapText="1"/>
    </xf>
    <xf numFmtId="0" fontId="17" fillId="30" borderId="20" xfId="0" applyFont="1" applyFill="1" applyBorder="1" applyAlignment="1">
      <alignment horizontal="center" vertical="center"/>
    </xf>
    <xf numFmtId="0" fontId="16" fillId="30" borderId="20" xfId="0" applyFont="1" applyFill="1" applyBorder="1" applyAlignment="1">
      <alignment horizontal="center" vertical="center" wrapText="1"/>
    </xf>
    <xf numFmtId="0" fontId="16" fillId="30" borderId="16" xfId="0" applyFont="1" applyFill="1" applyBorder="1" applyAlignment="1">
      <alignment horizontal="center" vertical="center" wrapText="1"/>
    </xf>
    <xf numFmtId="0" fontId="16" fillId="30" borderId="21" xfId="0" applyFont="1" applyFill="1" applyBorder="1" applyAlignment="1">
      <alignment horizontal="center" vertical="center" wrapText="1"/>
    </xf>
    <xf numFmtId="0" fontId="30" fillId="34" borderId="0" xfId="0" applyFont="1" applyFill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7" xfId="0" applyFont="1" applyBorder="1" applyAlignment="1"/>
    <xf numFmtId="0" fontId="2" fillId="0" borderId="11" xfId="0" applyFont="1" applyBorder="1" applyAlignment="1"/>
    <xf numFmtId="0" fontId="0" fillId="0" borderId="0" xfId="0" applyAlignment="1"/>
    <xf numFmtId="0" fontId="2" fillId="0" borderId="5" xfId="0" applyFont="1" applyBorder="1" applyAlignment="1"/>
    <xf numFmtId="0" fontId="19" fillId="0" borderId="7" xfId="0" applyFont="1" applyBorder="1" applyAlignment="1"/>
    <xf numFmtId="0" fontId="2" fillId="0" borderId="4" xfId="0" applyFont="1" applyBorder="1" applyAlignment="1"/>
    <xf numFmtId="0" fontId="2" fillId="23" borderId="2" xfId="0" applyFont="1" applyFill="1" applyBorder="1" applyAlignment="1"/>
    <xf numFmtId="0" fontId="2" fillId="23" borderId="3" xfId="0" applyFont="1" applyFill="1" applyBorder="1" applyAlignme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Input vs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Input (kg)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Dashboard!$A$12:$A$23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Dashboard!$B$12:$B$23</c:f>
              <c:numCache>
                <c:formatCode>#,##0</c:formatCode>
                <c:ptCount val="12"/>
                <c:pt idx="0">
                  <c:v>222831.94</c:v>
                </c:pt>
                <c:pt idx="1">
                  <c:v>203017.28</c:v>
                </c:pt>
                <c:pt idx="2">
                  <c:v>127840</c:v>
                </c:pt>
                <c:pt idx="3">
                  <c:v>212986</c:v>
                </c:pt>
                <c:pt idx="4">
                  <c:v>194211</c:v>
                </c:pt>
                <c:pt idx="5">
                  <c:v>170858.78</c:v>
                </c:pt>
                <c:pt idx="6">
                  <c:v>224350.5</c:v>
                </c:pt>
                <c:pt idx="7">
                  <c:v>299859</c:v>
                </c:pt>
                <c:pt idx="8">
                  <c:v>342414.3</c:v>
                </c:pt>
                <c:pt idx="9">
                  <c:v>128197.5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C-4D21-B637-51178EF936BD}"/>
            </c:ext>
          </c:extLst>
        </c:ser>
        <c:ser>
          <c:idx val="1"/>
          <c:order val="1"/>
          <c:tx>
            <c:v>Output (kg)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Dashboard!$A$12:$A$23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Dashboard!$C$12:$C$23</c:f>
              <c:numCache>
                <c:formatCode>#,##0</c:formatCode>
                <c:ptCount val="12"/>
                <c:pt idx="0">
                  <c:v>206866</c:v>
                </c:pt>
                <c:pt idx="1">
                  <c:v>188374.3</c:v>
                </c:pt>
                <c:pt idx="2">
                  <c:v>120427.6</c:v>
                </c:pt>
                <c:pt idx="3">
                  <c:v>197138</c:v>
                </c:pt>
                <c:pt idx="4">
                  <c:v>180921.4</c:v>
                </c:pt>
                <c:pt idx="5">
                  <c:v>158518</c:v>
                </c:pt>
                <c:pt idx="6">
                  <c:v>206773</c:v>
                </c:pt>
                <c:pt idx="7">
                  <c:v>277493</c:v>
                </c:pt>
                <c:pt idx="8">
                  <c:v>319559</c:v>
                </c:pt>
                <c:pt idx="9">
                  <c:v>119141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9C-4D21-B637-51178EF93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979335"/>
        <c:axId val="162987015"/>
      </c:barChart>
      <c:dateAx>
        <c:axId val="162979335"/>
        <c:scaling>
          <c:orientation val="minMax"/>
        </c:scaling>
        <c:delete val="0"/>
        <c:axPos val="b"/>
        <c:numFmt formatCode="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87015"/>
        <c:crosses val="autoZero"/>
        <c:auto val="1"/>
        <c:lblOffset val="100"/>
        <c:baseTimeUnit val="months"/>
      </c:dateAx>
      <c:valAx>
        <c:axId val="1629870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 (000s)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9335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Output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Output (kg)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Dashboard!$A$32:$A$38</c:f>
              <c:strCache>
                <c:ptCount val="7"/>
                <c:pt idx="0">
                  <c:v>MULTIGRAIN</c:v>
                </c:pt>
                <c:pt idx="1">
                  <c:v>KHAPLI</c:v>
                </c:pt>
                <c:pt idx="2">
                  <c:v>KHAPLI PROTEIN GRAINS</c:v>
                </c:pt>
                <c:pt idx="3">
                  <c:v>HIGH PROTEIN ATTA</c:v>
                </c:pt>
                <c:pt idx="4">
                  <c:v>KHAPLI GRAINS</c:v>
                </c:pt>
                <c:pt idx="5">
                  <c:v>KHAPLI WHEAT GRAINS</c:v>
                </c:pt>
                <c:pt idx="6">
                  <c:v>JOWAR GRAINS</c:v>
                </c:pt>
              </c:strCache>
            </c:strRef>
          </c:cat>
          <c:val>
            <c:numRef>
              <c:f>Dashboard!$B$32:$B$38</c:f>
              <c:numCache>
                <c:formatCode>#,##0</c:formatCode>
                <c:ptCount val="7"/>
                <c:pt idx="0">
                  <c:v>1029675.3</c:v>
                </c:pt>
                <c:pt idx="1">
                  <c:v>433252</c:v>
                </c:pt>
                <c:pt idx="2">
                  <c:v>152813.5</c:v>
                </c:pt>
                <c:pt idx="3">
                  <c:v>88375.5</c:v>
                </c:pt>
                <c:pt idx="4">
                  <c:v>50607</c:v>
                </c:pt>
                <c:pt idx="5">
                  <c:v>32338</c:v>
                </c:pt>
                <c:pt idx="6">
                  <c:v>30867.5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4-4988-813B-B7C288C9A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1747207"/>
        <c:axId val="901749255"/>
      </c:barChart>
      <c:catAx>
        <c:axId val="901747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749255"/>
        <c:crosses val="autoZero"/>
        <c:auto val="1"/>
        <c:lblAlgn val="ctr"/>
        <c:lblOffset val="100"/>
        <c:noMultiLvlLbl val="0"/>
      </c:catAx>
      <c:valAx>
        <c:axId val="90174925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 (000s)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74720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2" name="Monthly Throughput">
          <a:extLst>
            <a:ext uri="{FF2B5EF4-FFF2-40B4-BE49-F238E27FC236}">
              <a16:creationId xmlns:a16="http://schemas.microsoft.com/office/drawing/2014/main" id="{2BD35D46-880B-2202-71F7-2C558A8D5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3" name="Top Products">
          <a:extLst>
            <a:ext uri="{FF2B5EF4-FFF2-40B4-BE49-F238E27FC236}">
              <a16:creationId xmlns:a16="http://schemas.microsoft.com/office/drawing/2014/main" id="{FEEEAE58-5C05-BA8E-1833-6D5CCA4AC21C}"/>
            </a:ext>
            <a:ext uri="{147F2762-F138-4A5C-976F-8EAC2B608ADB}">
              <a16:predDERef xmlns:a16="http://schemas.microsoft.com/office/drawing/2014/main" pred="{2BD35D46-880B-2202-71F7-2C558A8D5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boffoodspvtltd-my.sharepoint.com/personal/sudhanshu_kumar_twobrothersindia_com/Documents/Oil_Production_Yield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4-4yud4iEWfTO2df1x4oLm8qKJV7LJIhOR4s2l1tE5fHutY-yvQSaso7g1u17tG" itemId="01ALL7TPQM45GVPCZVVFGJPVFV5CNNFWRI"/>
    <sheetNames>
      <sheetName val="Report Summary"/>
    </sheetNames>
    <sheetDataSet>
      <sheetData sheetId="0">
        <row r="3">
          <cell r="A3">
            <v>46238</v>
          </cell>
          <cell r="B3" t="str">
            <v>Mill 1</v>
          </cell>
          <cell r="C3" t="str">
            <v>Sunflower</v>
          </cell>
          <cell r="D3">
            <v>1365.94</v>
          </cell>
          <cell r="E3">
            <v>844.1</v>
          </cell>
          <cell r="F3">
            <v>7</v>
          </cell>
          <cell r="G3">
            <v>24.34</v>
          </cell>
          <cell r="H3">
            <v>31.34</v>
          </cell>
          <cell r="I3">
            <v>0</v>
          </cell>
          <cell r="J3">
            <v>5</v>
          </cell>
          <cell r="K3" t="str">
            <v>Day</v>
          </cell>
          <cell r="L3">
            <v>0</v>
          </cell>
        </row>
        <row r="4">
          <cell r="A4">
            <v>46241</v>
          </cell>
          <cell r="B4" t="str">
            <v>Mill 1</v>
          </cell>
          <cell r="C4" t="str">
            <v>Sunflower</v>
          </cell>
          <cell r="D4">
            <v>1157</v>
          </cell>
          <cell r="E4">
            <v>723</v>
          </cell>
          <cell r="F4">
            <v>8</v>
          </cell>
          <cell r="G4">
            <v>10</v>
          </cell>
          <cell r="H4">
            <v>18</v>
          </cell>
          <cell r="I4">
            <v>0</v>
          </cell>
          <cell r="J4">
            <v>6</v>
          </cell>
          <cell r="K4" t="str">
            <v>Day</v>
          </cell>
          <cell r="L4">
            <v>0</v>
          </cell>
        </row>
        <row r="5">
          <cell r="A5">
            <v>46258</v>
          </cell>
          <cell r="B5" t="str">
            <v>Mill 1</v>
          </cell>
          <cell r="C5" t="str">
            <v>Sunflower</v>
          </cell>
          <cell r="D5">
            <v>1202.3900000000001</v>
          </cell>
          <cell r="E5">
            <v>755.8</v>
          </cell>
          <cell r="F5">
            <v>11</v>
          </cell>
          <cell r="G5">
            <v>16.5</v>
          </cell>
          <cell r="H5">
            <v>27.5</v>
          </cell>
          <cell r="I5">
            <v>0</v>
          </cell>
          <cell r="J5">
            <v>5</v>
          </cell>
          <cell r="K5" t="str">
            <v>Day</v>
          </cell>
          <cell r="L5">
            <v>0</v>
          </cell>
        </row>
        <row r="6">
          <cell r="A6">
            <v>46286</v>
          </cell>
          <cell r="B6" t="str">
            <v>Mill 1</v>
          </cell>
          <cell r="C6" t="str">
            <v>Sunflower</v>
          </cell>
          <cell r="D6">
            <v>588.67999999999995</v>
          </cell>
          <cell r="E6">
            <v>380</v>
          </cell>
          <cell r="F6">
            <v>8.68</v>
          </cell>
          <cell r="G6">
            <v>0</v>
          </cell>
          <cell r="H6">
            <v>8.68</v>
          </cell>
          <cell r="I6">
            <v>200</v>
          </cell>
          <cell r="J6">
            <v>4</v>
          </cell>
          <cell r="K6" t="str">
            <v>Day</v>
          </cell>
          <cell r="L6">
            <v>0.33974315417544337</v>
          </cell>
        </row>
        <row r="7">
          <cell r="A7">
            <v>46287</v>
          </cell>
          <cell r="B7" t="str">
            <v>Mill 2</v>
          </cell>
          <cell r="C7" t="str">
            <v>Sunflower</v>
          </cell>
          <cell r="D7">
            <v>1446.84</v>
          </cell>
          <cell r="E7">
            <v>930</v>
          </cell>
          <cell r="F7">
            <v>18</v>
          </cell>
          <cell r="G7">
            <v>1.84</v>
          </cell>
          <cell r="H7">
            <v>19.84</v>
          </cell>
          <cell r="I7">
            <v>497</v>
          </cell>
          <cell r="J7">
            <v>4</v>
          </cell>
          <cell r="K7" t="str">
            <v>Day</v>
          </cell>
          <cell r="L7">
            <v>0.34350722954853335</v>
          </cell>
        </row>
        <row r="8">
          <cell r="A8">
            <v>46288</v>
          </cell>
          <cell r="B8" t="str">
            <v>Mill 3</v>
          </cell>
          <cell r="C8" t="str">
            <v>Sunflower</v>
          </cell>
          <cell r="D8">
            <v>1328.28</v>
          </cell>
          <cell r="E8">
            <v>870</v>
          </cell>
          <cell r="F8">
            <v>15</v>
          </cell>
          <cell r="G8">
            <v>3.28</v>
          </cell>
          <cell r="H8">
            <v>18.28</v>
          </cell>
          <cell r="I8">
            <v>440</v>
          </cell>
          <cell r="J8">
            <v>4</v>
          </cell>
          <cell r="K8" t="str">
            <v>Day</v>
          </cell>
          <cell r="L8">
            <v>0.33125545818652696</v>
          </cell>
        </row>
        <row r="9">
          <cell r="A9"/>
          <cell r="B9"/>
          <cell r="C9"/>
          <cell r="D9"/>
          <cell r="E9"/>
          <cell r="F9"/>
          <cell r="G9"/>
          <cell r="H9"/>
          <cell r="I9"/>
          <cell r="J9"/>
          <cell r="K9"/>
          <cell r="L9"/>
        </row>
        <row r="10">
          <cell r="A10"/>
          <cell r="B10"/>
          <cell r="C10"/>
          <cell r="D10"/>
          <cell r="E10"/>
          <cell r="F10"/>
          <cell r="G10"/>
          <cell r="H10"/>
          <cell r="I10"/>
          <cell r="J10"/>
          <cell r="K10"/>
          <cell r="L10"/>
        </row>
        <row r="11">
          <cell r="A11"/>
          <cell r="B11"/>
          <cell r="C11"/>
          <cell r="D11"/>
          <cell r="E11"/>
          <cell r="F11"/>
          <cell r="G11"/>
          <cell r="H11"/>
          <cell r="I11"/>
          <cell r="J11"/>
          <cell r="K11"/>
          <cell r="L11"/>
        </row>
        <row r="12">
          <cell r="A12"/>
          <cell r="B12"/>
          <cell r="C12"/>
          <cell r="D12"/>
          <cell r="E12"/>
          <cell r="F12"/>
          <cell r="G12"/>
          <cell r="H12"/>
          <cell r="I12"/>
          <cell r="J12"/>
          <cell r="K12"/>
          <cell r="L12"/>
        </row>
        <row r="13">
          <cell r="A13"/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</row>
        <row r="14">
          <cell r="A14"/>
          <cell r="B14"/>
          <cell r="C14"/>
          <cell r="D14"/>
          <cell r="E14"/>
          <cell r="F14"/>
          <cell r="G14"/>
          <cell r="H14"/>
          <cell r="I14"/>
          <cell r="J14"/>
          <cell r="K14"/>
          <cell r="L14"/>
        </row>
        <row r="15">
          <cell r="A15"/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</row>
        <row r="16">
          <cell r="A16"/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</row>
        <row r="17">
          <cell r="A17"/>
          <cell r="B17"/>
          <cell r="C17"/>
          <cell r="D17"/>
          <cell r="E17"/>
          <cell r="F17"/>
          <cell r="G17"/>
          <cell r="H17"/>
          <cell r="I17"/>
          <cell r="J17"/>
          <cell r="K17"/>
          <cell r="L17"/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</row>
        <row r="19">
          <cell r="A19"/>
          <cell r="B19"/>
          <cell r="C19"/>
          <cell r="D19"/>
          <cell r="E19"/>
          <cell r="F19"/>
          <cell r="G19"/>
          <cell r="H19"/>
          <cell r="I19"/>
          <cell r="J19"/>
          <cell r="K19"/>
          <cell r="L19"/>
        </row>
        <row r="20">
          <cell r="A20"/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L20"/>
        </row>
        <row r="21">
          <cell r="A21"/>
          <cell r="B21"/>
          <cell r="C21"/>
          <cell r="D21"/>
          <cell r="E21"/>
          <cell r="F21"/>
          <cell r="G21"/>
          <cell r="H21"/>
          <cell r="I21"/>
          <cell r="J21"/>
          <cell r="K21"/>
          <cell r="L21"/>
        </row>
        <row r="22">
          <cell r="A22"/>
          <cell r="B22"/>
          <cell r="C22"/>
          <cell r="D22"/>
          <cell r="E22"/>
          <cell r="F22"/>
          <cell r="G22"/>
          <cell r="H22"/>
          <cell r="I22"/>
          <cell r="J22"/>
          <cell r="K22"/>
          <cell r="L22"/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</row>
        <row r="24">
          <cell r="A24"/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</row>
        <row r="25">
          <cell r="A25"/>
          <cell r="B25"/>
          <cell r="C25"/>
          <cell r="D25"/>
          <cell r="E25"/>
          <cell r="F25"/>
          <cell r="G25"/>
          <cell r="H25"/>
          <cell r="I25"/>
          <cell r="J25"/>
          <cell r="K25"/>
          <cell r="L25"/>
        </row>
        <row r="26">
          <cell r="A26"/>
          <cell r="B26"/>
          <cell r="C26"/>
          <cell r="D26"/>
          <cell r="E26"/>
          <cell r="F26"/>
          <cell r="G26"/>
          <cell r="H26"/>
          <cell r="I26"/>
          <cell r="J26"/>
          <cell r="K26"/>
          <cell r="L26"/>
        </row>
        <row r="27">
          <cell r="A27"/>
          <cell r="B27"/>
          <cell r="C27"/>
          <cell r="D27"/>
          <cell r="E27"/>
          <cell r="F27"/>
          <cell r="G27"/>
          <cell r="H27"/>
          <cell r="I27"/>
          <cell r="J27"/>
          <cell r="K27"/>
          <cell r="L27"/>
        </row>
        <row r="28">
          <cell r="A28"/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</row>
        <row r="29">
          <cell r="A29"/>
          <cell r="B29"/>
          <cell r="C29"/>
          <cell r="D29"/>
          <cell r="E29"/>
          <cell r="F29"/>
          <cell r="G29"/>
          <cell r="H29"/>
          <cell r="I29"/>
          <cell r="J29"/>
          <cell r="K29"/>
          <cell r="L29"/>
        </row>
        <row r="30">
          <cell r="A30"/>
          <cell r="B30"/>
          <cell r="C30"/>
          <cell r="D30"/>
          <cell r="E30"/>
          <cell r="F30"/>
          <cell r="G30"/>
          <cell r="H30"/>
          <cell r="I30"/>
          <cell r="J30"/>
          <cell r="K30"/>
          <cell r="L30"/>
        </row>
        <row r="31">
          <cell r="A31"/>
          <cell r="B31"/>
          <cell r="C31"/>
          <cell r="D31"/>
          <cell r="E31"/>
          <cell r="F31"/>
          <cell r="G31"/>
          <cell r="H31"/>
          <cell r="I31"/>
          <cell r="J31"/>
          <cell r="K31"/>
          <cell r="L31"/>
        </row>
        <row r="32">
          <cell r="A32"/>
          <cell r="B32"/>
          <cell r="C32"/>
          <cell r="D32"/>
          <cell r="E32"/>
          <cell r="F32"/>
          <cell r="G32"/>
          <cell r="H32"/>
          <cell r="I32"/>
          <cell r="J32"/>
          <cell r="K32"/>
          <cell r="L32"/>
        </row>
        <row r="33">
          <cell r="A33"/>
          <cell r="B33"/>
          <cell r="C33"/>
          <cell r="D33"/>
          <cell r="E33"/>
          <cell r="F33"/>
          <cell r="G33"/>
          <cell r="H33"/>
          <cell r="I33"/>
          <cell r="J33"/>
          <cell r="K33"/>
          <cell r="L33"/>
        </row>
        <row r="34">
          <cell r="A34"/>
          <cell r="B34"/>
          <cell r="C34"/>
          <cell r="D34"/>
          <cell r="E34"/>
          <cell r="F34"/>
          <cell r="G34"/>
          <cell r="H34"/>
          <cell r="I34"/>
          <cell r="J34"/>
          <cell r="K34"/>
          <cell r="L34"/>
        </row>
        <row r="35">
          <cell r="A35"/>
          <cell r="D35"/>
          <cell r="E35"/>
          <cell r="F35"/>
          <cell r="G35"/>
          <cell r="H35"/>
          <cell r="I35"/>
          <cell r="J35"/>
          <cell r="L35"/>
        </row>
        <row r="36">
          <cell r="A36"/>
          <cell r="D36"/>
          <cell r="E36"/>
          <cell r="F36"/>
          <cell r="G36"/>
          <cell r="H36"/>
          <cell r="I36"/>
          <cell r="J36"/>
          <cell r="L36"/>
        </row>
        <row r="37">
          <cell r="A37"/>
          <cell r="D37"/>
          <cell r="E37"/>
          <cell r="F37"/>
          <cell r="G37"/>
          <cell r="H37"/>
          <cell r="I37"/>
          <cell r="J37"/>
          <cell r="L37"/>
        </row>
        <row r="38">
          <cell r="A38"/>
          <cell r="D38"/>
          <cell r="E38"/>
          <cell r="F38"/>
          <cell r="G38"/>
          <cell r="H38"/>
          <cell r="I38"/>
          <cell r="J38"/>
          <cell r="L38"/>
        </row>
        <row r="39">
          <cell r="A39"/>
          <cell r="D39"/>
          <cell r="E39"/>
          <cell r="F39"/>
          <cell r="G39"/>
          <cell r="H39"/>
          <cell r="I39"/>
          <cell r="J39"/>
          <cell r="L39"/>
        </row>
        <row r="40">
          <cell r="A40"/>
          <cell r="D40"/>
          <cell r="E40"/>
          <cell r="F40"/>
          <cell r="G40"/>
          <cell r="H40"/>
          <cell r="I40"/>
          <cell r="J40"/>
          <cell r="L40"/>
        </row>
        <row r="41">
          <cell r="A41"/>
          <cell r="D41"/>
          <cell r="E41"/>
          <cell r="F41"/>
          <cell r="G41"/>
          <cell r="H41"/>
          <cell r="I41"/>
          <cell r="J41"/>
          <cell r="L41"/>
        </row>
        <row r="42">
          <cell r="A42"/>
          <cell r="D42"/>
          <cell r="E42"/>
          <cell r="F42"/>
          <cell r="G42"/>
          <cell r="H42"/>
          <cell r="I42"/>
          <cell r="J42"/>
          <cell r="L42"/>
        </row>
        <row r="43">
          <cell r="A43"/>
          <cell r="D43"/>
          <cell r="E43"/>
          <cell r="F43"/>
          <cell r="G43"/>
          <cell r="H43"/>
          <cell r="I43"/>
          <cell r="J43"/>
          <cell r="L43"/>
        </row>
        <row r="44">
          <cell r="A44"/>
          <cell r="D44"/>
          <cell r="E44"/>
          <cell r="F44"/>
          <cell r="G44"/>
          <cell r="H44"/>
          <cell r="I44"/>
          <cell r="J44"/>
          <cell r="L44"/>
        </row>
        <row r="45">
          <cell r="A45"/>
          <cell r="D45"/>
          <cell r="E45"/>
          <cell r="F45"/>
          <cell r="G45"/>
          <cell r="H45"/>
          <cell r="I45"/>
          <cell r="J45"/>
          <cell r="L45"/>
        </row>
        <row r="46">
          <cell r="A46"/>
          <cell r="D46"/>
          <cell r="E46"/>
          <cell r="F46"/>
          <cell r="G46"/>
          <cell r="H46"/>
          <cell r="I46"/>
          <cell r="J46"/>
          <cell r="L46"/>
        </row>
        <row r="47">
          <cell r="A47"/>
          <cell r="D47"/>
          <cell r="E47"/>
          <cell r="F47"/>
          <cell r="G47"/>
          <cell r="H47"/>
          <cell r="I47"/>
          <cell r="J47"/>
          <cell r="L47"/>
        </row>
        <row r="48">
          <cell r="A48"/>
          <cell r="D48"/>
          <cell r="E48"/>
          <cell r="F48"/>
          <cell r="G48"/>
          <cell r="H48"/>
          <cell r="I48"/>
          <cell r="J48"/>
          <cell r="L48"/>
        </row>
        <row r="49">
          <cell r="A49"/>
          <cell r="D49"/>
          <cell r="E49"/>
          <cell r="F49"/>
          <cell r="G49"/>
          <cell r="H49"/>
          <cell r="I49"/>
          <cell r="J49"/>
          <cell r="L49"/>
        </row>
        <row r="50">
          <cell r="A50"/>
          <cell r="D50"/>
          <cell r="E50"/>
          <cell r="F50"/>
          <cell r="G50"/>
          <cell r="H50"/>
          <cell r="I50"/>
          <cell r="J50"/>
          <cell r="L50"/>
        </row>
        <row r="51">
          <cell r="A51"/>
          <cell r="D51"/>
          <cell r="E51"/>
          <cell r="F51"/>
          <cell r="G51"/>
          <cell r="H51"/>
          <cell r="I51"/>
          <cell r="J51"/>
          <cell r="L51"/>
        </row>
        <row r="52">
          <cell r="A52"/>
          <cell r="D52"/>
          <cell r="E52"/>
          <cell r="F52"/>
          <cell r="G52"/>
          <cell r="H52"/>
          <cell r="I52"/>
          <cell r="J52"/>
          <cell r="L52"/>
        </row>
        <row r="53">
          <cell r="A53"/>
          <cell r="D53"/>
          <cell r="E53"/>
          <cell r="F53"/>
          <cell r="G53"/>
          <cell r="H53"/>
          <cell r="I53"/>
          <cell r="J53"/>
          <cell r="L53"/>
        </row>
        <row r="54">
          <cell r="A54"/>
          <cell r="D54"/>
          <cell r="E54"/>
          <cell r="F54"/>
          <cell r="G54"/>
          <cell r="H54"/>
          <cell r="I54"/>
          <cell r="J54"/>
          <cell r="L54"/>
        </row>
        <row r="55">
          <cell r="A55"/>
          <cell r="D55"/>
          <cell r="E55"/>
          <cell r="F55"/>
          <cell r="G55"/>
          <cell r="H55"/>
          <cell r="I55"/>
          <cell r="J55"/>
          <cell r="L55"/>
        </row>
        <row r="56">
          <cell r="A56"/>
          <cell r="D56"/>
          <cell r="E56"/>
          <cell r="F56"/>
          <cell r="G56"/>
          <cell r="H56"/>
          <cell r="I56"/>
          <cell r="J56"/>
          <cell r="L56"/>
        </row>
        <row r="57">
          <cell r="A57"/>
          <cell r="D57"/>
          <cell r="E57"/>
          <cell r="F57"/>
          <cell r="G57"/>
          <cell r="H57"/>
          <cell r="I57"/>
          <cell r="J57"/>
          <cell r="L57"/>
        </row>
        <row r="58">
          <cell r="A58"/>
          <cell r="D58"/>
          <cell r="E58"/>
          <cell r="F58"/>
          <cell r="G58"/>
          <cell r="H58"/>
          <cell r="I58"/>
          <cell r="J58"/>
          <cell r="L58"/>
        </row>
        <row r="59">
          <cell r="A59"/>
          <cell r="D59"/>
          <cell r="E59"/>
          <cell r="F59"/>
          <cell r="G59"/>
          <cell r="H59"/>
          <cell r="I59"/>
          <cell r="J59"/>
          <cell r="L59"/>
        </row>
        <row r="60">
          <cell r="A60"/>
          <cell r="D60"/>
          <cell r="E60"/>
          <cell r="F60"/>
          <cell r="G60"/>
          <cell r="H60"/>
          <cell r="I60"/>
          <cell r="J60"/>
          <cell r="L60"/>
        </row>
        <row r="61">
          <cell r="A61"/>
          <cell r="D61"/>
          <cell r="E61"/>
          <cell r="F61"/>
          <cell r="G61"/>
          <cell r="H61"/>
          <cell r="I61"/>
          <cell r="J61"/>
          <cell r="L61"/>
        </row>
        <row r="62">
          <cell r="A62"/>
          <cell r="D62"/>
          <cell r="E62"/>
          <cell r="F62"/>
          <cell r="G62"/>
          <cell r="H62"/>
          <cell r="I62"/>
          <cell r="J62"/>
          <cell r="L62"/>
        </row>
        <row r="63">
          <cell r="A63"/>
          <cell r="D63"/>
          <cell r="E63"/>
          <cell r="F63"/>
          <cell r="G63"/>
          <cell r="H63"/>
          <cell r="I63"/>
          <cell r="J63"/>
          <cell r="L63"/>
        </row>
        <row r="64">
          <cell r="A64"/>
          <cell r="D64"/>
          <cell r="E64"/>
          <cell r="F64"/>
          <cell r="G64"/>
          <cell r="H64"/>
          <cell r="I64"/>
          <cell r="J64"/>
          <cell r="L64"/>
        </row>
        <row r="65">
          <cell r="A65"/>
          <cell r="D65"/>
          <cell r="E65"/>
          <cell r="F65"/>
          <cell r="G65"/>
          <cell r="H65"/>
          <cell r="I65"/>
          <cell r="J65"/>
          <cell r="L65"/>
        </row>
        <row r="66">
          <cell r="A66"/>
          <cell r="D66"/>
          <cell r="E66"/>
          <cell r="F66"/>
          <cell r="G66"/>
          <cell r="H66"/>
          <cell r="I66"/>
          <cell r="J66"/>
          <cell r="L66"/>
        </row>
        <row r="67">
          <cell r="A67"/>
          <cell r="D67"/>
          <cell r="E67"/>
          <cell r="F67"/>
          <cell r="G67"/>
          <cell r="H67"/>
          <cell r="I67"/>
          <cell r="J67"/>
          <cell r="L67"/>
        </row>
        <row r="68">
          <cell r="A68"/>
          <cell r="D68"/>
          <cell r="E68"/>
          <cell r="F68"/>
          <cell r="G68"/>
          <cell r="H68"/>
          <cell r="I68"/>
          <cell r="J68"/>
          <cell r="L68"/>
        </row>
        <row r="69">
          <cell r="A69"/>
          <cell r="D69"/>
          <cell r="E69"/>
          <cell r="F69"/>
          <cell r="G69"/>
          <cell r="H69"/>
          <cell r="I69"/>
          <cell r="J69"/>
          <cell r="L69"/>
        </row>
        <row r="70">
          <cell r="A70"/>
          <cell r="D70"/>
          <cell r="E70"/>
          <cell r="F70"/>
          <cell r="G70"/>
          <cell r="H70"/>
          <cell r="I70"/>
          <cell r="J70"/>
          <cell r="L70"/>
        </row>
        <row r="71">
          <cell r="A71"/>
          <cell r="D71"/>
          <cell r="E71"/>
          <cell r="F71"/>
          <cell r="G71"/>
          <cell r="H71"/>
          <cell r="I71"/>
          <cell r="J71"/>
          <cell r="L71"/>
        </row>
        <row r="72">
          <cell r="A72"/>
          <cell r="D72"/>
          <cell r="E72"/>
          <cell r="F72"/>
          <cell r="G72"/>
          <cell r="H72"/>
          <cell r="I72"/>
          <cell r="J72"/>
          <cell r="L72"/>
        </row>
        <row r="73">
          <cell r="A73"/>
          <cell r="D73"/>
          <cell r="E73"/>
          <cell r="F73"/>
          <cell r="G73"/>
          <cell r="H73"/>
          <cell r="I73"/>
          <cell r="J73"/>
          <cell r="L73"/>
        </row>
        <row r="74">
          <cell r="A74"/>
          <cell r="D74"/>
          <cell r="E74"/>
          <cell r="F74"/>
          <cell r="G74"/>
          <cell r="H74"/>
          <cell r="I74"/>
          <cell r="J74"/>
          <cell r="L74"/>
        </row>
        <row r="75">
          <cell r="A75"/>
          <cell r="D75"/>
          <cell r="E75"/>
          <cell r="F75"/>
          <cell r="G75"/>
          <cell r="H75"/>
          <cell r="I75"/>
          <cell r="J75"/>
          <cell r="L75"/>
        </row>
        <row r="76">
          <cell r="A76"/>
          <cell r="D76"/>
          <cell r="E76"/>
          <cell r="F76"/>
          <cell r="G76"/>
          <cell r="H76"/>
          <cell r="I76"/>
          <cell r="J76"/>
          <cell r="L76"/>
        </row>
        <row r="77">
          <cell r="A77"/>
          <cell r="D77"/>
          <cell r="E77"/>
          <cell r="F77"/>
          <cell r="G77"/>
          <cell r="H77"/>
          <cell r="I77"/>
          <cell r="J77"/>
          <cell r="L77"/>
        </row>
        <row r="78">
          <cell r="A78"/>
          <cell r="D78"/>
          <cell r="E78"/>
          <cell r="F78"/>
          <cell r="G78"/>
          <cell r="H78"/>
          <cell r="I78"/>
          <cell r="J78"/>
          <cell r="L78"/>
        </row>
        <row r="79">
          <cell r="A79"/>
          <cell r="D79"/>
          <cell r="E79"/>
          <cell r="F79"/>
          <cell r="G79"/>
          <cell r="H79"/>
          <cell r="I79"/>
          <cell r="J79"/>
          <cell r="L79"/>
        </row>
        <row r="80">
          <cell r="A80"/>
          <cell r="D80"/>
          <cell r="E80"/>
          <cell r="F80"/>
          <cell r="G80"/>
          <cell r="H80"/>
          <cell r="I80"/>
          <cell r="J80"/>
          <cell r="L80"/>
        </row>
        <row r="81">
          <cell r="A81"/>
          <cell r="D81"/>
          <cell r="E81"/>
          <cell r="F81"/>
          <cell r="G81"/>
          <cell r="H81"/>
          <cell r="I81"/>
          <cell r="J81"/>
          <cell r="L81"/>
        </row>
        <row r="82">
          <cell r="A82"/>
          <cell r="D82"/>
          <cell r="E82"/>
          <cell r="F82"/>
          <cell r="G82"/>
          <cell r="H82"/>
          <cell r="I82"/>
          <cell r="J82"/>
          <cell r="L82"/>
        </row>
        <row r="83">
          <cell r="A83"/>
          <cell r="D83"/>
          <cell r="E83"/>
          <cell r="F83"/>
          <cell r="G83"/>
          <cell r="H83"/>
          <cell r="I83"/>
          <cell r="J83"/>
          <cell r="L83"/>
        </row>
        <row r="84">
          <cell r="A84"/>
          <cell r="D84"/>
          <cell r="E84"/>
          <cell r="F84"/>
          <cell r="G84"/>
          <cell r="H84"/>
          <cell r="I84"/>
          <cell r="J84"/>
          <cell r="L84"/>
        </row>
        <row r="85">
          <cell r="A85"/>
          <cell r="D85"/>
          <cell r="E85"/>
          <cell r="F85"/>
          <cell r="G85"/>
          <cell r="H85"/>
          <cell r="I85"/>
          <cell r="J85"/>
          <cell r="L85"/>
        </row>
        <row r="86">
          <cell r="A86"/>
          <cell r="D86"/>
          <cell r="E86"/>
          <cell r="F86"/>
          <cell r="G86"/>
          <cell r="H86"/>
          <cell r="I86"/>
          <cell r="J86"/>
          <cell r="L86"/>
        </row>
        <row r="87">
          <cell r="A87"/>
          <cell r="D87"/>
          <cell r="E87"/>
          <cell r="F87"/>
          <cell r="G87"/>
          <cell r="H87"/>
          <cell r="I87"/>
          <cell r="J87"/>
          <cell r="L87"/>
        </row>
        <row r="88">
          <cell r="A88"/>
          <cell r="D88"/>
          <cell r="E88"/>
          <cell r="F88"/>
          <cell r="G88"/>
          <cell r="H88"/>
          <cell r="I88"/>
          <cell r="J88"/>
          <cell r="L88"/>
        </row>
        <row r="89">
          <cell r="A89"/>
          <cell r="D89"/>
          <cell r="E89"/>
          <cell r="F89"/>
          <cell r="G89"/>
          <cell r="H89"/>
          <cell r="I89"/>
          <cell r="J89"/>
          <cell r="L89"/>
        </row>
        <row r="90">
          <cell r="A90"/>
          <cell r="D90"/>
          <cell r="E90"/>
          <cell r="F90"/>
          <cell r="G90"/>
          <cell r="H90"/>
          <cell r="I90"/>
          <cell r="J90"/>
          <cell r="L90"/>
        </row>
        <row r="91">
          <cell r="A91"/>
          <cell r="D91"/>
          <cell r="E91"/>
          <cell r="F91"/>
          <cell r="G91"/>
          <cell r="H91"/>
          <cell r="I91"/>
          <cell r="J91"/>
          <cell r="L91"/>
        </row>
        <row r="92">
          <cell r="A92"/>
          <cell r="D92"/>
          <cell r="E92"/>
          <cell r="F92"/>
          <cell r="G92"/>
          <cell r="H92"/>
          <cell r="I92"/>
          <cell r="J92"/>
          <cell r="L92"/>
        </row>
        <row r="93">
          <cell r="A93"/>
          <cell r="D93"/>
          <cell r="E93"/>
          <cell r="F93"/>
          <cell r="G93"/>
          <cell r="H93"/>
          <cell r="I93"/>
          <cell r="J93"/>
          <cell r="L93"/>
        </row>
        <row r="94">
          <cell r="A94"/>
          <cell r="D94"/>
          <cell r="E94"/>
          <cell r="F94"/>
          <cell r="G94"/>
          <cell r="H94"/>
          <cell r="I94"/>
          <cell r="J94"/>
          <cell r="L94"/>
        </row>
        <row r="95">
          <cell r="A95"/>
          <cell r="D95"/>
          <cell r="E95"/>
          <cell r="F95"/>
          <cell r="G95"/>
          <cell r="H95"/>
          <cell r="I95"/>
          <cell r="J95"/>
          <cell r="L95"/>
        </row>
        <row r="96">
          <cell r="A96"/>
          <cell r="D96"/>
          <cell r="E96"/>
          <cell r="F96"/>
          <cell r="G96"/>
          <cell r="H96"/>
          <cell r="I96"/>
          <cell r="J96"/>
          <cell r="L96"/>
        </row>
        <row r="97">
          <cell r="A97"/>
          <cell r="D97"/>
          <cell r="E97"/>
          <cell r="F97"/>
          <cell r="G97"/>
          <cell r="H97"/>
          <cell r="I97"/>
          <cell r="J97"/>
          <cell r="L97"/>
        </row>
        <row r="98">
          <cell r="A98"/>
          <cell r="D98"/>
          <cell r="E98"/>
          <cell r="F98"/>
          <cell r="G98"/>
          <cell r="H98"/>
          <cell r="I98"/>
          <cell r="J98"/>
          <cell r="L98"/>
        </row>
        <row r="99">
          <cell r="A99"/>
          <cell r="D99"/>
          <cell r="E99"/>
          <cell r="F99"/>
          <cell r="G99"/>
          <cell r="H99"/>
          <cell r="I99"/>
          <cell r="J99"/>
          <cell r="L99"/>
        </row>
        <row r="100">
          <cell r="A100"/>
          <cell r="D100"/>
          <cell r="E100"/>
          <cell r="F100"/>
          <cell r="G100"/>
          <cell r="H100"/>
          <cell r="I100"/>
          <cell r="J100"/>
          <cell r="L100"/>
        </row>
        <row r="101">
          <cell r="A101"/>
          <cell r="D101"/>
          <cell r="E101"/>
          <cell r="F101"/>
          <cell r="G101"/>
          <cell r="H101"/>
          <cell r="I101"/>
          <cell r="J101"/>
          <cell r="L101"/>
        </row>
        <row r="102">
          <cell r="A102"/>
          <cell r="D102"/>
          <cell r="E102"/>
          <cell r="F102"/>
          <cell r="G102"/>
          <cell r="H102"/>
          <cell r="I102"/>
          <cell r="J102"/>
          <cell r="L102"/>
        </row>
        <row r="103">
          <cell r="A103"/>
          <cell r="D103"/>
          <cell r="E103"/>
          <cell r="F103"/>
          <cell r="G103"/>
          <cell r="H103"/>
          <cell r="I103"/>
          <cell r="J103"/>
          <cell r="L103"/>
        </row>
        <row r="104">
          <cell r="A104"/>
          <cell r="D104"/>
          <cell r="E104"/>
          <cell r="F104"/>
          <cell r="G104"/>
          <cell r="H104"/>
          <cell r="I104"/>
          <cell r="J104"/>
          <cell r="L104"/>
        </row>
        <row r="105">
          <cell r="A105"/>
          <cell r="D105"/>
          <cell r="E105"/>
          <cell r="F105"/>
          <cell r="G105"/>
          <cell r="H105"/>
          <cell r="I105"/>
          <cell r="J105"/>
          <cell r="L105"/>
        </row>
        <row r="106">
          <cell r="A106"/>
          <cell r="D106"/>
          <cell r="E106"/>
          <cell r="F106"/>
          <cell r="G106"/>
          <cell r="H106"/>
          <cell r="I106"/>
          <cell r="J106"/>
          <cell r="L106"/>
        </row>
        <row r="107">
          <cell r="A107"/>
          <cell r="D107"/>
          <cell r="E107"/>
          <cell r="F107"/>
          <cell r="G107"/>
          <cell r="H107"/>
          <cell r="I107"/>
          <cell r="J107"/>
          <cell r="L107"/>
        </row>
        <row r="108">
          <cell r="A108"/>
          <cell r="D108"/>
          <cell r="E108"/>
          <cell r="F108"/>
          <cell r="G108"/>
          <cell r="H108"/>
          <cell r="I108"/>
          <cell r="J108"/>
          <cell r="L108"/>
        </row>
        <row r="109">
          <cell r="A109"/>
          <cell r="D109"/>
          <cell r="E109"/>
          <cell r="F109"/>
          <cell r="G109"/>
          <cell r="H109"/>
          <cell r="I109"/>
          <cell r="J109"/>
          <cell r="L109"/>
        </row>
        <row r="110">
          <cell r="A110"/>
          <cell r="D110"/>
          <cell r="E110"/>
          <cell r="F110"/>
          <cell r="G110"/>
          <cell r="H110"/>
          <cell r="I110"/>
          <cell r="J110"/>
          <cell r="L110"/>
        </row>
        <row r="111">
          <cell r="A111"/>
          <cell r="D111"/>
          <cell r="E111"/>
          <cell r="F111"/>
          <cell r="G111"/>
          <cell r="H111"/>
          <cell r="I111"/>
          <cell r="J111"/>
          <cell r="L111"/>
        </row>
        <row r="112">
          <cell r="A112"/>
          <cell r="D112"/>
          <cell r="E112"/>
          <cell r="F112"/>
          <cell r="G112"/>
          <cell r="H112"/>
          <cell r="I112"/>
          <cell r="J112"/>
          <cell r="L112"/>
        </row>
        <row r="113">
          <cell r="A113"/>
          <cell r="D113"/>
          <cell r="E113"/>
          <cell r="F113"/>
          <cell r="G113"/>
          <cell r="H113"/>
          <cell r="I113"/>
          <cell r="J113"/>
          <cell r="L113"/>
        </row>
        <row r="114">
          <cell r="A114"/>
          <cell r="D114"/>
          <cell r="E114"/>
          <cell r="F114"/>
          <cell r="G114"/>
          <cell r="H114"/>
          <cell r="I114"/>
          <cell r="J114"/>
          <cell r="L114"/>
        </row>
        <row r="115">
          <cell r="A115"/>
          <cell r="D115"/>
          <cell r="E115"/>
          <cell r="F115"/>
          <cell r="G115"/>
          <cell r="H115"/>
          <cell r="I115"/>
          <cell r="J115"/>
          <cell r="L115"/>
        </row>
        <row r="116">
          <cell r="A116"/>
          <cell r="D116"/>
          <cell r="E116"/>
          <cell r="F116"/>
          <cell r="G116"/>
          <cell r="H116"/>
          <cell r="I116"/>
          <cell r="J116"/>
          <cell r="L116"/>
        </row>
        <row r="117">
          <cell r="A117"/>
          <cell r="D117"/>
          <cell r="E117"/>
          <cell r="F117"/>
          <cell r="G117"/>
          <cell r="H117"/>
          <cell r="I117"/>
          <cell r="J117"/>
          <cell r="L117"/>
        </row>
        <row r="118">
          <cell r="A118"/>
          <cell r="D118"/>
          <cell r="E118"/>
          <cell r="F118"/>
          <cell r="G118"/>
          <cell r="H118"/>
          <cell r="I118"/>
          <cell r="J118"/>
          <cell r="L118"/>
        </row>
        <row r="119">
          <cell r="A119"/>
          <cell r="D119"/>
          <cell r="E119"/>
          <cell r="F119"/>
          <cell r="G119"/>
          <cell r="H119"/>
          <cell r="I119"/>
          <cell r="J119"/>
          <cell r="L119"/>
        </row>
        <row r="120">
          <cell r="A120"/>
          <cell r="D120"/>
          <cell r="E120"/>
          <cell r="F120"/>
          <cell r="G120"/>
          <cell r="H120"/>
          <cell r="I120"/>
          <cell r="J120"/>
          <cell r="L120"/>
        </row>
        <row r="121">
          <cell r="A121"/>
          <cell r="D121"/>
          <cell r="E121"/>
          <cell r="F121"/>
          <cell r="G121"/>
          <cell r="H121"/>
          <cell r="I121"/>
          <cell r="J121"/>
          <cell r="L121"/>
        </row>
        <row r="122">
          <cell r="A122"/>
          <cell r="D122"/>
          <cell r="E122"/>
          <cell r="F122"/>
          <cell r="G122"/>
          <cell r="H122"/>
          <cell r="I122"/>
          <cell r="J122"/>
          <cell r="L122"/>
        </row>
        <row r="123">
          <cell r="A123"/>
          <cell r="D123"/>
          <cell r="E123"/>
          <cell r="F123"/>
          <cell r="G123"/>
          <cell r="H123"/>
          <cell r="I123"/>
          <cell r="J123"/>
          <cell r="L123"/>
        </row>
        <row r="124">
          <cell r="A124"/>
          <cell r="D124"/>
          <cell r="E124"/>
          <cell r="F124"/>
          <cell r="G124"/>
          <cell r="H124"/>
          <cell r="I124"/>
          <cell r="J124"/>
          <cell r="L124"/>
        </row>
        <row r="125">
          <cell r="A125"/>
          <cell r="D125"/>
          <cell r="E125"/>
          <cell r="F125"/>
          <cell r="G125"/>
          <cell r="H125"/>
          <cell r="I125"/>
          <cell r="J125"/>
          <cell r="L125"/>
        </row>
        <row r="126">
          <cell r="A126"/>
          <cell r="D126"/>
          <cell r="E126"/>
          <cell r="F126"/>
          <cell r="G126"/>
          <cell r="H126"/>
          <cell r="I126"/>
          <cell r="J126"/>
          <cell r="L126"/>
        </row>
        <row r="127">
          <cell r="A127"/>
          <cell r="D127"/>
          <cell r="E127"/>
          <cell r="F127"/>
          <cell r="G127"/>
          <cell r="H127"/>
          <cell r="I127"/>
          <cell r="J127"/>
          <cell r="L127"/>
        </row>
        <row r="128">
          <cell r="A128"/>
          <cell r="D128"/>
          <cell r="E128"/>
          <cell r="F128"/>
          <cell r="G128"/>
          <cell r="H128"/>
          <cell r="I128"/>
          <cell r="J128"/>
          <cell r="L128"/>
        </row>
        <row r="129">
          <cell r="A129"/>
          <cell r="D129"/>
          <cell r="E129"/>
          <cell r="F129"/>
          <cell r="G129"/>
          <cell r="H129"/>
          <cell r="I129"/>
          <cell r="J129"/>
          <cell r="L129"/>
        </row>
        <row r="130">
          <cell r="A130"/>
          <cell r="D130"/>
          <cell r="E130"/>
          <cell r="F130"/>
          <cell r="G130"/>
          <cell r="H130"/>
          <cell r="I130"/>
          <cell r="J130"/>
          <cell r="L130"/>
        </row>
        <row r="131">
          <cell r="A131"/>
          <cell r="D131"/>
          <cell r="E131"/>
          <cell r="F131"/>
          <cell r="G131"/>
          <cell r="H131"/>
          <cell r="I131"/>
          <cell r="J131"/>
          <cell r="L131"/>
        </row>
        <row r="132">
          <cell r="A132"/>
          <cell r="D132"/>
          <cell r="E132"/>
          <cell r="F132"/>
          <cell r="G132"/>
          <cell r="H132"/>
          <cell r="I132"/>
          <cell r="J132"/>
          <cell r="L132"/>
        </row>
        <row r="133">
          <cell r="A133"/>
          <cell r="D133"/>
          <cell r="E133"/>
          <cell r="F133"/>
          <cell r="G133"/>
          <cell r="H133"/>
          <cell r="I133"/>
          <cell r="J133"/>
          <cell r="L133"/>
        </row>
        <row r="134">
          <cell r="A134"/>
          <cell r="D134"/>
          <cell r="E134"/>
          <cell r="F134"/>
          <cell r="G134"/>
          <cell r="H134"/>
          <cell r="I134"/>
          <cell r="J134"/>
          <cell r="L134"/>
        </row>
        <row r="135">
          <cell r="A135"/>
          <cell r="D135"/>
          <cell r="E135"/>
          <cell r="F135"/>
          <cell r="G135"/>
          <cell r="H135"/>
          <cell r="I135"/>
          <cell r="J135"/>
          <cell r="L135"/>
        </row>
        <row r="136">
          <cell r="A136"/>
          <cell r="D136"/>
          <cell r="E136"/>
          <cell r="F136"/>
          <cell r="G136"/>
          <cell r="H136"/>
          <cell r="I136"/>
          <cell r="J136"/>
          <cell r="L136"/>
        </row>
        <row r="137">
          <cell r="A137"/>
          <cell r="D137"/>
          <cell r="E137"/>
          <cell r="F137"/>
          <cell r="G137"/>
          <cell r="H137"/>
          <cell r="I137"/>
          <cell r="J137"/>
          <cell r="L137"/>
        </row>
        <row r="138">
          <cell r="A138"/>
          <cell r="D138"/>
          <cell r="E138"/>
          <cell r="F138"/>
          <cell r="G138"/>
          <cell r="H138"/>
          <cell r="I138"/>
          <cell r="J138"/>
          <cell r="L138"/>
        </row>
        <row r="139">
          <cell r="A139"/>
          <cell r="D139"/>
          <cell r="E139"/>
          <cell r="F139"/>
          <cell r="G139"/>
          <cell r="H139"/>
          <cell r="I139"/>
          <cell r="J139"/>
          <cell r="L139"/>
        </row>
        <row r="140">
          <cell r="A140"/>
          <cell r="D140"/>
          <cell r="E140"/>
          <cell r="F140"/>
          <cell r="G140"/>
          <cell r="H140"/>
          <cell r="I140"/>
          <cell r="J140"/>
          <cell r="L140"/>
        </row>
        <row r="141">
          <cell r="A141"/>
          <cell r="D141"/>
          <cell r="E141"/>
          <cell r="F141"/>
          <cell r="G141"/>
          <cell r="H141"/>
          <cell r="I141"/>
          <cell r="J141"/>
          <cell r="L141"/>
        </row>
        <row r="142">
          <cell r="A142"/>
          <cell r="D142"/>
          <cell r="E142"/>
          <cell r="F142"/>
          <cell r="G142"/>
          <cell r="H142"/>
          <cell r="I142"/>
          <cell r="J142"/>
          <cell r="L142"/>
        </row>
        <row r="143">
          <cell r="A143"/>
          <cell r="D143"/>
          <cell r="E143"/>
          <cell r="F143"/>
          <cell r="G143"/>
          <cell r="H143"/>
          <cell r="I143"/>
          <cell r="J143"/>
          <cell r="L143"/>
        </row>
        <row r="144">
          <cell r="A144"/>
          <cell r="D144"/>
          <cell r="E144"/>
          <cell r="F144"/>
          <cell r="G144"/>
          <cell r="H144"/>
          <cell r="I144"/>
          <cell r="J144"/>
          <cell r="L144"/>
        </row>
        <row r="145">
          <cell r="A145"/>
          <cell r="D145"/>
          <cell r="E145"/>
          <cell r="F145"/>
          <cell r="G145"/>
          <cell r="H145"/>
          <cell r="I145"/>
          <cell r="J145"/>
          <cell r="L145"/>
        </row>
        <row r="146">
          <cell r="A146"/>
          <cell r="D146"/>
          <cell r="E146"/>
          <cell r="F146"/>
          <cell r="G146"/>
          <cell r="H146"/>
          <cell r="I146"/>
          <cell r="J146"/>
          <cell r="L146"/>
        </row>
        <row r="147">
          <cell r="A147"/>
          <cell r="D147"/>
          <cell r="E147"/>
          <cell r="F147"/>
          <cell r="G147"/>
          <cell r="H147"/>
          <cell r="I147"/>
          <cell r="J147"/>
          <cell r="L147"/>
        </row>
        <row r="148">
          <cell r="A148"/>
          <cell r="D148"/>
          <cell r="E148"/>
          <cell r="F148"/>
          <cell r="G148"/>
          <cell r="H148"/>
          <cell r="I148"/>
          <cell r="J148"/>
          <cell r="L148"/>
        </row>
        <row r="149">
          <cell r="A149"/>
          <cell r="D149"/>
          <cell r="E149"/>
          <cell r="F149"/>
          <cell r="G149"/>
          <cell r="H149"/>
          <cell r="I149"/>
          <cell r="J149"/>
          <cell r="L149"/>
        </row>
        <row r="150">
          <cell r="A150"/>
          <cell r="D150"/>
          <cell r="E150"/>
          <cell r="F150"/>
          <cell r="G150"/>
          <cell r="H150"/>
          <cell r="I150"/>
          <cell r="J150"/>
          <cell r="L150"/>
        </row>
        <row r="151">
          <cell r="A151"/>
          <cell r="D151"/>
          <cell r="E151"/>
          <cell r="F151"/>
          <cell r="G151"/>
          <cell r="H151"/>
          <cell r="I151"/>
          <cell r="J151"/>
          <cell r="L151"/>
        </row>
        <row r="152">
          <cell r="A152"/>
          <cell r="D152"/>
          <cell r="E152"/>
          <cell r="F152"/>
          <cell r="G152"/>
          <cell r="H152"/>
          <cell r="I152"/>
          <cell r="J152"/>
          <cell r="L152"/>
        </row>
        <row r="153">
          <cell r="A153"/>
          <cell r="D153"/>
          <cell r="E153"/>
          <cell r="F153"/>
          <cell r="G153"/>
          <cell r="H153"/>
          <cell r="I153"/>
          <cell r="J153"/>
          <cell r="L153"/>
        </row>
        <row r="154">
          <cell r="A154"/>
          <cell r="D154"/>
          <cell r="E154"/>
          <cell r="F154"/>
          <cell r="G154"/>
          <cell r="H154"/>
          <cell r="I154"/>
          <cell r="J154"/>
          <cell r="L154"/>
        </row>
        <row r="155">
          <cell r="A155"/>
          <cell r="D155"/>
          <cell r="E155"/>
          <cell r="F155"/>
          <cell r="G155"/>
          <cell r="H155"/>
          <cell r="I155"/>
          <cell r="J155"/>
          <cell r="L155"/>
        </row>
        <row r="156">
          <cell r="A156"/>
          <cell r="D156"/>
          <cell r="E156"/>
          <cell r="F156"/>
          <cell r="G156"/>
          <cell r="H156"/>
          <cell r="I156"/>
          <cell r="J156"/>
          <cell r="L156"/>
        </row>
        <row r="157">
          <cell r="A157"/>
          <cell r="D157"/>
          <cell r="E157"/>
          <cell r="F157"/>
          <cell r="G157"/>
          <cell r="H157"/>
          <cell r="I157"/>
          <cell r="J157"/>
          <cell r="L157"/>
        </row>
        <row r="158">
          <cell r="A158"/>
          <cell r="D158"/>
          <cell r="E158"/>
          <cell r="F158"/>
          <cell r="G158"/>
          <cell r="H158"/>
          <cell r="I158"/>
          <cell r="J158"/>
          <cell r="L158"/>
        </row>
        <row r="159">
          <cell r="A159"/>
          <cell r="D159"/>
          <cell r="E159"/>
          <cell r="F159"/>
          <cell r="G159"/>
          <cell r="H159"/>
          <cell r="I159"/>
          <cell r="J159"/>
          <cell r="L159"/>
        </row>
        <row r="160">
          <cell r="A160"/>
          <cell r="D160"/>
          <cell r="E160"/>
          <cell r="F160"/>
          <cell r="G160"/>
          <cell r="H160"/>
          <cell r="I160"/>
          <cell r="J160"/>
          <cell r="L160"/>
        </row>
        <row r="161">
          <cell r="A161"/>
          <cell r="D161"/>
          <cell r="E161"/>
          <cell r="F161"/>
          <cell r="G161"/>
          <cell r="H161"/>
          <cell r="I161"/>
          <cell r="J161"/>
          <cell r="L161"/>
        </row>
        <row r="162">
          <cell r="A162"/>
          <cell r="D162"/>
          <cell r="E162"/>
          <cell r="F162"/>
          <cell r="G162"/>
          <cell r="H162"/>
          <cell r="I162"/>
          <cell r="J162"/>
          <cell r="L162"/>
        </row>
        <row r="163">
          <cell r="A163"/>
          <cell r="D163"/>
          <cell r="E163"/>
          <cell r="F163"/>
          <cell r="G163"/>
          <cell r="H163"/>
          <cell r="I163"/>
          <cell r="J163"/>
          <cell r="L163"/>
        </row>
        <row r="164">
          <cell r="A164"/>
          <cell r="D164"/>
          <cell r="E164"/>
          <cell r="F164"/>
          <cell r="G164"/>
          <cell r="H164"/>
          <cell r="I164"/>
          <cell r="J164"/>
          <cell r="L164"/>
        </row>
        <row r="165">
          <cell r="A165"/>
          <cell r="D165"/>
          <cell r="E165"/>
          <cell r="F165"/>
          <cell r="G165"/>
          <cell r="H165"/>
          <cell r="I165"/>
          <cell r="J165"/>
          <cell r="L165"/>
        </row>
        <row r="166">
          <cell r="A166"/>
          <cell r="D166"/>
          <cell r="E166"/>
          <cell r="F166"/>
          <cell r="G166"/>
          <cell r="H166"/>
          <cell r="I166"/>
          <cell r="J166"/>
          <cell r="L166"/>
        </row>
        <row r="167">
          <cell r="A167"/>
          <cell r="D167"/>
          <cell r="E167"/>
          <cell r="F167"/>
          <cell r="G167"/>
          <cell r="H167"/>
          <cell r="I167"/>
          <cell r="J167"/>
          <cell r="L167"/>
        </row>
        <row r="168">
          <cell r="A168"/>
          <cell r="D168"/>
          <cell r="E168"/>
          <cell r="F168"/>
          <cell r="G168"/>
          <cell r="H168"/>
          <cell r="I168"/>
          <cell r="J168"/>
          <cell r="L168"/>
        </row>
        <row r="169">
          <cell r="A169"/>
          <cell r="D169"/>
          <cell r="E169"/>
          <cell r="F169"/>
          <cell r="G169"/>
          <cell r="H169"/>
          <cell r="I169"/>
          <cell r="J169"/>
          <cell r="L169"/>
        </row>
        <row r="170">
          <cell r="A170"/>
          <cell r="D170"/>
          <cell r="E170"/>
          <cell r="F170"/>
          <cell r="G170"/>
          <cell r="H170"/>
          <cell r="I170"/>
          <cell r="J170"/>
          <cell r="L170"/>
        </row>
        <row r="171">
          <cell r="A171"/>
          <cell r="D171"/>
          <cell r="E171"/>
          <cell r="F171"/>
          <cell r="G171"/>
          <cell r="H171"/>
          <cell r="I171"/>
          <cell r="J171"/>
          <cell r="L171"/>
        </row>
        <row r="172">
          <cell r="A172"/>
          <cell r="D172"/>
          <cell r="E172"/>
          <cell r="F172"/>
          <cell r="G172"/>
          <cell r="H172"/>
          <cell r="I172"/>
          <cell r="J172"/>
          <cell r="L172"/>
        </row>
        <row r="173">
          <cell r="A173"/>
          <cell r="D173"/>
          <cell r="E173"/>
          <cell r="F173"/>
          <cell r="G173"/>
          <cell r="H173"/>
          <cell r="I173"/>
          <cell r="J173"/>
          <cell r="L173"/>
        </row>
        <row r="174">
          <cell r="A174"/>
          <cell r="D174"/>
          <cell r="E174"/>
          <cell r="F174"/>
          <cell r="G174"/>
          <cell r="H174"/>
          <cell r="I174"/>
          <cell r="J174"/>
          <cell r="L174"/>
        </row>
        <row r="175">
          <cell r="A175"/>
          <cell r="D175"/>
          <cell r="E175"/>
          <cell r="F175"/>
          <cell r="G175"/>
          <cell r="H175"/>
          <cell r="I175"/>
          <cell r="J175"/>
          <cell r="L175"/>
        </row>
        <row r="176">
          <cell r="A176"/>
          <cell r="D176"/>
          <cell r="E176"/>
          <cell r="F176"/>
          <cell r="G176"/>
          <cell r="H176"/>
          <cell r="I176"/>
          <cell r="J176"/>
          <cell r="L176"/>
        </row>
        <row r="177">
          <cell r="A177"/>
          <cell r="D177"/>
          <cell r="E177"/>
          <cell r="F177"/>
          <cell r="G177"/>
          <cell r="H177"/>
          <cell r="I177"/>
          <cell r="J177"/>
          <cell r="L177"/>
        </row>
        <row r="178">
          <cell r="A178"/>
          <cell r="D178"/>
          <cell r="E178"/>
          <cell r="F178"/>
          <cell r="G178"/>
          <cell r="H178"/>
          <cell r="I178"/>
          <cell r="J178"/>
          <cell r="L178"/>
        </row>
        <row r="179">
          <cell r="A179"/>
          <cell r="D179"/>
          <cell r="E179"/>
          <cell r="F179"/>
          <cell r="G179"/>
          <cell r="H179"/>
          <cell r="I179"/>
          <cell r="J179"/>
          <cell r="L179"/>
        </row>
        <row r="180">
          <cell r="A180"/>
          <cell r="D180"/>
          <cell r="E180"/>
          <cell r="F180"/>
          <cell r="G180"/>
          <cell r="H180"/>
          <cell r="I180"/>
          <cell r="J180"/>
          <cell r="L180"/>
        </row>
        <row r="181">
          <cell r="A181"/>
          <cell r="D181"/>
          <cell r="E181"/>
          <cell r="F181"/>
          <cell r="G181"/>
          <cell r="H181"/>
          <cell r="I181"/>
          <cell r="J181"/>
          <cell r="L181"/>
        </row>
        <row r="182">
          <cell r="A182"/>
          <cell r="D182"/>
          <cell r="E182"/>
          <cell r="F182"/>
          <cell r="G182"/>
          <cell r="H182"/>
          <cell r="I182"/>
          <cell r="J182"/>
          <cell r="L182"/>
        </row>
        <row r="183">
          <cell r="A183"/>
          <cell r="D183"/>
          <cell r="E183"/>
          <cell r="F183"/>
          <cell r="G183"/>
          <cell r="H183"/>
          <cell r="I183"/>
          <cell r="J183"/>
          <cell r="L183"/>
        </row>
        <row r="184">
          <cell r="A184"/>
          <cell r="D184"/>
          <cell r="E184"/>
          <cell r="F184"/>
          <cell r="G184"/>
          <cell r="H184"/>
          <cell r="I184"/>
          <cell r="J184"/>
          <cell r="L184"/>
        </row>
        <row r="185">
          <cell r="A185"/>
          <cell r="D185"/>
          <cell r="E185"/>
          <cell r="F185"/>
          <cell r="G185"/>
          <cell r="H185"/>
          <cell r="I185"/>
          <cell r="J185"/>
          <cell r="L185"/>
        </row>
        <row r="186">
          <cell r="A186"/>
          <cell r="D186"/>
          <cell r="E186"/>
          <cell r="F186"/>
          <cell r="G186"/>
          <cell r="H186"/>
          <cell r="I186"/>
          <cell r="J186"/>
          <cell r="L186"/>
        </row>
        <row r="187">
          <cell r="A187"/>
          <cell r="D187"/>
          <cell r="E187"/>
          <cell r="F187"/>
          <cell r="G187"/>
          <cell r="H187"/>
          <cell r="I187"/>
          <cell r="J187"/>
          <cell r="L187"/>
        </row>
        <row r="188">
          <cell r="A188"/>
          <cell r="D188"/>
          <cell r="E188"/>
          <cell r="F188"/>
          <cell r="G188"/>
          <cell r="H188"/>
          <cell r="I188"/>
          <cell r="J188"/>
          <cell r="L188"/>
        </row>
        <row r="189">
          <cell r="A189"/>
          <cell r="D189"/>
          <cell r="E189"/>
          <cell r="F189"/>
          <cell r="G189"/>
          <cell r="H189"/>
          <cell r="I189"/>
          <cell r="J189"/>
          <cell r="L189"/>
        </row>
        <row r="190">
          <cell r="A190"/>
          <cell r="D190"/>
          <cell r="E190"/>
          <cell r="F190"/>
          <cell r="G190"/>
          <cell r="H190"/>
          <cell r="I190"/>
          <cell r="J190"/>
          <cell r="L190"/>
        </row>
        <row r="191">
          <cell r="A191"/>
          <cell r="D191"/>
          <cell r="E191"/>
          <cell r="F191"/>
          <cell r="G191"/>
          <cell r="H191"/>
          <cell r="I191"/>
          <cell r="J191"/>
          <cell r="L191"/>
        </row>
        <row r="192">
          <cell r="A192"/>
          <cell r="D192"/>
          <cell r="E192"/>
          <cell r="F192"/>
          <cell r="G192"/>
          <cell r="H192"/>
          <cell r="I192"/>
          <cell r="J192"/>
          <cell r="L192"/>
        </row>
        <row r="193">
          <cell r="A193"/>
          <cell r="D193"/>
          <cell r="E193"/>
          <cell r="F193"/>
          <cell r="G193"/>
          <cell r="H193"/>
          <cell r="I193"/>
          <cell r="J193"/>
          <cell r="L193"/>
        </row>
        <row r="194">
          <cell r="A194"/>
          <cell r="D194"/>
          <cell r="E194"/>
          <cell r="F194"/>
          <cell r="G194"/>
          <cell r="H194"/>
          <cell r="I194"/>
          <cell r="J194"/>
          <cell r="L194"/>
        </row>
        <row r="195">
          <cell r="A195"/>
          <cell r="D195"/>
          <cell r="E195"/>
          <cell r="F195"/>
          <cell r="G195"/>
          <cell r="H195"/>
          <cell r="I195"/>
          <cell r="J195"/>
          <cell r="L195"/>
        </row>
        <row r="196">
          <cell r="A196"/>
          <cell r="D196"/>
          <cell r="E196"/>
          <cell r="F196"/>
          <cell r="G196"/>
          <cell r="H196"/>
          <cell r="I196"/>
          <cell r="J196"/>
          <cell r="L196"/>
        </row>
        <row r="197">
          <cell r="A197"/>
          <cell r="D197"/>
          <cell r="E197"/>
          <cell r="F197"/>
          <cell r="G197"/>
          <cell r="H197"/>
          <cell r="I197"/>
          <cell r="J197"/>
          <cell r="L197"/>
        </row>
        <row r="198">
          <cell r="A198"/>
          <cell r="D198"/>
          <cell r="E198"/>
          <cell r="F198"/>
          <cell r="G198"/>
          <cell r="H198"/>
          <cell r="I198"/>
          <cell r="J198"/>
          <cell r="L198"/>
        </row>
        <row r="199">
          <cell r="A199"/>
          <cell r="D199"/>
          <cell r="E199"/>
          <cell r="F199"/>
          <cell r="G199"/>
          <cell r="H199"/>
          <cell r="I199"/>
          <cell r="J199"/>
          <cell r="L199"/>
        </row>
        <row r="200">
          <cell r="A200"/>
          <cell r="D200"/>
          <cell r="E200"/>
          <cell r="F200"/>
          <cell r="G200"/>
          <cell r="H200"/>
          <cell r="I200"/>
          <cell r="J200"/>
          <cell r="L200"/>
        </row>
        <row r="201">
          <cell r="A201"/>
          <cell r="D201"/>
          <cell r="E201"/>
          <cell r="F201"/>
          <cell r="G201"/>
          <cell r="H201"/>
          <cell r="I201"/>
          <cell r="J201"/>
          <cell r="L201"/>
        </row>
        <row r="202">
          <cell r="A202"/>
          <cell r="D202"/>
          <cell r="E202"/>
          <cell r="F202"/>
          <cell r="G202"/>
          <cell r="H202"/>
          <cell r="I202"/>
          <cell r="J202"/>
          <cell r="L202"/>
        </row>
        <row r="203">
          <cell r="A203"/>
          <cell r="D203"/>
          <cell r="E203"/>
          <cell r="F203"/>
          <cell r="G203"/>
          <cell r="H203"/>
          <cell r="I203"/>
          <cell r="J203"/>
          <cell r="L203"/>
        </row>
        <row r="204">
          <cell r="A204"/>
          <cell r="D204"/>
          <cell r="E204"/>
          <cell r="F204"/>
          <cell r="G204"/>
          <cell r="H204"/>
          <cell r="I204"/>
          <cell r="J204"/>
          <cell r="L204"/>
        </row>
        <row r="205">
          <cell r="A205"/>
          <cell r="D205"/>
          <cell r="E205"/>
          <cell r="F205"/>
          <cell r="G205"/>
          <cell r="H205"/>
          <cell r="I205"/>
          <cell r="J205"/>
          <cell r="L205"/>
        </row>
        <row r="206">
          <cell r="A206"/>
          <cell r="D206"/>
          <cell r="E206"/>
          <cell r="F206"/>
          <cell r="G206"/>
          <cell r="H206"/>
          <cell r="I206"/>
          <cell r="J206"/>
          <cell r="L206"/>
        </row>
        <row r="207">
          <cell r="A207"/>
          <cell r="D207"/>
          <cell r="E207"/>
          <cell r="F207"/>
          <cell r="G207"/>
          <cell r="H207"/>
          <cell r="I207"/>
          <cell r="J207"/>
          <cell r="L207"/>
        </row>
        <row r="208">
          <cell r="A208"/>
          <cell r="D208"/>
          <cell r="E208"/>
          <cell r="F208"/>
          <cell r="G208"/>
          <cell r="H208"/>
          <cell r="I208"/>
          <cell r="J208"/>
          <cell r="L208"/>
        </row>
        <row r="209">
          <cell r="A209"/>
          <cell r="D209"/>
          <cell r="E209"/>
          <cell r="F209"/>
          <cell r="G209"/>
          <cell r="H209"/>
          <cell r="I209"/>
          <cell r="J209"/>
          <cell r="L209"/>
        </row>
        <row r="210">
          <cell r="A210"/>
          <cell r="D210"/>
          <cell r="E210"/>
          <cell r="F210"/>
          <cell r="G210"/>
          <cell r="H210"/>
          <cell r="I210"/>
          <cell r="J210"/>
          <cell r="L210"/>
        </row>
        <row r="211">
          <cell r="A211"/>
          <cell r="D211"/>
          <cell r="E211"/>
          <cell r="F211"/>
          <cell r="G211"/>
          <cell r="H211"/>
          <cell r="I211"/>
          <cell r="J211"/>
          <cell r="L211"/>
        </row>
        <row r="212">
          <cell r="A212"/>
          <cell r="D212"/>
          <cell r="E212"/>
          <cell r="F212"/>
          <cell r="G212"/>
          <cell r="H212"/>
          <cell r="I212"/>
          <cell r="J212"/>
          <cell r="L212"/>
        </row>
        <row r="213">
          <cell r="A213"/>
          <cell r="D213"/>
          <cell r="E213"/>
          <cell r="F213"/>
          <cell r="G213"/>
          <cell r="H213"/>
          <cell r="I213"/>
          <cell r="J213"/>
          <cell r="L213"/>
        </row>
        <row r="214">
          <cell r="A214"/>
          <cell r="D214"/>
          <cell r="E214"/>
          <cell r="F214"/>
          <cell r="G214"/>
          <cell r="H214"/>
          <cell r="I214"/>
          <cell r="J214"/>
          <cell r="L214"/>
        </row>
        <row r="215">
          <cell r="A215"/>
          <cell r="D215"/>
          <cell r="E215"/>
          <cell r="F215"/>
          <cell r="G215"/>
          <cell r="H215"/>
          <cell r="I215"/>
          <cell r="J215"/>
          <cell r="L215"/>
        </row>
        <row r="216">
          <cell r="A216"/>
          <cell r="D216"/>
          <cell r="E216"/>
          <cell r="F216"/>
          <cell r="G216"/>
          <cell r="H216"/>
          <cell r="I216"/>
          <cell r="J216"/>
          <cell r="L216"/>
        </row>
        <row r="217">
          <cell r="A217"/>
          <cell r="D217"/>
          <cell r="E217"/>
          <cell r="F217"/>
          <cell r="G217"/>
          <cell r="H217"/>
          <cell r="I217"/>
          <cell r="J217"/>
          <cell r="L217"/>
        </row>
        <row r="218">
          <cell r="A218"/>
          <cell r="D218"/>
          <cell r="E218"/>
          <cell r="F218"/>
          <cell r="G218"/>
          <cell r="H218"/>
          <cell r="I218"/>
          <cell r="J218"/>
          <cell r="L218"/>
        </row>
        <row r="219">
          <cell r="A219"/>
          <cell r="D219"/>
          <cell r="E219"/>
          <cell r="F219"/>
          <cell r="G219"/>
          <cell r="H219"/>
          <cell r="I219"/>
          <cell r="J219"/>
          <cell r="L219"/>
        </row>
        <row r="220">
          <cell r="A220"/>
          <cell r="D220"/>
          <cell r="E220"/>
          <cell r="F220"/>
          <cell r="G220"/>
          <cell r="H220"/>
          <cell r="I220"/>
          <cell r="J220"/>
          <cell r="L220"/>
        </row>
        <row r="221">
          <cell r="A221"/>
          <cell r="D221"/>
          <cell r="E221"/>
          <cell r="F221"/>
          <cell r="G221"/>
          <cell r="H221"/>
          <cell r="I221"/>
          <cell r="J221"/>
          <cell r="L221"/>
        </row>
        <row r="222">
          <cell r="A222"/>
          <cell r="D222"/>
          <cell r="E222"/>
          <cell r="F222"/>
          <cell r="G222"/>
          <cell r="H222"/>
          <cell r="I222"/>
          <cell r="J222"/>
          <cell r="L222"/>
        </row>
        <row r="223">
          <cell r="A223"/>
          <cell r="D223"/>
          <cell r="E223"/>
          <cell r="F223"/>
          <cell r="G223"/>
          <cell r="H223"/>
          <cell r="I223"/>
          <cell r="J223"/>
          <cell r="L223"/>
        </row>
        <row r="224">
          <cell r="A224"/>
          <cell r="D224"/>
          <cell r="E224"/>
          <cell r="F224"/>
          <cell r="G224"/>
          <cell r="H224"/>
          <cell r="I224"/>
          <cell r="J224"/>
          <cell r="L224"/>
        </row>
        <row r="225">
          <cell r="A225"/>
          <cell r="D225"/>
          <cell r="E225"/>
          <cell r="F225"/>
          <cell r="G225"/>
          <cell r="H225"/>
          <cell r="I225"/>
          <cell r="J225"/>
          <cell r="L225"/>
        </row>
        <row r="226">
          <cell r="A226"/>
          <cell r="D226"/>
          <cell r="E226"/>
          <cell r="F226"/>
          <cell r="G226"/>
          <cell r="H226"/>
          <cell r="I226"/>
          <cell r="J226"/>
          <cell r="L226"/>
        </row>
        <row r="227">
          <cell r="A227"/>
          <cell r="D227"/>
          <cell r="E227"/>
          <cell r="F227"/>
          <cell r="G227"/>
          <cell r="H227"/>
          <cell r="I227"/>
          <cell r="J227"/>
          <cell r="L227"/>
        </row>
        <row r="228">
          <cell r="A228"/>
          <cell r="D228"/>
          <cell r="E228"/>
          <cell r="F228"/>
          <cell r="G228"/>
          <cell r="H228"/>
          <cell r="I228"/>
          <cell r="J228"/>
          <cell r="L228"/>
        </row>
        <row r="229">
          <cell r="A229"/>
          <cell r="D229"/>
          <cell r="E229"/>
          <cell r="F229"/>
          <cell r="G229"/>
          <cell r="H229"/>
          <cell r="I229"/>
          <cell r="J229"/>
          <cell r="L229"/>
        </row>
        <row r="230">
          <cell r="A230"/>
          <cell r="D230"/>
          <cell r="E230"/>
          <cell r="F230"/>
          <cell r="G230"/>
          <cell r="H230"/>
          <cell r="I230"/>
          <cell r="J230"/>
          <cell r="L230"/>
        </row>
        <row r="231">
          <cell r="A231"/>
          <cell r="D231"/>
          <cell r="E231"/>
          <cell r="F231"/>
          <cell r="G231"/>
          <cell r="H231"/>
          <cell r="I231"/>
          <cell r="J231"/>
          <cell r="L231"/>
        </row>
        <row r="232">
          <cell r="A232"/>
          <cell r="D232"/>
          <cell r="E232"/>
          <cell r="F232"/>
          <cell r="G232"/>
          <cell r="H232"/>
          <cell r="I232"/>
          <cell r="J232"/>
          <cell r="L232"/>
        </row>
        <row r="233">
          <cell r="A233"/>
          <cell r="D233"/>
          <cell r="E233"/>
          <cell r="F233"/>
          <cell r="G233"/>
          <cell r="H233"/>
          <cell r="I233"/>
          <cell r="J233"/>
          <cell r="L233"/>
        </row>
        <row r="234">
          <cell r="A234"/>
          <cell r="D234"/>
          <cell r="E234"/>
          <cell r="F234"/>
          <cell r="G234"/>
          <cell r="H234"/>
          <cell r="I234"/>
          <cell r="J234"/>
          <cell r="L234"/>
        </row>
        <row r="235">
          <cell r="A235"/>
          <cell r="D235"/>
          <cell r="E235"/>
          <cell r="F235"/>
          <cell r="G235"/>
          <cell r="H235"/>
          <cell r="I235"/>
          <cell r="J235"/>
          <cell r="L235"/>
        </row>
        <row r="236">
          <cell r="A236"/>
          <cell r="D236"/>
          <cell r="E236"/>
          <cell r="F236"/>
          <cell r="G236"/>
          <cell r="H236"/>
          <cell r="I236"/>
          <cell r="J236"/>
          <cell r="L236"/>
        </row>
        <row r="237">
          <cell r="A237"/>
          <cell r="D237"/>
          <cell r="E237"/>
          <cell r="F237"/>
          <cell r="G237"/>
          <cell r="H237"/>
          <cell r="I237"/>
          <cell r="J237"/>
          <cell r="L237"/>
        </row>
        <row r="238">
          <cell r="A238"/>
          <cell r="D238"/>
          <cell r="E238"/>
          <cell r="F238"/>
          <cell r="G238"/>
          <cell r="H238"/>
          <cell r="I238"/>
          <cell r="J238"/>
          <cell r="L238"/>
        </row>
        <row r="239">
          <cell r="A239"/>
          <cell r="D239"/>
          <cell r="E239"/>
          <cell r="F239"/>
          <cell r="G239"/>
          <cell r="H239"/>
          <cell r="I239"/>
          <cell r="J239"/>
          <cell r="L239"/>
        </row>
        <row r="240">
          <cell r="A240"/>
          <cell r="D240"/>
          <cell r="E240"/>
          <cell r="F240"/>
          <cell r="G240"/>
          <cell r="H240"/>
          <cell r="I240"/>
          <cell r="J240"/>
          <cell r="L240"/>
        </row>
        <row r="241">
          <cell r="A241"/>
          <cell r="D241"/>
          <cell r="E241"/>
          <cell r="F241"/>
          <cell r="G241"/>
          <cell r="H241"/>
          <cell r="I241"/>
          <cell r="J241"/>
          <cell r="L241"/>
        </row>
        <row r="242">
          <cell r="A242"/>
          <cell r="D242"/>
          <cell r="E242"/>
          <cell r="F242"/>
          <cell r="G242"/>
          <cell r="H242"/>
          <cell r="I242"/>
          <cell r="J242"/>
          <cell r="L242"/>
        </row>
        <row r="243">
          <cell r="A243"/>
          <cell r="D243"/>
          <cell r="E243"/>
          <cell r="F243"/>
          <cell r="G243"/>
          <cell r="H243"/>
          <cell r="I243"/>
          <cell r="J243"/>
          <cell r="L243"/>
        </row>
        <row r="244">
          <cell r="A244"/>
          <cell r="D244"/>
          <cell r="E244"/>
          <cell r="F244"/>
          <cell r="G244"/>
          <cell r="H244"/>
          <cell r="I244"/>
          <cell r="J244"/>
          <cell r="L244"/>
        </row>
        <row r="245">
          <cell r="A245"/>
          <cell r="D245"/>
          <cell r="E245"/>
          <cell r="F245"/>
          <cell r="G245"/>
          <cell r="H245"/>
          <cell r="I245"/>
          <cell r="J245"/>
          <cell r="L245"/>
        </row>
        <row r="246">
          <cell r="A246"/>
          <cell r="D246"/>
          <cell r="E246"/>
          <cell r="F246"/>
          <cell r="G246"/>
          <cell r="H246"/>
          <cell r="I246"/>
          <cell r="J246"/>
          <cell r="L246"/>
        </row>
        <row r="247">
          <cell r="A247"/>
          <cell r="D247"/>
          <cell r="E247"/>
          <cell r="F247"/>
          <cell r="G247"/>
          <cell r="H247"/>
          <cell r="I247"/>
          <cell r="J247"/>
          <cell r="L247"/>
        </row>
        <row r="248">
          <cell r="A248"/>
          <cell r="D248"/>
          <cell r="E248"/>
          <cell r="F248"/>
          <cell r="G248"/>
          <cell r="H248"/>
          <cell r="I248"/>
          <cell r="J248"/>
          <cell r="L248"/>
        </row>
        <row r="249">
          <cell r="A249"/>
          <cell r="D249"/>
          <cell r="E249"/>
          <cell r="F249"/>
          <cell r="G249"/>
          <cell r="H249"/>
          <cell r="I249"/>
          <cell r="J249"/>
          <cell r="L249"/>
        </row>
        <row r="250">
          <cell r="A250"/>
          <cell r="D250"/>
          <cell r="E250"/>
          <cell r="F250"/>
          <cell r="G250"/>
          <cell r="H250"/>
          <cell r="I250"/>
          <cell r="J250"/>
          <cell r="L250"/>
        </row>
        <row r="251">
          <cell r="A251"/>
          <cell r="D251"/>
          <cell r="E251"/>
          <cell r="F251"/>
          <cell r="G251"/>
          <cell r="H251"/>
          <cell r="I251"/>
          <cell r="J251"/>
          <cell r="L251"/>
        </row>
        <row r="252">
          <cell r="A252"/>
          <cell r="D252"/>
          <cell r="E252"/>
          <cell r="F252"/>
          <cell r="G252"/>
          <cell r="H252"/>
          <cell r="I252"/>
          <cell r="J252"/>
          <cell r="L252"/>
        </row>
        <row r="253">
          <cell r="A253"/>
          <cell r="D253"/>
          <cell r="E253"/>
          <cell r="F253"/>
          <cell r="G253"/>
          <cell r="H253"/>
          <cell r="I253"/>
          <cell r="J253"/>
          <cell r="L253"/>
        </row>
        <row r="254">
          <cell r="A254"/>
          <cell r="D254"/>
          <cell r="E254"/>
          <cell r="F254"/>
          <cell r="G254"/>
          <cell r="H254"/>
          <cell r="I254"/>
          <cell r="J254"/>
          <cell r="L254"/>
        </row>
        <row r="255">
          <cell r="A255"/>
          <cell r="D255"/>
          <cell r="E255"/>
          <cell r="F255"/>
          <cell r="G255"/>
          <cell r="H255"/>
          <cell r="I255"/>
          <cell r="J255"/>
          <cell r="L255"/>
        </row>
        <row r="256">
          <cell r="A256"/>
          <cell r="D256"/>
          <cell r="E256"/>
          <cell r="F256"/>
          <cell r="G256"/>
          <cell r="H256"/>
          <cell r="I256"/>
          <cell r="J256"/>
          <cell r="L256"/>
        </row>
        <row r="257">
          <cell r="A257"/>
          <cell r="D257"/>
          <cell r="E257"/>
          <cell r="F257"/>
          <cell r="G257"/>
          <cell r="H257"/>
          <cell r="I257"/>
          <cell r="J257"/>
          <cell r="L257"/>
        </row>
        <row r="258">
          <cell r="A258"/>
          <cell r="D258"/>
          <cell r="E258"/>
          <cell r="F258"/>
          <cell r="G258"/>
          <cell r="H258"/>
          <cell r="I258"/>
          <cell r="J258"/>
          <cell r="L258"/>
        </row>
        <row r="259">
          <cell r="A259"/>
          <cell r="D259"/>
          <cell r="E259"/>
          <cell r="F259"/>
          <cell r="G259"/>
          <cell r="H259"/>
          <cell r="I259"/>
          <cell r="J259"/>
          <cell r="L259"/>
        </row>
        <row r="260">
          <cell r="A260"/>
          <cell r="D260"/>
          <cell r="E260"/>
          <cell r="F260"/>
          <cell r="G260"/>
          <cell r="H260"/>
          <cell r="I260"/>
          <cell r="J260"/>
          <cell r="L260"/>
        </row>
        <row r="261">
          <cell r="A261"/>
          <cell r="D261"/>
          <cell r="E261"/>
          <cell r="F261"/>
          <cell r="G261"/>
          <cell r="H261"/>
          <cell r="I261"/>
          <cell r="J261"/>
          <cell r="L261"/>
        </row>
        <row r="262">
          <cell r="A262"/>
          <cell r="D262"/>
          <cell r="E262"/>
          <cell r="F262"/>
          <cell r="G262"/>
          <cell r="H262"/>
          <cell r="I262"/>
          <cell r="J262"/>
          <cell r="L262"/>
        </row>
        <row r="263">
          <cell r="A263"/>
          <cell r="D263"/>
          <cell r="E263"/>
          <cell r="F263"/>
          <cell r="G263"/>
          <cell r="H263"/>
          <cell r="I263"/>
          <cell r="J263"/>
          <cell r="L263"/>
        </row>
        <row r="264">
          <cell r="A264"/>
          <cell r="D264"/>
          <cell r="E264"/>
          <cell r="F264"/>
          <cell r="G264"/>
          <cell r="H264"/>
          <cell r="I264"/>
          <cell r="J264"/>
          <cell r="L264"/>
        </row>
        <row r="265">
          <cell r="A265"/>
          <cell r="D265"/>
          <cell r="E265"/>
          <cell r="F265"/>
          <cell r="G265"/>
          <cell r="H265"/>
          <cell r="I265"/>
          <cell r="J265"/>
          <cell r="L265"/>
        </row>
        <row r="266">
          <cell r="A266"/>
          <cell r="D266"/>
          <cell r="E266"/>
          <cell r="F266"/>
          <cell r="G266"/>
          <cell r="H266"/>
          <cell r="I266"/>
          <cell r="J266"/>
          <cell r="L266"/>
        </row>
        <row r="267">
          <cell r="A267"/>
          <cell r="D267"/>
          <cell r="E267"/>
          <cell r="F267"/>
          <cell r="G267"/>
          <cell r="H267"/>
          <cell r="I267"/>
          <cell r="J267"/>
          <cell r="L267"/>
        </row>
        <row r="268">
          <cell r="A268"/>
          <cell r="D268"/>
          <cell r="E268"/>
          <cell r="F268"/>
          <cell r="G268"/>
          <cell r="H268"/>
          <cell r="I268"/>
          <cell r="J268"/>
          <cell r="L268"/>
        </row>
        <row r="269">
          <cell r="A269"/>
          <cell r="D269"/>
          <cell r="E269"/>
          <cell r="F269"/>
          <cell r="G269"/>
          <cell r="H269"/>
          <cell r="I269"/>
          <cell r="J269"/>
          <cell r="L269"/>
        </row>
        <row r="270">
          <cell r="A270"/>
          <cell r="D270"/>
          <cell r="E270"/>
          <cell r="F270"/>
          <cell r="G270"/>
          <cell r="H270"/>
          <cell r="I270"/>
          <cell r="J270"/>
          <cell r="L270"/>
        </row>
        <row r="271">
          <cell r="A271"/>
          <cell r="D271"/>
          <cell r="E271"/>
          <cell r="F271"/>
          <cell r="G271"/>
          <cell r="H271"/>
          <cell r="I271"/>
          <cell r="J271"/>
          <cell r="L271"/>
        </row>
        <row r="272">
          <cell r="A272"/>
          <cell r="D272"/>
          <cell r="E272"/>
          <cell r="F272"/>
          <cell r="G272"/>
          <cell r="H272"/>
          <cell r="I272"/>
          <cell r="J272"/>
          <cell r="L272"/>
        </row>
        <row r="273">
          <cell r="A273"/>
          <cell r="D273"/>
          <cell r="E273"/>
          <cell r="F273"/>
          <cell r="G273"/>
          <cell r="H273"/>
          <cell r="I273"/>
          <cell r="J273"/>
          <cell r="L273"/>
        </row>
        <row r="274">
          <cell r="A274"/>
          <cell r="D274"/>
          <cell r="E274"/>
          <cell r="F274"/>
          <cell r="G274"/>
          <cell r="H274"/>
          <cell r="I274"/>
          <cell r="J274"/>
          <cell r="L274"/>
        </row>
        <row r="275">
          <cell r="A275"/>
          <cell r="D275"/>
          <cell r="E275"/>
          <cell r="F275"/>
          <cell r="G275"/>
          <cell r="H275"/>
          <cell r="I275"/>
          <cell r="J275"/>
          <cell r="L275"/>
        </row>
        <row r="276">
          <cell r="A276"/>
          <cell r="D276"/>
          <cell r="E276"/>
          <cell r="F276"/>
          <cell r="G276"/>
          <cell r="H276"/>
          <cell r="I276"/>
          <cell r="J276"/>
          <cell r="L276"/>
        </row>
        <row r="277">
          <cell r="A277"/>
          <cell r="D277"/>
          <cell r="E277"/>
          <cell r="F277"/>
          <cell r="G277"/>
          <cell r="H277"/>
          <cell r="I277"/>
          <cell r="J277"/>
          <cell r="L277"/>
        </row>
        <row r="278">
          <cell r="A278"/>
          <cell r="D278"/>
          <cell r="E278"/>
          <cell r="F278"/>
          <cell r="G278"/>
          <cell r="H278"/>
          <cell r="I278"/>
          <cell r="J278"/>
          <cell r="L278"/>
        </row>
        <row r="279">
          <cell r="A279"/>
          <cell r="D279"/>
          <cell r="E279"/>
          <cell r="F279"/>
          <cell r="G279"/>
          <cell r="H279"/>
          <cell r="I279"/>
          <cell r="J279"/>
          <cell r="L279"/>
        </row>
        <row r="280">
          <cell r="A280"/>
          <cell r="D280"/>
          <cell r="E280"/>
          <cell r="F280"/>
          <cell r="G280"/>
          <cell r="H280"/>
          <cell r="I280"/>
          <cell r="J280"/>
          <cell r="L280"/>
        </row>
        <row r="281">
          <cell r="A281"/>
          <cell r="D281"/>
          <cell r="E281"/>
          <cell r="F281"/>
          <cell r="G281"/>
          <cell r="H281"/>
          <cell r="I281"/>
          <cell r="J281"/>
          <cell r="L281"/>
        </row>
        <row r="282">
          <cell r="A282"/>
          <cell r="D282"/>
          <cell r="E282"/>
          <cell r="F282"/>
          <cell r="G282"/>
          <cell r="H282"/>
          <cell r="I282"/>
          <cell r="J282"/>
          <cell r="L282"/>
        </row>
        <row r="283">
          <cell r="A283"/>
          <cell r="D283"/>
          <cell r="E283"/>
          <cell r="F283"/>
          <cell r="G283"/>
          <cell r="H283"/>
          <cell r="I283"/>
          <cell r="J283"/>
          <cell r="L283"/>
        </row>
        <row r="284">
          <cell r="A284"/>
          <cell r="D284"/>
          <cell r="E284"/>
          <cell r="F284"/>
          <cell r="G284"/>
          <cell r="H284"/>
          <cell r="I284"/>
          <cell r="J284"/>
          <cell r="L284"/>
        </row>
        <row r="285">
          <cell r="A285"/>
          <cell r="D285"/>
          <cell r="E285"/>
          <cell r="F285"/>
          <cell r="G285"/>
          <cell r="H285"/>
          <cell r="I285"/>
          <cell r="J285"/>
          <cell r="L285"/>
        </row>
        <row r="286">
          <cell r="A286"/>
          <cell r="D286"/>
          <cell r="E286"/>
          <cell r="F286"/>
          <cell r="G286"/>
          <cell r="H286"/>
          <cell r="I286"/>
          <cell r="J286"/>
          <cell r="L286"/>
        </row>
        <row r="287">
          <cell r="A287"/>
          <cell r="D287"/>
          <cell r="E287"/>
          <cell r="F287"/>
          <cell r="G287"/>
          <cell r="H287"/>
          <cell r="I287"/>
          <cell r="J287"/>
          <cell r="L287"/>
        </row>
        <row r="288">
          <cell r="A288"/>
          <cell r="D288"/>
          <cell r="E288"/>
          <cell r="F288"/>
          <cell r="G288"/>
          <cell r="H288"/>
          <cell r="I288"/>
          <cell r="J288"/>
          <cell r="L288"/>
        </row>
        <row r="289">
          <cell r="A289"/>
          <cell r="D289"/>
          <cell r="E289"/>
          <cell r="F289"/>
          <cell r="G289"/>
          <cell r="H289"/>
          <cell r="I289"/>
          <cell r="J289"/>
          <cell r="L289"/>
        </row>
        <row r="290">
          <cell r="A290"/>
          <cell r="D290"/>
          <cell r="E290"/>
          <cell r="F290"/>
          <cell r="G290"/>
          <cell r="H290"/>
          <cell r="I290"/>
          <cell r="J290"/>
          <cell r="L290"/>
        </row>
        <row r="291">
          <cell r="A291"/>
          <cell r="D291"/>
          <cell r="E291"/>
          <cell r="F291"/>
          <cell r="G291"/>
          <cell r="H291"/>
          <cell r="I291"/>
          <cell r="J291"/>
          <cell r="L291"/>
        </row>
        <row r="292">
          <cell r="A292"/>
          <cell r="D292"/>
          <cell r="E292"/>
          <cell r="F292"/>
          <cell r="G292"/>
          <cell r="H292"/>
          <cell r="I292"/>
          <cell r="J292"/>
          <cell r="L292"/>
        </row>
        <row r="293">
          <cell r="A293"/>
          <cell r="D293"/>
          <cell r="E293"/>
          <cell r="F293"/>
          <cell r="G293"/>
          <cell r="H293"/>
          <cell r="I293"/>
          <cell r="J293"/>
          <cell r="L293"/>
        </row>
        <row r="294">
          <cell r="A294"/>
          <cell r="D294"/>
          <cell r="E294"/>
          <cell r="F294"/>
          <cell r="G294"/>
          <cell r="H294"/>
          <cell r="I294"/>
          <cell r="J294"/>
          <cell r="L294"/>
        </row>
        <row r="295">
          <cell r="A295"/>
          <cell r="D295"/>
          <cell r="E295"/>
          <cell r="F295"/>
          <cell r="G295"/>
          <cell r="H295"/>
          <cell r="I295"/>
          <cell r="J295"/>
          <cell r="L295"/>
        </row>
        <row r="296">
          <cell r="A296"/>
          <cell r="D296"/>
          <cell r="E296"/>
          <cell r="F296"/>
          <cell r="G296"/>
          <cell r="H296"/>
          <cell r="I296"/>
          <cell r="J296"/>
          <cell r="L296"/>
        </row>
        <row r="297">
          <cell r="A297"/>
          <cell r="D297"/>
          <cell r="E297"/>
          <cell r="F297"/>
          <cell r="G297"/>
          <cell r="H297"/>
          <cell r="I297"/>
          <cell r="J297"/>
          <cell r="L297"/>
        </row>
        <row r="298">
          <cell r="A298"/>
          <cell r="D298"/>
          <cell r="E298"/>
          <cell r="F298"/>
          <cell r="G298"/>
          <cell r="H298"/>
          <cell r="I298"/>
          <cell r="J298"/>
          <cell r="L298"/>
        </row>
        <row r="299">
          <cell r="A299"/>
          <cell r="D299"/>
          <cell r="E299"/>
          <cell r="F299"/>
          <cell r="G299"/>
          <cell r="H299"/>
          <cell r="I299"/>
          <cell r="J299"/>
          <cell r="L299"/>
        </row>
        <row r="300">
          <cell r="A300"/>
          <cell r="D300"/>
          <cell r="E300"/>
          <cell r="F300"/>
          <cell r="G300"/>
          <cell r="H300"/>
          <cell r="I300"/>
          <cell r="J300"/>
          <cell r="L300"/>
        </row>
        <row r="301">
          <cell r="A301"/>
          <cell r="D301"/>
          <cell r="E301"/>
          <cell r="F301"/>
          <cell r="G301"/>
          <cell r="H301"/>
          <cell r="I301"/>
          <cell r="J301"/>
          <cell r="L301"/>
        </row>
        <row r="302">
          <cell r="A302"/>
          <cell r="D302"/>
          <cell r="E302"/>
          <cell r="F302"/>
          <cell r="G302"/>
          <cell r="H302"/>
          <cell r="I302"/>
          <cell r="J302"/>
          <cell r="L302"/>
        </row>
        <row r="303">
          <cell r="A303"/>
          <cell r="D303"/>
          <cell r="E303"/>
          <cell r="F303"/>
          <cell r="G303"/>
          <cell r="H303"/>
          <cell r="I303"/>
          <cell r="J303"/>
          <cell r="L303"/>
        </row>
        <row r="304">
          <cell r="A304"/>
          <cell r="D304"/>
          <cell r="E304"/>
          <cell r="F304"/>
          <cell r="G304"/>
          <cell r="H304"/>
          <cell r="I304"/>
          <cell r="J304"/>
          <cell r="L304"/>
        </row>
        <row r="305">
          <cell r="A305"/>
          <cell r="D305"/>
          <cell r="E305"/>
          <cell r="F305"/>
          <cell r="G305"/>
          <cell r="H305"/>
          <cell r="I305"/>
          <cell r="J305"/>
          <cell r="L305"/>
        </row>
        <row r="306">
          <cell r="A306"/>
          <cell r="D306"/>
          <cell r="E306"/>
          <cell r="F306"/>
          <cell r="G306"/>
          <cell r="H306"/>
          <cell r="I306"/>
          <cell r="J306"/>
          <cell r="L306"/>
        </row>
        <row r="307">
          <cell r="A307"/>
          <cell r="D307"/>
          <cell r="E307"/>
          <cell r="F307"/>
          <cell r="G307"/>
          <cell r="H307"/>
          <cell r="I307"/>
          <cell r="J307"/>
          <cell r="L307"/>
        </row>
        <row r="308">
          <cell r="A308"/>
          <cell r="D308"/>
          <cell r="E308"/>
          <cell r="F308"/>
          <cell r="G308"/>
          <cell r="H308"/>
          <cell r="I308"/>
          <cell r="J308"/>
          <cell r="L308"/>
        </row>
        <row r="309">
          <cell r="A309"/>
          <cell r="D309"/>
          <cell r="E309"/>
          <cell r="F309"/>
          <cell r="G309"/>
          <cell r="H309"/>
          <cell r="I309"/>
          <cell r="J309"/>
          <cell r="L309"/>
        </row>
        <row r="310">
          <cell r="A310"/>
          <cell r="D310"/>
          <cell r="E310"/>
          <cell r="F310"/>
          <cell r="G310"/>
          <cell r="H310"/>
          <cell r="I310"/>
          <cell r="J310"/>
          <cell r="L310"/>
        </row>
        <row r="311">
          <cell r="A311"/>
          <cell r="D311"/>
          <cell r="E311"/>
          <cell r="F311"/>
          <cell r="G311"/>
          <cell r="H311"/>
          <cell r="I311"/>
          <cell r="J311"/>
          <cell r="L311"/>
        </row>
        <row r="312">
          <cell r="A312"/>
          <cell r="D312"/>
          <cell r="E312"/>
          <cell r="F312"/>
          <cell r="G312"/>
          <cell r="H312"/>
          <cell r="I312"/>
          <cell r="J312"/>
          <cell r="L312"/>
        </row>
        <row r="313">
          <cell r="A313"/>
          <cell r="D313"/>
          <cell r="E313"/>
          <cell r="F313"/>
          <cell r="G313"/>
          <cell r="H313"/>
          <cell r="I313"/>
          <cell r="J313"/>
          <cell r="L313"/>
        </row>
        <row r="314">
          <cell r="A314"/>
          <cell r="D314"/>
          <cell r="E314"/>
          <cell r="F314"/>
          <cell r="G314"/>
          <cell r="H314"/>
          <cell r="I314"/>
          <cell r="J314"/>
          <cell r="L314"/>
        </row>
        <row r="315">
          <cell r="A315"/>
          <cell r="D315"/>
          <cell r="E315"/>
          <cell r="F315"/>
          <cell r="G315"/>
          <cell r="H315"/>
          <cell r="I315"/>
          <cell r="J315"/>
          <cell r="L315"/>
        </row>
        <row r="316">
          <cell r="A316"/>
          <cell r="D316"/>
          <cell r="E316"/>
          <cell r="F316"/>
          <cell r="G316"/>
          <cell r="H316"/>
          <cell r="I316"/>
          <cell r="J316"/>
          <cell r="L316"/>
        </row>
        <row r="317">
          <cell r="A317"/>
          <cell r="D317"/>
          <cell r="E317"/>
          <cell r="F317"/>
          <cell r="G317"/>
          <cell r="H317"/>
          <cell r="I317"/>
          <cell r="J317"/>
          <cell r="L317"/>
        </row>
        <row r="318">
          <cell r="A318"/>
          <cell r="D318"/>
          <cell r="E318"/>
          <cell r="F318"/>
          <cell r="G318"/>
          <cell r="H318"/>
          <cell r="I318"/>
          <cell r="J318"/>
          <cell r="L318"/>
        </row>
        <row r="319">
          <cell r="A319"/>
          <cell r="D319"/>
          <cell r="E319"/>
          <cell r="F319"/>
          <cell r="G319"/>
          <cell r="H319"/>
          <cell r="I319"/>
          <cell r="J319"/>
          <cell r="L319"/>
        </row>
        <row r="320">
          <cell r="A320"/>
          <cell r="D320"/>
          <cell r="E320"/>
          <cell r="F320"/>
          <cell r="G320"/>
          <cell r="H320"/>
          <cell r="I320"/>
          <cell r="J320"/>
          <cell r="L320"/>
        </row>
        <row r="321">
          <cell r="A321"/>
          <cell r="D321"/>
          <cell r="E321"/>
          <cell r="F321"/>
          <cell r="G321"/>
          <cell r="H321"/>
          <cell r="I321"/>
          <cell r="J321"/>
          <cell r="L321"/>
        </row>
        <row r="322">
          <cell r="A322"/>
          <cell r="D322"/>
          <cell r="E322"/>
          <cell r="F322"/>
          <cell r="G322"/>
          <cell r="H322"/>
          <cell r="I322"/>
          <cell r="J322"/>
          <cell r="L322"/>
        </row>
        <row r="323">
          <cell r="A323"/>
          <cell r="D323"/>
          <cell r="E323"/>
          <cell r="F323"/>
          <cell r="G323"/>
          <cell r="H323"/>
          <cell r="I323"/>
          <cell r="J323"/>
          <cell r="L323"/>
        </row>
        <row r="324">
          <cell r="A324"/>
          <cell r="D324"/>
          <cell r="E324"/>
          <cell r="F324"/>
          <cell r="G324"/>
          <cell r="H324"/>
          <cell r="I324"/>
          <cell r="J324"/>
          <cell r="L324"/>
        </row>
        <row r="325">
          <cell r="A325"/>
          <cell r="D325"/>
          <cell r="E325"/>
          <cell r="F325"/>
          <cell r="G325"/>
          <cell r="H325"/>
          <cell r="I325"/>
          <cell r="J325"/>
          <cell r="L325"/>
        </row>
        <row r="326">
          <cell r="A326"/>
          <cell r="D326"/>
          <cell r="E326"/>
          <cell r="F326"/>
          <cell r="G326"/>
          <cell r="H326"/>
          <cell r="I326"/>
          <cell r="J326"/>
          <cell r="L326"/>
        </row>
        <row r="327">
          <cell r="A327"/>
          <cell r="D327"/>
          <cell r="E327"/>
          <cell r="F327"/>
          <cell r="G327"/>
          <cell r="H327"/>
          <cell r="I327"/>
          <cell r="J327"/>
          <cell r="L327"/>
        </row>
        <row r="328">
          <cell r="A328"/>
          <cell r="D328"/>
          <cell r="E328"/>
          <cell r="F328"/>
          <cell r="G328"/>
          <cell r="H328"/>
          <cell r="I328"/>
          <cell r="J328"/>
          <cell r="L328"/>
        </row>
        <row r="329">
          <cell r="A329"/>
          <cell r="D329"/>
          <cell r="E329"/>
          <cell r="F329"/>
          <cell r="G329"/>
          <cell r="H329"/>
          <cell r="I329"/>
          <cell r="J329"/>
          <cell r="L329"/>
        </row>
        <row r="330">
          <cell r="A330"/>
          <cell r="D330"/>
          <cell r="E330"/>
          <cell r="F330"/>
          <cell r="G330"/>
          <cell r="H330"/>
          <cell r="I330"/>
          <cell r="J330"/>
          <cell r="L330"/>
        </row>
        <row r="331">
          <cell r="A331"/>
          <cell r="D331"/>
          <cell r="E331"/>
          <cell r="F331"/>
          <cell r="G331"/>
          <cell r="H331"/>
          <cell r="I331"/>
          <cell r="J331"/>
          <cell r="L331"/>
        </row>
        <row r="332">
          <cell r="A332"/>
          <cell r="D332"/>
          <cell r="E332"/>
          <cell r="F332"/>
          <cell r="G332"/>
          <cell r="H332"/>
          <cell r="I332"/>
          <cell r="J332"/>
          <cell r="L332"/>
        </row>
        <row r="333">
          <cell r="A333"/>
          <cell r="D333"/>
          <cell r="E333"/>
          <cell r="F333"/>
          <cell r="G333"/>
          <cell r="H333"/>
          <cell r="I333"/>
          <cell r="J333"/>
          <cell r="L333"/>
        </row>
        <row r="334">
          <cell r="A334"/>
          <cell r="D334"/>
          <cell r="E334"/>
          <cell r="F334"/>
          <cell r="G334"/>
          <cell r="H334"/>
          <cell r="I334"/>
          <cell r="J334"/>
          <cell r="L334"/>
        </row>
        <row r="335">
          <cell r="A335"/>
          <cell r="D335"/>
          <cell r="E335"/>
          <cell r="F335"/>
          <cell r="G335"/>
          <cell r="H335"/>
          <cell r="I335"/>
          <cell r="J335"/>
          <cell r="L335"/>
        </row>
        <row r="336">
          <cell r="A336"/>
          <cell r="D336"/>
          <cell r="E336"/>
          <cell r="F336"/>
          <cell r="G336"/>
          <cell r="H336"/>
          <cell r="I336"/>
          <cell r="J336"/>
          <cell r="L336"/>
        </row>
        <row r="337">
          <cell r="A337"/>
          <cell r="D337"/>
          <cell r="E337"/>
          <cell r="F337"/>
          <cell r="G337"/>
          <cell r="H337"/>
          <cell r="I337"/>
          <cell r="J337"/>
          <cell r="L337"/>
        </row>
        <row r="338">
          <cell r="A338"/>
          <cell r="D338"/>
          <cell r="E338"/>
          <cell r="F338"/>
          <cell r="G338"/>
          <cell r="H338"/>
          <cell r="I338"/>
          <cell r="J338"/>
          <cell r="L338"/>
        </row>
        <row r="339">
          <cell r="A339"/>
          <cell r="D339"/>
          <cell r="E339"/>
          <cell r="F339"/>
          <cell r="G339"/>
          <cell r="H339"/>
          <cell r="I339"/>
          <cell r="J339"/>
          <cell r="L339"/>
        </row>
        <row r="340">
          <cell r="A340"/>
          <cell r="D340"/>
          <cell r="E340"/>
          <cell r="F340"/>
          <cell r="G340"/>
          <cell r="H340"/>
          <cell r="I340"/>
          <cell r="J340"/>
          <cell r="L340"/>
        </row>
        <row r="341">
          <cell r="A341"/>
          <cell r="D341"/>
          <cell r="E341"/>
          <cell r="F341"/>
          <cell r="G341"/>
          <cell r="H341"/>
          <cell r="I341"/>
          <cell r="J341"/>
          <cell r="L341"/>
        </row>
        <row r="342">
          <cell r="A342"/>
          <cell r="D342"/>
          <cell r="E342"/>
          <cell r="F342"/>
          <cell r="G342"/>
          <cell r="H342"/>
          <cell r="I342"/>
          <cell r="J342"/>
          <cell r="L342"/>
        </row>
        <row r="343">
          <cell r="A343"/>
          <cell r="D343"/>
          <cell r="E343"/>
          <cell r="F343"/>
          <cell r="G343"/>
          <cell r="H343"/>
          <cell r="I343"/>
          <cell r="J343"/>
          <cell r="L343"/>
        </row>
        <row r="344">
          <cell r="A344"/>
          <cell r="D344"/>
          <cell r="E344"/>
          <cell r="F344"/>
          <cell r="G344"/>
          <cell r="H344"/>
          <cell r="I344"/>
          <cell r="J344"/>
          <cell r="L344"/>
        </row>
        <row r="345">
          <cell r="A345"/>
          <cell r="D345"/>
          <cell r="E345"/>
          <cell r="F345"/>
          <cell r="G345"/>
          <cell r="H345"/>
          <cell r="I345"/>
          <cell r="J345"/>
          <cell r="L345"/>
        </row>
        <row r="346">
          <cell r="A346"/>
          <cell r="D346"/>
          <cell r="E346"/>
          <cell r="F346"/>
          <cell r="G346"/>
          <cell r="H346"/>
          <cell r="I346"/>
          <cell r="J346"/>
          <cell r="L346"/>
        </row>
        <row r="347">
          <cell r="A347"/>
          <cell r="D347"/>
          <cell r="E347"/>
          <cell r="F347"/>
          <cell r="G347"/>
          <cell r="H347"/>
          <cell r="I347"/>
          <cell r="J347"/>
          <cell r="L347"/>
        </row>
        <row r="348">
          <cell r="A348"/>
          <cell r="D348"/>
          <cell r="E348"/>
          <cell r="F348"/>
          <cell r="G348"/>
          <cell r="H348"/>
          <cell r="I348"/>
          <cell r="J348"/>
          <cell r="L348"/>
        </row>
        <row r="349">
          <cell r="A349"/>
          <cell r="D349"/>
          <cell r="E349"/>
          <cell r="F349"/>
          <cell r="G349"/>
          <cell r="H349"/>
          <cell r="I349"/>
          <cell r="J349"/>
          <cell r="L349"/>
        </row>
        <row r="350">
          <cell r="A350"/>
          <cell r="D350"/>
          <cell r="E350"/>
          <cell r="F350"/>
          <cell r="G350"/>
          <cell r="H350"/>
          <cell r="I350"/>
          <cell r="J350"/>
          <cell r="L350"/>
        </row>
        <row r="351">
          <cell r="A351"/>
          <cell r="D351"/>
          <cell r="E351"/>
          <cell r="F351"/>
          <cell r="G351"/>
          <cell r="H351"/>
          <cell r="I351"/>
          <cell r="J351"/>
          <cell r="L351"/>
        </row>
        <row r="352">
          <cell r="A352"/>
          <cell r="D352"/>
          <cell r="E352"/>
          <cell r="F352"/>
          <cell r="G352"/>
          <cell r="H352"/>
          <cell r="I352"/>
          <cell r="J352"/>
          <cell r="L352"/>
        </row>
        <row r="353">
          <cell r="A353"/>
          <cell r="D353"/>
          <cell r="E353"/>
          <cell r="F353"/>
          <cell r="G353"/>
          <cell r="H353"/>
          <cell r="I353"/>
          <cell r="J353"/>
          <cell r="L353"/>
        </row>
        <row r="354">
          <cell r="A354"/>
          <cell r="D354"/>
          <cell r="E354"/>
          <cell r="F354"/>
          <cell r="G354"/>
          <cell r="H354"/>
          <cell r="I354"/>
          <cell r="J354"/>
          <cell r="L354"/>
        </row>
        <row r="355">
          <cell r="A355"/>
          <cell r="D355"/>
          <cell r="E355"/>
          <cell r="F355"/>
          <cell r="G355"/>
          <cell r="H355"/>
          <cell r="I355"/>
          <cell r="J355"/>
          <cell r="L355"/>
        </row>
        <row r="356">
          <cell r="A356"/>
          <cell r="D356"/>
          <cell r="E356"/>
          <cell r="F356"/>
          <cell r="G356"/>
          <cell r="H356"/>
          <cell r="I356"/>
          <cell r="J356"/>
          <cell r="L356"/>
        </row>
        <row r="357">
          <cell r="A357"/>
          <cell r="D357"/>
          <cell r="E357"/>
          <cell r="F357"/>
          <cell r="G357"/>
          <cell r="H357"/>
          <cell r="I357"/>
          <cell r="J357"/>
          <cell r="L357"/>
        </row>
        <row r="358">
          <cell r="A358"/>
          <cell r="D358"/>
          <cell r="E358"/>
          <cell r="F358"/>
          <cell r="G358"/>
          <cell r="H358"/>
          <cell r="I358"/>
          <cell r="J358"/>
          <cell r="L358"/>
        </row>
        <row r="359">
          <cell r="A359"/>
          <cell r="D359"/>
          <cell r="E359"/>
          <cell r="F359"/>
          <cell r="G359"/>
          <cell r="H359"/>
          <cell r="I359"/>
          <cell r="J359"/>
          <cell r="L359"/>
        </row>
        <row r="360">
          <cell r="A360"/>
          <cell r="D360"/>
          <cell r="E360"/>
          <cell r="F360"/>
          <cell r="G360"/>
          <cell r="H360"/>
          <cell r="I360"/>
          <cell r="J360"/>
          <cell r="L360"/>
        </row>
        <row r="361">
          <cell r="A361"/>
          <cell r="D361"/>
          <cell r="E361"/>
          <cell r="F361"/>
          <cell r="G361"/>
          <cell r="H361"/>
          <cell r="I361"/>
          <cell r="J361"/>
          <cell r="L361"/>
        </row>
        <row r="362">
          <cell r="A362"/>
          <cell r="D362"/>
          <cell r="E362"/>
          <cell r="F362"/>
          <cell r="G362"/>
          <cell r="H362"/>
          <cell r="I362"/>
          <cell r="J362"/>
          <cell r="L362"/>
        </row>
        <row r="363">
          <cell r="A363"/>
          <cell r="D363"/>
          <cell r="E363"/>
          <cell r="F363"/>
          <cell r="G363"/>
          <cell r="H363"/>
          <cell r="I363"/>
          <cell r="J363"/>
          <cell r="L363"/>
        </row>
        <row r="364">
          <cell r="A364"/>
          <cell r="D364"/>
          <cell r="E364"/>
          <cell r="F364"/>
          <cell r="G364"/>
          <cell r="H364"/>
          <cell r="I364"/>
          <cell r="J364"/>
          <cell r="L364"/>
        </row>
        <row r="365">
          <cell r="A365"/>
          <cell r="D365"/>
          <cell r="E365"/>
          <cell r="F365"/>
          <cell r="G365"/>
          <cell r="H365"/>
          <cell r="I365"/>
          <cell r="J365"/>
          <cell r="L365"/>
        </row>
        <row r="366">
          <cell r="A366"/>
          <cell r="D366"/>
          <cell r="E366"/>
          <cell r="F366"/>
          <cell r="G366"/>
          <cell r="H366"/>
          <cell r="I366"/>
          <cell r="J366"/>
          <cell r="L366"/>
        </row>
        <row r="367">
          <cell r="A367"/>
          <cell r="D367"/>
          <cell r="E367"/>
          <cell r="F367"/>
          <cell r="G367"/>
          <cell r="H367"/>
          <cell r="I367"/>
          <cell r="J367"/>
          <cell r="L367"/>
        </row>
        <row r="368">
          <cell r="A368"/>
          <cell r="D368"/>
          <cell r="E368"/>
          <cell r="F368"/>
          <cell r="G368"/>
          <cell r="H368"/>
          <cell r="I368"/>
          <cell r="J368"/>
          <cell r="L368"/>
        </row>
        <row r="369">
          <cell r="A369"/>
          <cell r="D369"/>
          <cell r="E369"/>
          <cell r="F369"/>
          <cell r="G369"/>
          <cell r="H369"/>
          <cell r="I369"/>
          <cell r="J369"/>
          <cell r="L369"/>
        </row>
        <row r="370">
          <cell r="A370"/>
          <cell r="D370"/>
          <cell r="E370"/>
          <cell r="F370"/>
          <cell r="G370"/>
          <cell r="H370"/>
          <cell r="I370"/>
          <cell r="J370"/>
          <cell r="L370"/>
        </row>
        <row r="371">
          <cell r="A371"/>
          <cell r="D371"/>
          <cell r="E371"/>
          <cell r="F371"/>
          <cell r="G371"/>
          <cell r="H371"/>
          <cell r="I371"/>
          <cell r="J371"/>
          <cell r="L371"/>
        </row>
        <row r="372">
          <cell r="A372"/>
          <cell r="D372"/>
          <cell r="E372"/>
          <cell r="F372"/>
          <cell r="G372"/>
          <cell r="H372"/>
          <cell r="I372"/>
          <cell r="J372"/>
          <cell r="L372"/>
        </row>
        <row r="373">
          <cell r="A373"/>
          <cell r="D373"/>
          <cell r="E373"/>
          <cell r="F373"/>
          <cell r="G373"/>
          <cell r="H373"/>
          <cell r="I373"/>
          <cell r="J373"/>
          <cell r="L373"/>
        </row>
        <row r="374">
          <cell r="A374"/>
          <cell r="D374"/>
          <cell r="E374"/>
          <cell r="F374"/>
          <cell r="G374"/>
          <cell r="H374"/>
          <cell r="I374"/>
          <cell r="J374"/>
          <cell r="L374"/>
        </row>
        <row r="375">
          <cell r="A375"/>
          <cell r="D375"/>
          <cell r="E375"/>
          <cell r="F375"/>
          <cell r="G375"/>
          <cell r="H375"/>
          <cell r="I375"/>
          <cell r="J375"/>
          <cell r="L375"/>
        </row>
        <row r="376">
          <cell r="A376"/>
          <cell r="D376"/>
          <cell r="E376"/>
          <cell r="F376"/>
          <cell r="G376"/>
          <cell r="H376"/>
          <cell r="I376"/>
          <cell r="J376"/>
          <cell r="L376"/>
        </row>
        <row r="377">
          <cell r="A377"/>
          <cell r="D377"/>
          <cell r="E377"/>
          <cell r="F377"/>
          <cell r="G377"/>
          <cell r="H377"/>
          <cell r="I377"/>
          <cell r="J377"/>
          <cell r="L377"/>
        </row>
        <row r="378">
          <cell r="A378"/>
          <cell r="D378"/>
          <cell r="E378"/>
          <cell r="F378"/>
          <cell r="G378"/>
          <cell r="H378"/>
          <cell r="I378"/>
          <cell r="J378"/>
          <cell r="L378"/>
        </row>
        <row r="379">
          <cell r="A379"/>
          <cell r="D379"/>
          <cell r="E379"/>
          <cell r="F379"/>
          <cell r="G379"/>
          <cell r="H379"/>
          <cell r="I379"/>
          <cell r="J379"/>
          <cell r="L379"/>
        </row>
        <row r="380">
          <cell r="A380"/>
          <cell r="D380"/>
          <cell r="E380"/>
          <cell r="F380"/>
          <cell r="G380"/>
          <cell r="H380"/>
          <cell r="I380"/>
          <cell r="J380"/>
          <cell r="L380"/>
        </row>
        <row r="381">
          <cell r="A381"/>
          <cell r="D381"/>
          <cell r="E381"/>
          <cell r="F381"/>
          <cell r="G381"/>
          <cell r="H381"/>
          <cell r="I381"/>
          <cell r="J381"/>
          <cell r="L381"/>
        </row>
        <row r="382">
          <cell r="A382"/>
          <cell r="D382"/>
          <cell r="E382"/>
          <cell r="F382"/>
          <cell r="G382"/>
          <cell r="H382"/>
          <cell r="I382"/>
          <cell r="J382"/>
          <cell r="L382"/>
        </row>
        <row r="383">
          <cell r="A383"/>
          <cell r="D383"/>
          <cell r="E383"/>
          <cell r="F383"/>
          <cell r="G383"/>
          <cell r="H383"/>
          <cell r="I383"/>
          <cell r="J383"/>
          <cell r="L383"/>
        </row>
        <row r="384">
          <cell r="A384"/>
          <cell r="D384"/>
          <cell r="E384"/>
          <cell r="F384"/>
          <cell r="G384"/>
          <cell r="H384"/>
          <cell r="I384"/>
          <cell r="J384"/>
          <cell r="L384"/>
        </row>
        <row r="385">
          <cell r="A385"/>
          <cell r="D385"/>
          <cell r="E385"/>
          <cell r="F385"/>
          <cell r="G385"/>
          <cell r="H385"/>
          <cell r="I385"/>
          <cell r="J385"/>
          <cell r="L385"/>
        </row>
        <row r="386">
          <cell r="A386"/>
          <cell r="D386"/>
          <cell r="E386"/>
          <cell r="F386"/>
          <cell r="G386"/>
          <cell r="H386"/>
          <cell r="I386"/>
          <cell r="J386"/>
          <cell r="L386"/>
        </row>
        <row r="387">
          <cell r="A387"/>
          <cell r="D387"/>
          <cell r="E387"/>
          <cell r="F387"/>
          <cell r="G387"/>
          <cell r="H387"/>
          <cell r="I387"/>
          <cell r="J387"/>
          <cell r="L387"/>
        </row>
        <row r="388">
          <cell r="A388"/>
          <cell r="D388"/>
          <cell r="E388"/>
          <cell r="F388"/>
          <cell r="G388"/>
          <cell r="H388"/>
          <cell r="I388"/>
          <cell r="J388"/>
          <cell r="L388"/>
        </row>
        <row r="389">
          <cell r="A389"/>
          <cell r="D389"/>
          <cell r="E389"/>
          <cell r="F389"/>
          <cell r="G389"/>
          <cell r="H389"/>
          <cell r="I389"/>
          <cell r="J389"/>
          <cell r="L389"/>
        </row>
        <row r="390">
          <cell r="A390"/>
          <cell r="D390"/>
          <cell r="E390"/>
          <cell r="F390"/>
          <cell r="G390"/>
          <cell r="H390"/>
          <cell r="I390"/>
          <cell r="J390"/>
          <cell r="L390"/>
        </row>
        <row r="391">
          <cell r="A391"/>
          <cell r="D391"/>
          <cell r="E391"/>
          <cell r="F391"/>
          <cell r="G391"/>
          <cell r="H391"/>
          <cell r="I391"/>
          <cell r="J391"/>
          <cell r="L391"/>
        </row>
        <row r="392">
          <cell r="A392"/>
          <cell r="D392"/>
          <cell r="E392"/>
          <cell r="F392"/>
          <cell r="G392"/>
          <cell r="H392"/>
          <cell r="I392"/>
          <cell r="J392"/>
          <cell r="L392"/>
        </row>
        <row r="393">
          <cell r="A393"/>
          <cell r="D393"/>
          <cell r="E393"/>
          <cell r="F393"/>
          <cell r="G393"/>
          <cell r="H393"/>
          <cell r="I393"/>
          <cell r="J393"/>
          <cell r="L393"/>
        </row>
        <row r="394">
          <cell r="A394"/>
          <cell r="D394"/>
          <cell r="E394"/>
          <cell r="F394"/>
          <cell r="G394"/>
          <cell r="H394"/>
          <cell r="I394"/>
          <cell r="J394"/>
          <cell r="L394"/>
        </row>
        <row r="395">
          <cell r="A395"/>
          <cell r="D395"/>
          <cell r="E395"/>
          <cell r="F395"/>
          <cell r="G395"/>
          <cell r="H395"/>
          <cell r="I395"/>
          <cell r="J395"/>
          <cell r="L395"/>
        </row>
        <row r="396">
          <cell r="A396"/>
          <cell r="D396"/>
          <cell r="E396"/>
          <cell r="F396"/>
          <cell r="G396"/>
          <cell r="H396"/>
          <cell r="I396"/>
          <cell r="J396"/>
          <cell r="L396"/>
        </row>
        <row r="397">
          <cell r="A397"/>
          <cell r="D397"/>
          <cell r="E397"/>
          <cell r="F397"/>
          <cell r="G397"/>
          <cell r="H397"/>
          <cell r="I397"/>
          <cell r="J397"/>
          <cell r="L397"/>
        </row>
        <row r="398">
          <cell r="A398"/>
          <cell r="D398"/>
          <cell r="E398"/>
          <cell r="F398"/>
          <cell r="G398"/>
          <cell r="H398"/>
          <cell r="I398"/>
          <cell r="J398"/>
          <cell r="L398"/>
        </row>
        <row r="399">
          <cell r="A399"/>
          <cell r="D399"/>
          <cell r="E399"/>
          <cell r="F399"/>
          <cell r="G399"/>
          <cell r="H399"/>
          <cell r="I399"/>
          <cell r="J399"/>
          <cell r="L399"/>
        </row>
        <row r="400">
          <cell r="A400"/>
          <cell r="D400"/>
          <cell r="E400"/>
          <cell r="F400"/>
          <cell r="G400"/>
          <cell r="H400"/>
          <cell r="I400"/>
          <cell r="J400"/>
          <cell r="L400"/>
        </row>
        <row r="401">
          <cell r="A401"/>
          <cell r="D401"/>
          <cell r="E401"/>
          <cell r="F401"/>
          <cell r="G401"/>
          <cell r="H401"/>
          <cell r="I401"/>
          <cell r="J401"/>
          <cell r="L401"/>
        </row>
        <row r="402">
          <cell r="A402"/>
          <cell r="D402"/>
          <cell r="E402"/>
          <cell r="F402"/>
          <cell r="G402"/>
          <cell r="H402"/>
          <cell r="I402"/>
          <cell r="J402"/>
          <cell r="L402"/>
        </row>
        <row r="403">
          <cell r="A403"/>
          <cell r="D403"/>
          <cell r="E403"/>
          <cell r="F403"/>
          <cell r="G403"/>
          <cell r="H403"/>
          <cell r="I403"/>
          <cell r="J403"/>
          <cell r="L403"/>
        </row>
        <row r="404">
          <cell r="A404"/>
          <cell r="D404"/>
          <cell r="E404"/>
          <cell r="F404"/>
          <cell r="G404"/>
          <cell r="H404"/>
          <cell r="I404"/>
          <cell r="J404"/>
          <cell r="L404"/>
        </row>
        <row r="405">
          <cell r="A405"/>
          <cell r="D405"/>
          <cell r="E405"/>
          <cell r="F405"/>
          <cell r="G405"/>
          <cell r="H405"/>
          <cell r="I405"/>
          <cell r="J405"/>
          <cell r="L405"/>
        </row>
        <row r="406">
          <cell r="A406"/>
          <cell r="D406"/>
          <cell r="E406"/>
          <cell r="F406"/>
          <cell r="G406"/>
          <cell r="H406"/>
          <cell r="I406"/>
          <cell r="J406"/>
          <cell r="L406"/>
        </row>
        <row r="407">
          <cell r="A407"/>
          <cell r="D407"/>
          <cell r="E407"/>
          <cell r="F407"/>
          <cell r="G407"/>
          <cell r="H407"/>
          <cell r="I407"/>
          <cell r="J407"/>
          <cell r="L407"/>
        </row>
        <row r="408">
          <cell r="A408"/>
          <cell r="D408"/>
          <cell r="E408"/>
          <cell r="F408"/>
          <cell r="G408"/>
          <cell r="H408"/>
          <cell r="I408"/>
          <cell r="J408"/>
          <cell r="L408"/>
        </row>
        <row r="409">
          <cell r="A409"/>
          <cell r="D409"/>
          <cell r="E409"/>
          <cell r="F409"/>
          <cell r="G409"/>
          <cell r="H409"/>
          <cell r="I409"/>
          <cell r="J409"/>
          <cell r="L409"/>
        </row>
        <row r="410">
          <cell r="A410"/>
          <cell r="D410"/>
          <cell r="E410"/>
          <cell r="F410"/>
          <cell r="G410"/>
          <cell r="H410"/>
          <cell r="I410"/>
          <cell r="J410"/>
          <cell r="L410"/>
        </row>
        <row r="411">
          <cell r="A411"/>
          <cell r="D411"/>
          <cell r="E411"/>
          <cell r="F411"/>
          <cell r="G411"/>
          <cell r="H411"/>
          <cell r="I411"/>
          <cell r="J411"/>
          <cell r="L411"/>
        </row>
        <row r="412">
          <cell r="A412"/>
          <cell r="D412"/>
          <cell r="E412"/>
          <cell r="F412"/>
          <cell r="G412"/>
          <cell r="H412"/>
          <cell r="I412"/>
          <cell r="J412"/>
          <cell r="L412"/>
        </row>
        <row r="413">
          <cell r="A413"/>
          <cell r="D413"/>
          <cell r="E413"/>
          <cell r="F413"/>
          <cell r="G413"/>
          <cell r="H413"/>
          <cell r="I413"/>
          <cell r="J413"/>
          <cell r="L413"/>
        </row>
        <row r="414">
          <cell r="A414"/>
          <cell r="D414"/>
          <cell r="E414"/>
          <cell r="F414"/>
          <cell r="G414"/>
          <cell r="H414"/>
          <cell r="I414"/>
          <cell r="J414"/>
          <cell r="L414"/>
        </row>
        <row r="415">
          <cell r="A415"/>
          <cell r="D415"/>
          <cell r="E415"/>
          <cell r="F415"/>
          <cell r="G415"/>
          <cell r="H415"/>
          <cell r="I415"/>
          <cell r="J415"/>
          <cell r="L415"/>
        </row>
        <row r="416">
          <cell r="A416"/>
          <cell r="D416"/>
          <cell r="E416"/>
          <cell r="F416"/>
          <cell r="G416"/>
          <cell r="H416"/>
          <cell r="I416"/>
          <cell r="J416"/>
          <cell r="L416"/>
        </row>
        <row r="417">
          <cell r="A417"/>
          <cell r="D417"/>
          <cell r="E417"/>
          <cell r="F417"/>
          <cell r="G417"/>
          <cell r="H417"/>
          <cell r="I417"/>
          <cell r="J417"/>
          <cell r="L417"/>
        </row>
        <row r="418">
          <cell r="A418"/>
          <cell r="D418"/>
          <cell r="E418"/>
          <cell r="F418"/>
          <cell r="G418"/>
          <cell r="H418"/>
          <cell r="I418"/>
          <cell r="J418"/>
          <cell r="L418"/>
        </row>
        <row r="419">
          <cell r="A419"/>
          <cell r="D419"/>
          <cell r="E419"/>
          <cell r="F419"/>
          <cell r="G419"/>
          <cell r="H419"/>
          <cell r="I419"/>
          <cell r="J419"/>
          <cell r="L419"/>
        </row>
        <row r="420">
          <cell r="A420"/>
          <cell r="D420"/>
          <cell r="E420"/>
          <cell r="F420"/>
          <cell r="G420"/>
          <cell r="H420"/>
          <cell r="I420"/>
          <cell r="J420"/>
          <cell r="L420"/>
        </row>
        <row r="421">
          <cell r="A421"/>
          <cell r="D421"/>
          <cell r="E421"/>
          <cell r="F421"/>
          <cell r="G421"/>
          <cell r="H421"/>
          <cell r="I421"/>
          <cell r="J421"/>
          <cell r="L421"/>
        </row>
        <row r="422">
          <cell r="A422"/>
          <cell r="D422"/>
          <cell r="E422"/>
          <cell r="F422"/>
          <cell r="G422"/>
          <cell r="H422"/>
          <cell r="I422"/>
          <cell r="J422"/>
          <cell r="L422"/>
        </row>
        <row r="423">
          <cell r="A423"/>
          <cell r="D423"/>
          <cell r="E423"/>
          <cell r="F423"/>
          <cell r="G423"/>
          <cell r="H423"/>
          <cell r="I423"/>
          <cell r="J423"/>
          <cell r="L423"/>
        </row>
        <row r="424">
          <cell r="A424"/>
          <cell r="D424"/>
          <cell r="E424"/>
          <cell r="F424"/>
          <cell r="G424"/>
          <cell r="H424"/>
          <cell r="I424"/>
          <cell r="J424"/>
          <cell r="L424"/>
        </row>
        <row r="425">
          <cell r="A425"/>
          <cell r="D425"/>
          <cell r="E425"/>
          <cell r="F425"/>
          <cell r="G425"/>
          <cell r="H425"/>
          <cell r="I425"/>
          <cell r="J425"/>
          <cell r="L425"/>
        </row>
        <row r="426">
          <cell r="A426"/>
          <cell r="D426"/>
          <cell r="E426"/>
          <cell r="F426"/>
          <cell r="G426"/>
          <cell r="H426"/>
          <cell r="I426"/>
          <cell r="J426"/>
          <cell r="L426"/>
        </row>
        <row r="427">
          <cell r="A427"/>
          <cell r="D427"/>
          <cell r="E427"/>
          <cell r="F427"/>
          <cell r="G427"/>
          <cell r="H427"/>
          <cell r="I427"/>
          <cell r="J427"/>
          <cell r="L427"/>
        </row>
        <row r="428">
          <cell r="A428"/>
          <cell r="D428"/>
          <cell r="E428"/>
          <cell r="F428"/>
          <cell r="G428"/>
          <cell r="H428"/>
          <cell r="I428"/>
          <cell r="J428"/>
          <cell r="L428"/>
        </row>
        <row r="429">
          <cell r="A429"/>
          <cell r="D429"/>
          <cell r="E429"/>
          <cell r="F429"/>
          <cell r="G429"/>
          <cell r="H429"/>
          <cell r="I429"/>
          <cell r="J429"/>
          <cell r="L429"/>
        </row>
        <row r="430">
          <cell r="A430"/>
          <cell r="D430"/>
          <cell r="E430"/>
          <cell r="F430"/>
          <cell r="G430"/>
          <cell r="H430"/>
          <cell r="I430"/>
          <cell r="J430"/>
          <cell r="L430"/>
        </row>
        <row r="431">
          <cell r="A431"/>
          <cell r="D431"/>
          <cell r="E431"/>
          <cell r="F431"/>
          <cell r="G431"/>
          <cell r="H431"/>
          <cell r="I431"/>
          <cell r="J431"/>
          <cell r="L431"/>
        </row>
        <row r="432">
          <cell r="A432"/>
          <cell r="D432"/>
          <cell r="E432"/>
          <cell r="F432"/>
          <cell r="G432"/>
          <cell r="H432"/>
          <cell r="I432"/>
          <cell r="J432"/>
          <cell r="L432"/>
        </row>
        <row r="433">
          <cell r="A433"/>
          <cell r="D433"/>
          <cell r="E433"/>
          <cell r="F433"/>
          <cell r="G433"/>
          <cell r="H433"/>
          <cell r="I433"/>
          <cell r="J433"/>
          <cell r="L433"/>
        </row>
        <row r="434">
          <cell r="A434"/>
          <cell r="D434"/>
          <cell r="E434"/>
          <cell r="F434"/>
          <cell r="G434"/>
          <cell r="H434"/>
          <cell r="I434"/>
          <cell r="J434"/>
          <cell r="L434"/>
        </row>
        <row r="435">
          <cell r="A435"/>
          <cell r="D435"/>
          <cell r="E435"/>
          <cell r="F435"/>
          <cell r="G435"/>
          <cell r="H435"/>
          <cell r="I435"/>
          <cell r="J435"/>
          <cell r="L435"/>
        </row>
        <row r="436">
          <cell r="A436"/>
          <cell r="D436"/>
          <cell r="E436"/>
          <cell r="F436"/>
          <cell r="G436"/>
          <cell r="H436"/>
          <cell r="I436"/>
          <cell r="J436"/>
          <cell r="L436"/>
        </row>
        <row r="437">
          <cell r="A437"/>
          <cell r="D437"/>
          <cell r="E437"/>
          <cell r="F437"/>
          <cell r="G437"/>
          <cell r="H437"/>
          <cell r="I437"/>
          <cell r="J437"/>
          <cell r="L437"/>
        </row>
        <row r="438">
          <cell r="A438"/>
          <cell r="D438"/>
          <cell r="E438"/>
          <cell r="F438"/>
          <cell r="G438"/>
          <cell r="H438"/>
          <cell r="I438"/>
          <cell r="J438"/>
          <cell r="L438"/>
        </row>
        <row r="439">
          <cell r="A439"/>
          <cell r="D439"/>
          <cell r="E439"/>
          <cell r="F439"/>
          <cell r="G439"/>
          <cell r="H439"/>
          <cell r="I439"/>
          <cell r="J439"/>
          <cell r="L439"/>
        </row>
        <row r="440">
          <cell r="A440"/>
          <cell r="D440"/>
          <cell r="E440"/>
          <cell r="F440"/>
          <cell r="G440"/>
          <cell r="H440"/>
          <cell r="I440"/>
          <cell r="J440"/>
          <cell r="L440"/>
        </row>
        <row r="441">
          <cell r="A441"/>
          <cell r="D441"/>
          <cell r="E441"/>
          <cell r="F441"/>
          <cell r="G441"/>
          <cell r="H441"/>
          <cell r="I441"/>
          <cell r="J441"/>
          <cell r="L441"/>
        </row>
        <row r="442">
          <cell r="A442"/>
          <cell r="D442"/>
          <cell r="E442"/>
          <cell r="F442"/>
          <cell r="G442"/>
          <cell r="H442"/>
          <cell r="I442"/>
          <cell r="J442"/>
          <cell r="L442"/>
        </row>
        <row r="443">
          <cell r="A443"/>
          <cell r="D443"/>
          <cell r="E443"/>
          <cell r="F443"/>
          <cell r="G443"/>
          <cell r="H443"/>
          <cell r="I443"/>
          <cell r="J443"/>
          <cell r="L443"/>
        </row>
        <row r="444">
          <cell r="A444"/>
          <cell r="D444"/>
          <cell r="E444"/>
          <cell r="F444"/>
          <cell r="G444"/>
          <cell r="H444"/>
          <cell r="I444"/>
          <cell r="J444"/>
          <cell r="L444"/>
        </row>
        <row r="445">
          <cell r="A445"/>
          <cell r="D445"/>
          <cell r="E445"/>
          <cell r="F445"/>
          <cell r="G445"/>
          <cell r="H445"/>
          <cell r="I445"/>
          <cell r="J445"/>
          <cell r="L445"/>
        </row>
        <row r="446">
          <cell r="A446"/>
          <cell r="D446"/>
          <cell r="E446"/>
          <cell r="F446"/>
          <cell r="G446"/>
          <cell r="H446"/>
          <cell r="I446"/>
          <cell r="J446"/>
          <cell r="L446"/>
        </row>
        <row r="447">
          <cell r="A447"/>
          <cell r="D447"/>
          <cell r="E447"/>
          <cell r="F447"/>
          <cell r="G447"/>
          <cell r="H447"/>
          <cell r="I447"/>
          <cell r="J447"/>
          <cell r="L447"/>
        </row>
        <row r="448">
          <cell r="A448"/>
          <cell r="D448"/>
          <cell r="E448"/>
          <cell r="F448"/>
          <cell r="G448"/>
          <cell r="H448"/>
          <cell r="I448"/>
          <cell r="J448"/>
          <cell r="L448"/>
        </row>
        <row r="449">
          <cell r="A449"/>
          <cell r="D449"/>
          <cell r="E449"/>
          <cell r="F449"/>
          <cell r="G449"/>
          <cell r="H449"/>
          <cell r="I449"/>
          <cell r="J449"/>
          <cell r="L449"/>
        </row>
        <row r="450">
          <cell r="A450"/>
          <cell r="D450"/>
          <cell r="E450"/>
          <cell r="F450"/>
          <cell r="G450"/>
          <cell r="H450"/>
          <cell r="I450"/>
          <cell r="J450"/>
          <cell r="L450"/>
        </row>
        <row r="451">
          <cell r="A451"/>
          <cell r="D451"/>
          <cell r="E451"/>
          <cell r="F451"/>
          <cell r="G451"/>
          <cell r="H451"/>
          <cell r="I451"/>
          <cell r="J451"/>
          <cell r="L451"/>
        </row>
        <row r="452">
          <cell r="A452"/>
          <cell r="D452"/>
          <cell r="E452"/>
          <cell r="F452"/>
          <cell r="G452"/>
          <cell r="H452"/>
          <cell r="I452"/>
          <cell r="J452"/>
          <cell r="L452"/>
        </row>
        <row r="453">
          <cell r="A453"/>
          <cell r="D453"/>
          <cell r="E453"/>
          <cell r="F453"/>
          <cell r="G453"/>
          <cell r="H453"/>
          <cell r="I453"/>
          <cell r="J453"/>
          <cell r="L453"/>
        </row>
        <row r="454">
          <cell r="A454"/>
          <cell r="D454"/>
          <cell r="E454"/>
          <cell r="F454"/>
          <cell r="G454"/>
          <cell r="H454"/>
          <cell r="I454"/>
          <cell r="J454"/>
          <cell r="L454"/>
        </row>
        <row r="455">
          <cell r="A455"/>
          <cell r="D455"/>
          <cell r="E455"/>
          <cell r="F455"/>
          <cell r="G455"/>
          <cell r="H455"/>
          <cell r="I455"/>
          <cell r="J455"/>
          <cell r="L455"/>
        </row>
        <row r="456">
          <cell r="A456"/>
          <cell r="D456"/>
          <cell r="E456"/>
          <cell r="F456"/>
          <cell r="G456"/>
          <cell r="H456"/>
          <cell r="I456"/>
          <cell r="J456"/>
          <cell r="L456"/>
        </row>
        <row r="457">
          <cell r="A457"/>
          <cell r="D457"/>
          <cell r="E457"/>
          <cell r="F457"/>
          <cell r="G457"/>
          <cell r="H457"/>
          <cell r="I457"/>
          <cell r="J457"/>
          <cell r="L457"/>
        </row>
        <row r="458">
          <cell r="A458"/>
          <cell r="D458"/>
          <cell r="E458"/>
          <cell r="F458"/>
          <cell r="G458"/>
          <cell r="H458"/>
          <cell r="I458"/>
          <cell r="J458"/>
          <cell r="L458"/>
        </row>
        <row r="459">
          <cell r="A459"/>
          <cell r="D459"/>
          <cell r="E459"/>
          <cell r="F459"/>
          <cell r="G459"/>
          <cell r="H459"/>
          <cell r="I459"/>
          <cell r="J459"/>
          <cell r="L459"/>
        </row>
        <row r="460">
          <cell r="A460"/>
          <cell r="D460"/>
          <cell r="E460"/>
          <cell r="F460"/>
          <cell r="G460"/>
          <cell r="H460"/>
          <cell r="I460"/>
          <cell r="J460"/>
          <cell r="L460"/>
        </row>
        <row r="461">
          <cell r="A461"/>
          <cell r="D461"/>
          <cell r="E461"/>
          <cell r="F461"/>
          <cell r="G461"/>
          <cell r="H461"/>
          <cell r="I461"/>
          <cell r="J461"/>
          <cell r="L461"/>
        </row>
        <row r="462">
          <cell r="A462"/>
          <cell r="D462"/>
          <cell r="E462"/>
          <cell r="F462"/>
          <cell r="G462"/>
          <cell r="H462"/>
          <cell r="I462"/>
          <cell r="J462"/>
          <cell r="L462"/>
        </row>
        <row r="463">
          <cell r="A463"/>
          <cell r="D463"/>
          <cell r="E463"/>
          <cell r="F463"/>
          <cell r="G463"/>
          <cell r="H463"/>
          <cell r="I463"/>
          <cell r="J463"/>
          <cell r="L463"/>
        </row>
        <row r="464">
          <cell r="A464"/>
          <cell r="D464"/>
          <cell r="E464"/>
          <cell r="F464"/>
          <cell r="G464"/>
          <cell r="H464"/>
          <cell r="I464"/>
          <cell r="J464"/>
          <cell r="L464"/>
        </row>
        <row r="465">
          <cell r="A465"/>
          <cell r="D465"/>
          <cell r="E465"/>
          <cell r="F465"/>
          <cell r="G465"/>
          <cell r="H465"/>
          <cell r="I465"/>
          <cell r="J465"/>
          <cell r="L465"/>
        </row>
        <row r="466">
          <cell r="A466"/>
          <cell r="D466"/>
          <cell r="E466"/>
          <cell r="F466"/>
          <cell r="G466"/>
          <cell r="H466"/>
          <cell r="I466"/>
          <cell r="J466"/>
          <cell r="L466"/>
        </row>
        <row r="467">
          <cell r="A467"/>
          <cell r="D467"/>
          <cell r="E467"/>
          <cell r="F467"/>
          <cell r="G467"/>
          <cell r="H467"/>
          <cell r="I467"/>
          <cell r="J467"/>
          <cell r="L467"/>
        </row>
        <row r="468">
          <cell r="A468"/>
          <cell r="D468"/>
          <cell r="E468"/>
          <cell r="F468"/>
          <cell r="G468"/>
          <cell r="H468"/>
          <cell r="I468"/>
          <cell r="J468"/>
          <cell r="L468"/>
        </row>
        <row r="469">
          <cell r="A469"/>
          <cell r="D469"/>
          <cell r="E469"/>
          <cell r="F469"/>
          <cell r="G469"/>
          <cell r="H469"/>
          <cell r="I469"/>
          <cell r="J469"/>
          <cell r="L469"/>
        </row>
        <row r="470">
          <cell r="A470"/>
          <cell r="D470"/>
          <cell r="E470"/>
          <cell r="F470"/>
          <cell r="G470"/>
          <cell r="H470"/>
          <cell r="I470"/>
          <cell r="J470"/>
          <cell r="L470"/>
        </row>
        <row r="471">
          <cell r="A471"/>
          <cell r="D471"/>
          <cell r="E471"/>
          <cell r="F471"/>
          <cell r="G471"/>
          <cell r="H471"/>
          <cell r="I471"/>
          <cell r="J471"/>
          <cell r="L471"/>
        </row>
        <row r="472">
          <cell r="A472"/>
          <cell r="D472"/>
          <cell r="E472"/>
          <cell r="F472"/>
          <cell r="G472"/>
          <cell r="H472"/>
          <cell r="I472"/>
          <cell r="J472"/>
          <cell r="L472"/>
        </row>
        <row r="473">
          <cell r="A473"/>
          <cell r="D473"/>
          <cell r="E473"/>
          <cell r="F473"/>
          <cell r="G473"/>
          <cell r="H473"/>
          <cell r="I473"/>
          <cell r="J473"/>
          <cell r="L473"/>
        </row>
        <row r="474">
          <cell r="A474"/>
          <cell r="D474"/>
          <cell r="E474"/>
          <cell r="F474"/>
          <cell r="G474"/>
          <cell r="H474"/>
          <cell r="I474"/>
          <cell r="J474"/>
          <cell r="L474"/>
        </row>
        <row r="475">
          <cell r="A475"/>
          <cell r="D475"/>
          <cell r="E475"/>
          <cell r="F475"/>
          <cell r="G475"/>
          <cell r="H475"/>
          <cell r="I475"/>
          <cell r="J475"/>
          <cell r="L475"/>
        </row>
        <row r="476">
          <cell r="A476"/>
          <cell r="D476"/>
          <cell r="E476"/>
          <cell r="F476"/>
          <cell r="G476"/>
          <cell r="H476"/>
          <cell r="I476"/>
          <cell r="J476"/>
          <cell r="L476"/>
        </row>
        <row r="477">
          <cell r="A477"/>
          <cell r="D477"/>
          <cell r="E477"/>
          <cell r="F477"/>
          <cell r="G477"/>
          <cell r="H477"/>
          <cell r="I477"/>
          <cell r="J477"/>
          <cell r="L477"/>
        </row>
        <row r="478">
          <cell r="A478"/>
          <cell r="D478"/>
          <cell r="E478"/>
          <cell r="F478"/>
          <cell r="G478"/>
          <cell r="H478"/>
          <cell r="I478"/>
          <cell r="J478"/>
          <cell r="L478"/>
        </row>
        <row r="479">
          <cell r="A479"/>
          <cell r="D479"/>
          <cell r="E479"/>
          <cell r="F479"/>
          <cell r="G479"/>
          <cell r="H479"/>
          <cell r="I479"/>
          <cell r="J479"/>
          <cell r="L479"/>
        </row>
        <row r="480">
          <cell r="A480"/>
          <cell r="D480"/>
          <cell r="E480"/>
          <cell r="F480"/>
          <cell r="G480"/>
          <cell r="H480"/>
          <cell r="I480"/>
          <cell r="J480"/>
          <cell r="L480"/>
        </row>
        <row r="481">
          <cell r="A481"/>
          <cell r="D481"/>
          <cell r="E481"/>
          <cell r="F481"/>
          <cell r="G481"/>
          <cell r="H481"/>
          <cell r="I481"/>
          <cell r="J481"/>
          <cell r="L481"/>
        </row>
        <row r="482">
          <cell r="A482"/>
          <cell r="D482"/>
          <cell r="E482"/>
          <cell r="F482"/>
          <cell r="G482"/>
          <cell r="H482"/>
          <cell r="I482"/>
          <cell r="J482"/>
          <cell r="L482"/>
        </row>
        <row r="483">
          <cell r="A483"/>
          <cell r="D483"/>
          <cell r="E483"/>
          <cell r="F483"/>
          <cell r="G483"/>
          <cell r="H483"/>
          <cell r="I483"/>
          <cell r="J483"/>
          <cell r="L483"/>
        </row>
        <row r="484">
          <cell r="A484"/>
          <cell r="D484"/>
          <cell r="E484"/>
          <cell r="F484"/>
          <cell r="G484"/>
          <cell r="H484"/>
          <cell r="I484"/>
          <cell r="J484"/>
          <cell r="L484"/>
        </row>
        <row r="485">
          <cell r="A485"/>
          <cell r="D485"/>
          <cell r="E485"/>
          <cell r="F485"/>
          <cell r="G485"/>
          <cell r="H485"/>
          <cell r="I485"/>
          <cell r="J485"/>
          <cell r="L485"/>
        </row>
        <row r="486">
          <cell r="A486"/>
          <cell r="D486"/>
          <cell r="E486"/>
          <cell r="F486"/>
          <cell r="G486"/>
          <cell r="H486"/>
          <cell r="I486"/>
          <cell r="J486"/>
          <cell r="L486"/>
        </row>
        <row r="487">
          <cell r="A487"/>
          <cell r="D487"/>
          <cell r="E487"/>
          <cell r="F487"/>
          <cell r="G487"/>
          <cell r="H487"/>
          <cell r="I487"/>
          <cell r="J487"/>
          <cell r="L487"/>
        </row>
        <row r="488">
          <cell r="A488"/>
          <cell r="D488"/>
          <cell r="E488"/>
          <cell r="F488"/>
          <cell r="G488"/>
          <cell r="H488"/>
          <cell r="I488"/>
          <cell r="J488"/>
          <cell r="L488"/>
        </row>
        <row r="489">
          <cell r="A489"/>
          <cell r="D489"/>
          <cell r="E489"/>
          <cell r="F489"/>
          <cell r="G489"/>
          <cell r="H489"/>
          <cell r="I489"/>
          <cell r="J489"/>
          <cell r="L489"/>
        </row>
        <row r="490">
          <cell r="A490"/>
          <cell r="D490"/>
          <cell r="E490"/>
          <cell r="F490"/>
          <cell r="G490"/>
          <cell r="H490"/>
          <cell r="I490"/>
          <cell r="J490"/>
          <cell r="L490"/>
        </row>
        <row r="491">
          <cell r="A491"/>
          <cell r="D491"/>
          <cell r="E491"/>
          <cell r="F491"/>
          <cell r="G491"/>
          <cell r="H491"/>
          <cell r="I491"/>
          <cell r="J491"/>
          <cell r="L491"/>
        </row>
        <row r="492">
          <cell r="A492"/>
          <cell r="D492"/>
          <cell r="E492"/>
          <cell r="F492"/>
          <cell r="G492"/>
          <cell r="H492"/>
          <cell r="I492"/>
          <cell r="J492"/>
          <cell r="L492"/>
        </row>
        <row r="493">
          <cell r="A493"/>
          <cell r="D493"/>
          <cell r="E493"/>
          <cell r="F493"/>
          <cell r="G493"/>
          <cell r="H493"/>
          <cell r="I493"/>
          <cell r="J493"/>
          <cell r="L493"/>
        </row>
        <row r="494">
          <cell r="A494"/>
          <cell r="D494"/>
          <cell r="E494"/>
          <cell r="F494"/>
          <cell r="G494"/>
          <cell r="H494"/>
          <cell r="I494"/>
          <cell r="J494"/>
          <cell r="L494"/>
        </row>
        <row r="495">
          <cell r="A495"/>
          <cell r="D495"/>
          <cell r="E495"/>
          <cell r="F495"/>
          <cell r="G495"/>
          <cell r="H495"/>
          <cell r="I495"/>
          <cell r="J495"/>
          <cell r="L495"/>
        </row>
        <row r="496">
          <cell r="A496"/>
          <cell r="D496"/>
          <cell r="E496"/>
          <cell r="F496"/>
          <cell r="G496"/>
          <cell r="H496"/>
          <cell r="I496"/>
          <cell r="J496"/>
          <cell r="L496"/>
        </row>
        <row r="497">
          <cell r="A497"/>
          <cell r="D497"/>
          <cell r="E497"/>
          <cell r="F497"/>
          <cell r="G497"/>
          <cell r="H497"/>
          <cell r="I497"/>
          <cell r="J497"/>
          <cell r="L497"/>
        </row>
        <row r="498">
          <cell r="A498"/>
          <cell r="D498"/>
          <cell r="E498"/>
          <cell r="F498"/>
          <cell r="G498"/>
          <cell r="H498"/>
          <cell r="I498"/>
          <cell r="J498"/>
          <cell r="L498"/>
        </row>
        <row r="499">
          <cell r="A499"/>
          <cell r="D499"/>
          <cell r="E499"/>
          <cell r="F499"/>
          <cell r="G499"/>
          <cell r="H499"/>
          <cell r="I499"/>
          <cell r="J499"/>
          <cell r="L499"/>
        </row>
        <row r="500">
          <cell r="A500"/>
          <cell r="D500"/>
          <cell r="E500"/>
          <cell r="F500"/>
          <cell r="G500"/>
          <cell r="H500"/>
          <cell r="I500"/>
          <cell r="J500"/>
          <cell r="L500"/>
        </row>
        <row r="501">
          <cell r="A501"/>
          <cell r="D501"/>
          <cell r="E501"/>
          <cell r="F501"/>
          <cell r="G501"/>
          <cell r="H501"/>
          <cell r="I501"/>
          <cell r="J501"/>
          <cell r="L501"/>
        </row>
        <row r="502">
          <cell r="A502"/>
          <cell r="D502"/>
          <cell r="E502"/>
          <cell r="F502"/>
          <cell r="G502"/>
          <cell r="H502"/>
          <cell r="I502"/>
          <cell r="J502"/>
          <cell r="L502"/>
        </row>
        <row r="503">
          <cell r="A503"/>
          <cell r="D503"/>
          <cell r="E503"/>
          <cell r="F503"/>
          <cell r="G503"/>
          <cell r="H503"/>
          <cell r="I503"/>
          <cell r="J503"/>
          <cell r="L503"/>
        </row>
        <row r="504">
          <cell r="A504"/>
          <cell r="D504"/>
          <cell r="E504"/>
          <cell r="F504"/>
          <cell r="G504"/>
          <cell r="H504"/>
          <cell r="I504"/>
          <cell r="J504"/>
          <cell r="L504"/>
        </row>
        <row r="505">
          <cell r="A505"/>
          <cell r="D505"/>
          <cell r="E505"/>
          <cell r="F505"/>
          <cell r="G505"/>
          <cell r="H505"/>
          <cell r="I505"/>
          <cell r="J505"/>
          <cell r="L505"/>
        </row>
        <row r="506">
          <cell r="A506"/>
          <cell r="D506"/>
          <cell r="E506"/>
          <cell r="F506"/>
          <cell r="G506"/>
          <cell r="H506"/>
          <cell r="I506"/>
          <cell r="J506"/>
          <cell r="L506"/>
        </row>
        <row r="507">
          <cell r="A507"/>
          <cell r="D507"/>
          <cell r="E507"/>
          <cell r="F507"/>
          <cell r="G507"/>
          <cell r="H507"/>
          <cell r="I507"/>
          <cell r="J507"/>
          <cell r="L507"/>
        </row>
        <row r="508">
          <cell r="A508"/>
          <cell r="D508"/>
          <cell r="E508"/>
          <cell r="F508"/>
          <cell r="G508"/>
          <cell r="H508"/>
          <cell r="I508"/>
          <cell r="J508"/>
          <cell r="L508"/>
        </row>
        <row r="509">
          <cell r="A509"/>
          <cell r="D509"/>
          <cell r="E509"/>
          <cell r="F509"/>
          <cell r="G509"/>
          <cell r="H509"/>
          <cell r="I509"/>
          <cell r="J509"/>
          <cell r="L509"/>
        </row>
        <row r="510">
          <cell r="A510"/>
          <cell r="D510"/>
          <cell r="E510"/>
          <cell r="F510"/>
          <cell r="G510"/>
          <cell r="H510"/>
          <cell r="I510"/>
          <cell r="J510"/>
          <cell r="L510"/>
        </row>
        <row r="511">
          <cell r="A511"/>
          <cell r="D511"/>
          <cell r="E511"/>
          <cell r="F511"/>
          <cell r="G511"/>
          <cell r="H511"/>
          <cell r="I511"/>
          <cell r="J511"/>
          <cell r="L511"/>
        </row>
        <row r="512">
          <cell r="A512"/>
          <cell r="D512"/>
          <cell r="E512"/>
          <cell r="F512"/>
          <cell r="G512"/>
          <cell r="H512"/>
          <cell r="I512"/>
          <cell r="J512"/>
          <cell r="L512"/>
        </row>
        <row r="513">
          <cell r="A513"/>
          <cell r="D513"/>
          <cell r="E513"/>
          <cell r="F513"/>
          <cell r="G513"/>
          <cell r="H513"/>
          <cell r="I513"/>
          <cell r="J513"/>
          <cell r="L513"/>
        </row>
        <row r="514">
          <cell r="A514"/>
          <cell r="D514"/>
          <cell r="E514"/>
          <cell r="F514"/>
          <cell r="G514"/>
          <cell r="H514"/>
          <cell r="I514"/>
          <cell r="J514"/>
          <cell r="L514"/>
        </row>
        <row r="515">
          <cell r="A515"/>
          <cell r="D515"/>
          <cell r="E515"/>
          <cell r="F515"/>
          <cell r="G515"/>
          <cell r="H515"/>
          <cell r="I515"/>
          <cell r="J515"/>
          <cell r="L515"/>
        </row>
        <row r="516">
          <cell r="A516"/>
          <cell r="D516"/>
          <cell r="E516"/>
          <cell r="F516"/>
          <cell r="G516"/>
          <cell r="H516"/>
          <cell r="I516"/>
          <cell r="J516"/>
          <cell r="L516"/>
        </row>
        <row r="517">
          <cell r="A517"/>
          <cell r="D517"/>
          <cell r="E517"/>
          <cell r="F517"/>
          <cell r="G517"/>
          <cell r="H517"/>
          <cell r="I517"/>
          <cell r="J517"/>
          <cell r="L517"/>
        </row>
        <row r="518">
          <cell r="A518"/>
          <cell r="D518"/>
          <cell r="E518"/>
          <cell r="F518"/>
          <cell r="G518"/>
          <cell r="H518"/>
          <cell r="I518"/>
          <cell r="J518"/>
          <cell r="L518"/>
        </row>
        <row r="519">
          <cell r="A519"/>
          <cell r="D519"/>
          <cell r="E519"/>
          <cell r="F519"/>
          <cell r="G519"/>
          <cell r="H519"/>
          <cell r="I519"/>
          <cell r="J519"/>
          <cell r="L519"/>
        </row>
        <row r="520">
          <cell r="A520"/>
          <cell r="D520"/>
          <cell r="E520"/>
          <cell r="F520"/>
          <cell r="G520"/>
          <cell r="H520"/>
          <cell r="I520"/>
          <cell r="J520"/>
          <cell r="L520"/>
        </row>
        <row r="521">
          <cell r="A521"/>
          <cell r="D521"/>
          <cell r="E521"/>
          <cell r="F521"/>
          <cell r="G521"/>
          <cell r="H521"/>
          <cell r="I521"/>
          <cell r="J521"/>
          <cell r="L521"/>
        </row>
        <row r="522">
          <cell r="A522"/>
          <cell r="D522"/>
          <cell r="E522"/>
          <cell r="F522"/>
          <cell r="G522"/>
          <cell r="H522"/>
          <cell r="I522"/>
          <cell r="J522"/>
          <cell r="L522"/>
        </row>
        <row r="523">
          <cell r="A523"/>
          <cell r="D523"/>
          <cell r="E523"/>
          <cell r="F523"/>
          <cell r="G523"/>
          <cell r="H523"/>
          <cell r="I523"/>
          <cell r="J523"/>
          <cell r="L523"/>
        </row>
        <row r="524">
          <cell r="A524"/>
          <cell r="D524"/>
          <cell r="E524"/>
          <cell r="F524"/>
          <cell r="G524"/>
          <cell r="H524"/>
          <cell r="I524"/>
          <cell r="J524"/>
          <cell r="L524"/>
        </row>
        <row r="525">
          <cell r="A525"/>
          <cell r="D525"/>
          <cell r="E525"/>
          <cell r="F525"/>
          <cell r="G525"/>
          <cell r="H525"/>
          <cell r="I525"/>
          <cell r="J525"/>
          <cell r="L525"/>
        </row>
        <row r="526">
          <cell r="A526"/>
          <cell r="D526"/>
          <cell r="E526"/>
          <cell r="F526"/>
          <cell r="G526"/>
          <cell r="H526"/>
          <cell r="I526"/>
          <cell r="J526"/>
          <cell r="L526"/>
        </row>
        <row r="527">
          <cell r="A527"/>
          <cell r="D527"/>
          <cell r="E527"/>
          <cell r="F527"/>
          <cell r="G527"/>
          <cell r="H527"/>
          <cell r="I527"/>
          <cell r="J527"/>
          <cell r="L527"/>
        </row>
        <row r="528">
          <cell r="A528"/>
          <cell r="D528"/>
          <cell r="E528"/>
          <cell r="F528"/>
          <cell r="G528"/>
          <cell r="H528"/>
          <cell r="I528"/>
          <cell r="J528"/>
          <cell r="L528"/>
        </row>
        <row r="529">
          <cell r="A529"/>
          <cell r="D529"/>
          <cell r="E529"/>
          <cell r="F529"/>
          <cell r="G529"/>
          <cell r="H529"/>
          <cell r="I529"/>
          <cell r="J529"/>
          <cell r="L529"/>
        </row>
        <row r="530">
          <cell r="A530"/>
          <cell r="D530"/>
          <cell r="E530"/>
          <cell r="F530"/>
          <cell r="G530"/>
          <cell r="H530"/>
          <cell r="I530"/>
          <cell r="J530"/>
          <cell r="L530"/>
        </row>
        <row r="531">
          <cell r="A531"/>
          <cell r="D531"/>
          <cell r="E531"/>
          <cell r="F531"/>
          <cell r="G531"/>
          <cell r="H531"/>
          <cell r="I531"/>
          <cell r="J531"/>
          <cell r="L531"/>
        </row>
        <row r="532">
          <cell r="A532"/>
          <cell r="D532"/>
          <cell r="E532"/>
          <cell r="F532"/>
          <cell r="G532"/>
          <cell r="H532"/>
          <cell r="I532"/>
          <cell r="J532"/>
          <cell r="L532"/>
        </row>
        <row r="533">
          <cell r="A533"/>
          <cell r="D533"/>
          <cell r="E533"/>
          <cell r="F533"/>
          <cell r="G533"/>
          <cell r="H533"/>
          <cell r="I533"/>
          <cell r="J533"/>
          <cell r="L533"/>
        </row>
        <row r="534">
          <cell r="A534"/>
          <cell r="D534"/>
          <cell r="E534"/>
          <cell r="F534"/>
          <cell r="G534"/>
          <cell r="H534"/>
          <cell r="I534"/>
          <cell r="J534"/>
          <cell r="L534"/>
        </row>
        <row r="535">
          <cell r="A535"/>
          <cell r="D535"/>
          <cell r="E535"/>
          <cell r="F535"/>
          <cell r="G535"/>
          <cell r="H535"/>
          <cell r="I535"/>
          <cell r="J535"/>
          <cell r="L535"/>
        </row>
        <row r="536">
          <cell r="A536"/>
          <cell r="D536"/>
          <cell r="E536"/>
          <cell r="F536"/>
          <cell r="G536"/>
          <cell r="H536"/>
          <cell r="I536"/>
          <cell r="J536"/>
          <cell r="L536"/>
        </row>
        <row r="537">
          <cell r="A537"/>
          <cell r="D537"/>
          <cell r="E537"/>
          <cell r="F537"/>
          <cell r="G537"/>
          <cell r="H537"/>
          <cell r="I537"/>
          <cell r="J537"/>
          <cell r="L537"/>
        </row>
        <row r="538">
          <cell r="A538"/>
          <cell r="D538"/>
          <cell r="E538"/>
          <cell r="F538"/>
          <cell r="G538"/>
          <cell r="H538"/>
          <cell r="I538"/>
          <cell r="J538"/>
          <cell r="L538"/>
        </row>
        <row r="539">
          <cell r="A539"/>
          <cell r="D539"/>
          <cell r="E539"/>
          <cell r="F539"/>
          <cell r="G539"/>
          <cell r="H539"/>
          <cell r="I539"/>
          <cell r="J539"/>
          <cell r="L539"/>
        </row>
        <row r="540">
          <cell r="A540"/>
          <cell r="D540"/>
          <cell r="E540"/>
          <cell r="F540"/>
          <cell r="G540"/>
          <cell r="H540"/>
          <cell r="I540"/>
          <cell r="J540"/>
          <cell r="L540"/>
        </row>
        <row r="541">
          <cell r="A541"/>
          <cell r="D541"/>
          <cell r="E541"/>
          <cell r="F541"/>
          <cell r="G541"/>
          <cell r="H541"/>
          <cell r="I541"/>
          <cell r="J541"/>
          <cell r="L541"/>
        </row>
        <row r="542">
          <cell r="A542"/>
          <cell r="D542"/>
          <cell r="E542"/>
          <cell r="F542"/>
          <cell r="G542"/>
          <cell r="H542"/>
          <cell r="I542"/>
          <cell r="J542"/>
          <cell r="L542"/>
        </row>
        <row r="543">
          <cell r="A543"/>
          <cell r="D543"/>
          <cell r="E543"/>
          <cell r="F543"/>
          <cell r="G543"/>
          <cell r="H543"/>
          <cell r="I543"/>
          <cell r="J543"/>
          <cell r="L543"/>
        </row>
        <row r="544">
          <cell r="A544"/>
          <cell r="D544"/>
          <cell r="E544"/>
          <cell r="F544"/>
          <cell r="G544"/>
          <cell r="H544"/>
          <cell r="I544"/>
          <cell r="J544"/>
          <cell r="L544"/>
        </row>
        <row r="545">
          <cell r="A545"/>
          <cell r="D545"/>
          <cell r="E545"/>
          <cell r="F545"/>
          <cell r="G545"/>
          <cell r="H545"/>
          <cell r="I545"/>
          <cell r="J545"/>
          <cell r="L545"/>
        </row>
        <row r="546">
          <cell r="A546"/>
          <cell r="D546"/>
          <cell r="E546"/>
          <cell r="F546"/>
          <cell r="G546"/>
          <cell r="H546"/>
          <cell r="I546"/>
          <cell r="J546"/>
          <cell r="L546"/>
        </row>
        <row r="547">
          <cell r="A547"/>
          <cell r="D547"/>
          <cell r="E547"/>
          <cell r="F547"/>
          <cell r="G547"/>
          <cell r="H547"/>
          <cell r="I547"/>
          <cell r="J547"/>
          <cell r="L547"/>
        </row>
        <row r="548">
          <cell r="A548"/>
          <cell r="D548"/>
          <cell r="E548"/>
          <cell r="F548"/>
          <cell r="G548"/>
          <cell r="H548"/>
          <cell r="I548"/>
          <cell r="J548"/>
          <cell r="L548"/>
        </row>
        <row r="549">
          <cell r="A549"/>
          <cell r="D549"/>
          <cell r="E549"/>
          <cell r="F549"/>
          <cell r="G549"/>
          <cell r="H549"/>
          <cell r="I549"/>
          <cell r="J549"/>
          <cell r="L549"/>
        </row>
        <row r="550">
          <cell r="A550"/>
          <cell r="D550"/>
          <cell r="E550"/>
          <cell r="F550"/>
          <cell r="G550"/>
          <cell r="H550"/>
          <cell r="I550"/>
          <cell r="J550"/>
          <cell r="L550"/>
        </row>
        <row r="551">
          <cell r="A551"/>
          <cell r="D551"/>
          <cell r="E551"/>
          <cell r="F551"/>
          <cell r="G551"/>
          <cell r="H551"/>
          <cell r="I551"/>
          <cell r="J551"/>
          <cell r="L551"/>
        </row>
        <row r="552">
          <cell r="A552"/>
          <cell r="D552"/>
          <cell r="E552"/>
          <cell r="F552"/>
          <cell r="G552"/>
          <cell r="H552"/>
          <cell r="I552"/>
          <cell r="J552"/>
          <cell r="L552"/>
        </row>
        <row r="553">
          <cell r="A553"/>
          <cell r="D553"/>
          <cell r="E553"/>
          <cell r="F553"/>
          <cell r="G553"/>
          <cell r="H553"/>
          <cell r="I553"/>
          <cell r="J553"/>
          <cell r="L553"/>
        </row>
        <row r="554">
          <cell r="A554"/>
          <cell r="D554"/>
          <cell r="E554"/>
          <cell r="F554"/>
          <cell r="G554"/>
          <cell r="H554"/>
          <cell r="I554"/>
          <cell r="J554"/>
          <cell r="L554"/>
        </row>
        <row r="555">
          <cell r="A555"/>
          <cell r="D555"/>
          <cell r="E555"/>
          <cell r="F555"/>
          <cell r="G555"/>
          <cell r="H555"/>
          <cell r="I555"/>
          <cell r="J555"/>
          <cell r="L555"/>
        </row>
        <row r="556">
          <cell r="A556"/>
          <cell r="D556"/>
          <cell r="E556"/>
          <cell r="F556"/>
          <cell r="G556"/>
          <cell r="H556"/>
          <cell r="I556"/>
          <cell r="J556"/>
          <cell r="L556"/>
        </row>
        <row r="557">
          <cell r="A557"/>
          <cell r="D557"/>
          <cell r="E557"/>
          <cell r="F557"/>
          <cell r="G557"/>
          <cell r="H557"/>
          <cell r="I557"/>
          <cell r="J557"/>
          <cell r="L557"/>
        </row>
        <row r="558">
          <cell r="A558"/>
          <cell r="D558"/>
          <cell r="E558"/>
          <cell r="F558"/>
          <cell r="G558"/>
          <cell r="H558"/>
          <cell r="I558"/>
          <cell r="J558"/>
          <cell r="L558"/>
        </row>
        <row r="559">
          <cell r="A559"/>
          <cell r="D559"/>
          <cell r="E559"/>
          <cell r="F559"/>
          <cell r="G559"/>
          <cell r="H559"/>
          <cell r="I559"/>
          <cell r="J559"/>
          <cell r="L559"/>
        </row>
        <row r="560">
          <cell r="A560"/>
          <cell r="D560"/>
          <cell r="E560"/>
          <cell r="F560"/>
          <cell r="G560"/>
          <cell r="H560"/>
          <cell r="I560"/>
          <cell r="J560"/>
          <cell r="L560"/>
        </row>
        <row r="561">
          <cell r="A561"/>
          <cell r="D561"/>
          <cell r="E561"/>
          <cell r="F561"/>
          <cell r="G561"/>
          <cell r="H561"/>
          <cell r="I561"/>
          <cell r="J561"/>
          <cell r="L561"/>
        </row>
        <row r="562">
          <cell r="A562"/>
          <cell r="D562"/>
          <cell r="E562"/>
          <cell r="F562"/>
          <cell r="G562"/>
          <cell r="H562"/>
          <cell r="I562"/>
          <cell r="J562"/>
          <cell r="L562"/>
        </row>
        <row r="563">
          <cell r="A563"/>
          <cell r="D563"/>
          <cell r="E563"/>
          <cell r="F563"/>
          <cell r="G563"/>
          <cell r="H563"/>
          <cell r="I563"/>
          <cell r="J563"/>
          <cell r="L563"/>
        </row>
        <row r="564">
          <cell r="A564"/>
          <cell r="D564"/>
          <cell r="E564"/>
          <cell r="F564"/>
          <cell r="G564"/>
          <cell r="H564"/>
          <cell r="I564"/>
          <cell r="J564"/>
          <cell r="L564"/>
        </row>
        <row r="565">
          <cell r="A565"/>
          <cell r="D565"/>
          <cell r="E565"/>
          <cell r="F565"/>
          <cell r="G565"/>
          <cell r="H565"/>
          <cell r="I565"/>
          <cell r="J565"/>
          <cell r="L565"/>
        </row>
        <row r="566">
          <cell r="A566"/>
          <cell r="D566"/>
          <cell r="E566"/>
          <cell r="F566"/>
          <cell r="G566"/>
          <cell r="H566"/>
          <cell r="I566"/>
          <cell r="J566"/>
          <cell r="L566"/>
        </row>
        <row r="567">
          <cell r="A567"/>
          <cell r="D567"/>
          <cell r="E567"/>
          <cell r="F567"/>
          <cell r="G567"/>
          <cell r="H567"/>
          <cell r="I567"/>
          <cell r="J567"/>
          <cell r="L567"/>
        </row>
        <row r="568">
          <cell r="A568"/>
          <cell r="D568"/>
          <cell r="E568"/>
          <cell r="F568"/>
          <cell r="G568"/>
          <cell r="H568"/>
          <cell r="I568"/>
          <cell r="J568"/>
          <cell r="L568"/>
        </row>
        <row r="569">
          <cell r="A569"/>
          <cell r="D569"/>
          <cell r="E569"/>
          <cell r="F569"/>
          <cell r="G569"/>
          <cell r="H569"/>
          <cell r="I569"/>
          <cell r="J569"/>
          <cell r="L569"/>
        </row>
        <row r="570">
          <cell r="A570"/>
          <cell r="D570"/>
          <cell r="E570"/>
          <cell r="F570"/>
          <cell r="G570"/>
          <cell r="H570"/>
          <cell r="I570"/>
          <cell r="J570"/>
          <cell r="L570"/>
        </row>
        <row r="571">
          <cell r="A571"/>
          <cell r="D571"/>
          <cell r="E571"/>
          <cell r="F571"/>
          <cell r="G571"/>
          <cell r="H571"/>
          <cell r="I571"/>
          <cell r="J571"/>
          <cell r="L571"/>
        </row>
        <row r="572">
          <cell r="A572"/>
          <cell r="D572"/>
          <cell r="E572"/>
          <cell r="F572"/>
          <cell r="G572"/>
          <cell r="H572"/>
          <cell r="I572"/>
          <cell r="J572"/>
          <cell r="L572"/>
        </row>
        <row r="573">
          <cell r="A573"/>
          <cell r="D573"/>
          <cell r="E573"/>
          <cell r="F573"/>
          <cell r="G573"/>
          <cell r="H573"/>
          <cell r="I573"/>
          <cell r="J573"/>
          <cell r="L573"/>
        </row>
        <row r="574">
          <cell r="A574"/>
          <cell r="D574"/>
          <cell r="E574"/>
          <cell r="F574"/>
          <cell r="G574"/>
          <cell r="H574"/>
          <cell r="I574"/>
          <cell r="J574"/>
          <cell r="L574"/>
        </row>
        <row r="575">
          <cell r="A575"/>
          <cell r="D575"/>
          <cell r="E575"/>
          <cell r="F575"/>
          <cell r="G575"/>
          <cell r="H575"/>
          <cell r="I575"/>
          <cell r="J575"/>
          <cell r="L575"/>
        </row>
        <row r="576">
          <cell r="A576"/>
          <cell r="D576"/>
          <cell r="E576"/>
          <cell r="F576"/>
          <cell r="G576"/>
          <cell r="H576"/>
          <cell r="I576"/>
          <cell r="J576"/>
          <cell r="L576"/>
        </row>
        <row r="577">
          <cell r="A577"/>
          <cell r="D577"/>
          <cell r="E577"/>
          <cell r="F577"/>
          <cell r="G577"/>
          <cell r="H577"/>
          <cell r="I577"/>
          <cell r="J577"/>
          <cell r="L577"/>
        </row>
        <row r="578">
          <cell r="A578"/>
          <cell r="D578"/>
          <cell r="E578"/>
          <cell r="F578"/>
          <cell r="G578"/>
          <cell r="H578"/>
          <cell r="I578"/>
          <cell r="J578"/>
          <cell r="L578"/>
        </row>
        <row r="579">
          <cell r="A579"/>
          <cell r="D579"/>
          <cell r="E579"/>
          <cell r="F579"/>
          <cell r="G579"/>
          <cell r="H579"/>
          <cell r="I579"/>
          <cell r="J579"/>
          <cell r="L579"/>
        </row>
        <row r="580">
          <cell r="A580"/>
          <cell r="D580"/>
          <cell r="E580"/>
          <cell r="F580"/>
          <cell r="G580"/>
          <cell r="H580"/>
          <cell r="I580"/>
          <cell r="J580"/>
          <cell r="L580"/>
        </row>
        <row r="581">
          <cell r="A581"/>
          <cell r="D581"/>
          <cell r="E581"/>
          <cell r="F581"/>
          <cell r="G581"/>
          <cell r="H581"/>
          <cell r="I581"/>
          <cell r="J581"/>
          <cell r="L581"/>
        </row>
        <row r="582">
          <cell r="A582"/>
          <cell r="D582"/>
          <cell r="E582"/>
          <cell r="F582"/>
          <cell r="G582"/>
          <cell r="H582"/>
          <cell r="I582"/>
          <cell r="J582"/>
          <cell r="L582"/>
        </row>
        <row r="583">
          <cell r="A583"/>
          <cell r="D583"/>
          <cell r="E583"/>
          <cell r="F583"/>
          <cell r="G583"/>
          <cell r="H583"/>
          <cell r="I583"/>
          <cell r="J583"/>
          <cell r="L583"/>
        </row>
        <row r="584">
          <cell r="A584"/>
          <cell r="D584"/>
          <cell r="E584"/>
          <cell r="F584"/>
          <cell r="G584"/>
          <cell r="H584"/>
          <cell r="I584"/>
          <cell r="J584"/>
          <cell r="L584"/>
        </row>
        <row r="585">
          <cell r="A585"/>
          <cell r="D585"/>
          <cell r="E585"/>
          <cell r="F585"/>
          <cell r="G585"/>
          <cell r="H585"/>
          <cell r="I585"/>
          <cell r="J585"/>
          <cell r="L585"/>
        </row>
        <row r="586">
          <cell r="A586"/>
          <cell r="D586"/>
          <cell r="E586"/>
          <cell r="F586"/>
          <cell r="G586"/>
          <cell r="H586"/>
          <cell r="I586"/>
          <cell r="J586"/>
          <cell r="L586"/>
        </row>
        <row r="587">
          <cell r="A587"/>
          <cell r="D587"/>
          <cell r="E587"/>
          <cell r="F587"/>
          <cell r="G587"/>
          <cell r="H587"/>
          <cell r="I587"/>
          <cell r="J587"/>
          <cell r="L587"/>
        </row>
        <row r="588">
          <cell r="A588"/>
          <cell r="D588"/>
          <cell r="E588"/>
          <cell r="F588"/>
          <cell r="G588"/>
          <cell r="H588"/>
          <cell r="I588"/>
          <cell r="J588"/>
          <cell r="L588"/>
        </row>
        <row r="589">
          <cell r="A589"/>
          <cell r="D589"/>
          <cell r="E589"/>
          <cell r="F589"/>
          <cell r="G589"/>
          <cell r="H589"/>
          <cell r="I589"/>
          <cell r="J589"/>
          <cell r="L589"/>
        </row>
        <row r="590">
          <cell r="A590"/>
          <cell r="D590"/>
          <cell r="E590"/>
          <cell r="F590"/>
          <cell r="G590"/>
          <cell r="H590"/>
          <cell r="I590"/>
          <cell r="J590"/>
          <cell r="L590"/>
        </row>
        <row r="591">
          <cell r="A591"/>
          <cell r="D591"/>
          <cell r="E591"/>
          <cell r="F591"/>
          <cell r="G591"/>
          <cell r="H591"/>
          <cell r="I591"/>
          <cell r="J591"/>
          <cell r="L591"/>
        </row>
        <row r="592">
          <cell r="A592"/>
          <cell r="D592"/>
          <cell r="E592"/>
          <cell r="F592"/>
          <cell r="G592"/>
          <cell r="H592"/>
          <cell r="I592"/>
          <cell r="J592"/>
          <cell r="L592"/>
        </row>
        <row r="593">
          <cell r="A593"/>
          <cell r="D593"/>
          <cell r="E593"/>
          <cell r="F593"/>
          <cell r="G593"/>
          <cell r="H593"/>
          <cell r="I593"/>
          <cell r="J593"/>
          <cell r="L593"/>
        </row>
        <row r="594">
          <cell r="A594"/>
          <cell r="D594"/>
          <cell r="E594"/>
          <cell r="F594"/>
          <cell r="G594"/>
          <cell r="H594"/>
          <cell r="I594"/>
          <cell r="J594"/>
          <cell r="L594"/>
        </row>
        <row r="595">
          <cell r="A595"/>
          <cell r="D595"/>
          <cell r="E595"/>
          <cell r="F595"/>
          <cell r="G595"/>
          <cell r="H595"/>
          <cell r="I595"/>
          <cell r="J595"/>
          <cell r="L595"/>
        </row>
        <row r="596">
          <cell r="A596"/>
          <cell r="D596"/>
          <cell r="E596"/>
          <cell r="F596"/>
          <cell r="G596"/>
          <cell r="H596"/>
          <cell r="I596"/>
          <cell r="J596"/>
          <cell r="L596"/>
        </row>
        <row r="597">
          <cell r="A597"/>
          <cell r="D597"/>
          <cell r="E597"/>
          <cell r="F597"/>
          <cell r="G597"/>
          <cell r="H597"/>
          <cell r="I597"/>
          <cell r="J597"/>
          <cell r="L597"/>
        </row>
        <row r="598">
          <cell r="A598"/>
          <cell r="D598"/>
          <cell r="E598"/>
          <cell r="F598"/>
          <cell r="G598"/>
          <cell r="H598"/>
          <cell r="I598"/>
          <cell r="J598"/>
          <cell r="L598"/>
        </row>
        <row r="599">
          <cell r="A599"/>
          <cell r="D599"/>
          <cell r="E599"/>
          <cell r="F599"/>
          <cell r="G599"/>
          <cell r="H599"/>
          <cell r="I599"/>
          <cell r="J599"/>
          <cell r="L599"/>
        </row>
        <row r="600">
          <cell r="A600"/>
          <cell r="D600"/>
          <cell r="E600"/>
          <cell r="F600"/>
          <cell r="G600"/>
          <cell r="H600"/>
          <cell r="I600"/>
          <cell r="J600"/>
          <cell r="L600"/>
        </row>
        <row r="601">
          <cell r="A601"/>
          <cell r="D601"/>
          <cell r="E601"/>
          <cell r="F601"/>
          <cell r="G601"/>
          <cell r="H601"/>
          <cell r="I601"/>
          <cell r="J601"/>
          <cell r="L601"/>
        </row>
        <row r="602">
          <cell r="A602"/>
          <cell r="D602"/>
          <cell r="E602"/>
          <cell r="F602"/>
          <cell r="G602"/>
          <cell r="H602"/>
          <cell r="I602"/>
          <cell r="J602"/>
          <cell r="L602"/>
        </row>
        <row r="603">
          <cell r="A603"/>
          <cell r="D603"/>
          <cell r="E603"/>
          <cell r="F603"/>
          <cell r="G603"/>
          <cell r="H603"/>
          <cell r="I603"/>
          <cell r="J603"/>
          <cell r="L603"/>
        </row>
        <row r="604">
          <cell r="A604"/>
          <cell r="D604"/>
          <cell r="E604"/>
          <cell r="F604"/>
          <cell r="G604"/>
          <cell r="H604"/>
          <cell r="I604"/>
          <cell r="J604"/>
          <cell r="L604"/>
        </row>
        <row r="605">
          <cell r="A605"/>
          <cell r="D605"/>
          <cell r="E605"/>
          <cell r="F605"/>
          <cell r="G605"/>
          <cell r="H605"/>
          <cell r="I605"/>
          <cell r="J605"/>
          <cell r="L605"/>
        </row>
        <row r="606">
          <cell r="A606"/>
          <cell r="D606"/>
          <cell r="E606"/>
          <cell r="F606"/>
          <cell r="G606"/>
          <cell r="H606"/>
          <cell r="I606"/>
          <cell r="J606"/>
          <cell r="L606"/>
        </row>
        <row r="607">
          <cell r="A607"/>
          <cell r="D607"/>
          <cell r="E607"/>
          <cell r="F607"/>
          <cell r="G607"/>
          <cell r="H607"/>
          <cell r="I607"/>
          <cell r="J607"/>
          <cell r="L607"/>
        </row>
        <row r="608">
          <cell r="A608"/>
          <cell r="D608"/>
          <cell r="E608"/>
          <cell r="F608"/>
          <cell r="G608"/>
          <cell r="H608"/>
          <cell r="I608"/>
          <cell r="J608"/>
          <cell r="L608"/>
        </row>
        <row r="609">
          <cell r="A609"/>
          <cell r="D609"/>
          <cell r="E609"/>
          <cell r="F609"/>
          <cell r="G609"/>
          <cell r="H609"/>
          <cell r="I609"/>
          <cell r="J609"/>
          <cell r="L609"/>
        </row>
        <row r="610">
          <cell r="A610"/>
          <cell r="D610"/>
          <cell r="E610"/>
          <cell r="F610"/>
          <cell r="G610"/>
          <cell r="H610"/>
          <cell r="I610"/>
          <cell r="J610"/>
          <cell r="L610"/>
        </row>
        <row r="611">
          <cell r="A611"/>
          <cell r="D611"/>
          <cell r="E611"/>
          <cell r="F611"/>
          <cell r="G611"/>
          <cell r="H611"/>
          <cell r="I611"/>
          <cell r="J611"/>
          <cell r="L611"/>
        </row>
        <row r="612">
          <cell r="A612"/>
          <cell r="D612"/>
          <cell r="E612"/>
          <cell r="F612"/>
          <cell r="G612"/>
          <cell r="H612"/>
          <cell r="I612"/>
          <cell r="J612"/>
          <cell r="L612"/>
        </row>
        <row r="613">
          <cell r="A613"/>
          <cell r="D613"/>
          <cell r="E613"/>
          <cell r="F613"/>
          <cell r="G613"/>
          <cell r="H613"/>
          <cell r="I613"/>
          <cell r="J613"/>
          <cell r="L613"/>
        </row>
        <row r="614">
          <cell r="A614"/>
          <cell r="D614"/>
          <cell r="E614"/>
          <cell r="F614"/>
          <cell r="G614"/>
          <cell r="H614"/>
          <cell r="I614"/>
          <cell r="J614"/>
          <cell r="L614"/>
        </row>
        <row r="615">
          <cell r="A615"/>
          <cell r="D615"/>
          <cell r="E615"/>
          <cell r="F615"/>
          <cell r="G615"/>
          <cell r="H615"/>
          <cell r="I615"/>
          <cell r="J615"/>
          <cell r="L615"/>
        </row>
        <row r="616">
          <cell r="A616"/>
          <cell r="D616"/>
          <cell r="E616"/>
          <cell r="F616"/>
          <cell r="G616"/>
          <cell r="H616"/>
          <cell r="I616"/>
          <cell r="J616"/>
          <cell r="L616"/>
        </row>
        <row r="617">
          <cell r="A617"/>
          <cell r="D617"/>
          <cell r="E617"/>
          <cell r="F617"/>
          <cell r="G617"/>
          <cell r="H617"/>
          <cell r="I617"/>
          <cell r="J617"/>
          <cell r="L617"/>
        </row>
        <row r="618">
          <cell r="A618"/>
          <cell r="D618"/>
          <cell r="E618"/>
          <cell r="F618"/>
          <cell r="G618"/>
          <cell r="H618"/>
          <cell r="I618"/>
          <cell r="J618"/>
          <cell r="L618"/>
        </row>
        <row r="619">
          <cell r="A619"/>
          <cell r="D619"/>
          <cell r="E619"/>
          <cell r="F619"/>
          <cell r="G619"/>
          <cell r="H619"/>
          <cell r="I619"/>
          <cell r="J619"/>
          <cell r="L619"/>
        </row>
        <row r="620">
          <cell r="A620"/>
          <cell r="D620"/>
          <cell r="E620"/>
          <cell r="F620"/>
          <cell r="G620"/>
          <cell r="H620"/>
          <cell r="I620"/>
          <cell r="J620"/>
          <cell r="L620"/>
        </row>
        <row r="621">
          <cell r="A621"/>
          <cell r="D621"/>
          <cell r="E621"/>
          <cell r="F621"/>
          <cell r="G621"/>
          <cell r="H621"/>
          <cell r="I621"/>
          <cell r="J621"/>
          <cell r="L621"/>
        </row>
        <row r="622">
          <cell r="A622"/>
          <cell r="D622"/>
          <cell r="E622"/>
          <cell r="F622"/>
          <cell r="G622"/>
          <cell r="H622"/>
          <cell r="I622"/>
          <cell r="J622"/>
          <cell r="L622"/>
        </row>
        <row r="623">
          <cell r="A623"/>
          <cell r="D623"/>
          <cell r="E623"/>
          <cell r="F623"/>
          <cell r="G623"/>
          <cell r="H623"/>
          <cell r="I623"/>
          <cell r="J623"/>
          <cell r="L623"/>
        </row>
        <row r="624">
          <cell r="A624"/>
          <cell r="D624"/>
          <cell r="E624"/>
          <cell r="F624"/>
          <cell r="G624"/>
          <cell r="H624"/>
          <cell r="I624"/>
          <cell r="J624"/>
          <cell r="L624"/>
        </row>
        <row r="625">
          <cell r="A625"/>
          <cell r="D625"/>
          <cell r="E625"/>
          <cell r="F625"/>
          <cell r="G625"/>
          <cell r="H625"/>
          <cell r="I625"/>
          <cell r="J625"/>
          <cell r="L625"/>
        </row>
        <row r="626">
          <cell r="A626"/>
          <cell r="D626"/>
          <cell r="E626"/>
          <cell r="F626"/>
          <cell r="G626"/>
          <cell r="H626"/>
          <cell r="I626"/>
          <cell r="J626"/>
          <cell r="L626"/>
        </row>
        <row r="627">
          <cell r="A627"/>
          <cell r="D627"/>
          <cell r="E627"/>
          <cell r="F627"/>
          <cell r="G627"/>
          <cell r="H627"/>
          <cell r="I627"/>
          <cell r="J627"/>
          <cell r="L627"/>
        </row>
        <row r="628">
          <cell r="A628"/>
          <cell r="D628"/>
          <cell r="E628"/>
          <cell r="F628"/>
          <cell r="G628"/>
          <cell r="H628"/>
          <cell r="I628"/>
          <cell r="J628"/>
          <cell r="L628"/>
        </row>
        <row r="629">
          <cell r="A629"/>
          <cell r="D629"/>
          <cell r="E629"/>
          <cell r="F629"/>
          <cell r="G629"/>
          <cell r="H629"/>
          <cell r="I629"/>
          <cell r="J629"/>
          <cell r="L629"/>
        </row>
        <row r="630">
          <cell r="A630"/>
          <cell r="D630"/>
          <cell r="E630"/>
          <cell r="F630"/>
          <cell r="G630"/>
          <cell r="H630"/>
          <cell r="I630"/>
          <cell r="J630"/>
          <cell r="L630"/>
        </row>
        <row r="631">
          <cell r="A631"/>
          <cell r="D631"/>
          <cell r="E631"/>
          <cell r="F631"/>
          <cell r="G631"/>
          <cell r="H631"/>
          <cell r="I631"/>
          <cell r="J631"/>
          <cell r="L631"/>
        </row>
        <row r="632">
          <cell r="A632"/>
          <cell r="D632"/>
          <cell r="E632"/>
          <cell r="F632"/>
          <cell r="G632"/>
          <cell r="H632"/>
          <cell r="I632"/>
          <cell r="J632"/>
          <cell r="L632"/>
        </row>
        <row r="633">
          <cell r="A633"/>
          <cell r="D633"/>
          <cell r="E633"/>
          <cell r="F633"/>
          <cell r="G633"/>
          <cell r="H633"/>
          <cell r="I633"/>
          <cell r="J633"/>
          <cell r="L633"/>
        </row>
        <row r="634">
          <cell r="A634"/>
          <cell r="D634"/>
          <cell r="E634"/>
          <cell r="F634"/>
          <cell r="G634"/>
          <cell r="H634"/>
          <cell r="I634"/>
          <cell r="J634"/>
          <cell r="L634"/>
        </row>
        <row r="635">
          <cell r="A635"/>
          <cell r="D635"/>
          <cell r="E635"/>
          <cell r="F635"/>
          <cell r="G635"/>
          <cell r="H635"/>
          <cell r="I635"/>
          <cell r="J635"/>
          <cell r="L635"/>
        </row>
        <row r="636">
          <cell r="A636"/>
          <cell r="D636"/>
          <cell r="E636"/>
          <cell r="F636"/>
          <cell r="G636"/>
          <cell r="H636"/>
          <cell r="I636"/>
          <cell r="J636"/>
          <cell r="L636"/>
        </row>
        <row r="637">
          <cell r="A637"/>
          <cell r="D637"/>
          <cell r="E637"/>
          <cell r="F637"/>
          <cell r="G637"/>
          <cell r="H637"/>
          <cell r="I637"/>
          <cell r="J637"/>
          <cell r="L637"/>
        </row>
        <row r="638">
          <cell r="A638"/>
          <cell r="D638"/>
          <cell r="E638"/>
          <cell r="F638"/>
          <cell r="G638"/>
          <cell r="H638"/>
          <cell r="I638"/>
          <cell r="J638"/>
          <cell r="L638"/>
        </row>
        <row r="639">
          <cell r="A639"/>
          <cell r="D639"/>
          <cell r="E639"/>
          <cell r="F639"/>
          <cell r="G639"/>
          <cell r="H639"/>
          <cell r="I639"/>
          <cell r="J639"/>
          <cell r="L639"/>
        </row>
        <row r="640">
          <cell r="A640"/>
          <cell r="D640"/>
          <cell r="E640"/>
          <cell r="F640"/>
          <cell r="G640"/>
          <cell r="H640"/>
          <cell r="I640"/>
          <cell r="J640"/>
          <cell r="L640"/>
        </row>
        <row r="641">
          <cell r="A641"/>
          <cell r="D641"/>
          <cell r="E641"/>
          <cell r="F641"/>
          <cell r="G641"/>
          <cell r="H641"/>
          <cell r="I641"/>
          <cell r="J641"/>
          <cell r="L641"/>
        </row>
        <row r="642">
          <cell r="A642"/>
          <cell r="D642"/>
          <cell r="E642"/>
          <cell r="F642"/>
          <cell r="G642"/>
          <cell r="H642"/>
          <cell r="I642"/>
          <cell r="J642"/>
          <cell r="L642"/>
        </row>
        <row r="643">
          <cell r="A643"/>
          <cell r="D643"/>
          <cell r="E643"/>
          <cell r="F643"/>
          <cell r="G643"/>
          <cell r="H643"/>
          <cell r="I643"/>
          <cell r="J643"/>
          <cell r="L643"/>
        </row>
        <row r="644">
          <cell r="A644"/>
          <cell r="D644"/>
          <cell r="E644"/>
          <cell r="F644"/>
          <cell r="G644"/>
          <cell r="H644"/>
          <cell r="I644"/>
          <cell r="J644"/>
          <cell r="L644"/>
        </row>
        <row r="645">
          <cell r="A645"/>
          <cell r="D645"/>
          <cell r="E645"/>
          <cell r="F645"/>
          <cell r="G645"/>
          <cell r="H645"/>
          <cell r="I645"/>
          <cell r="J645"/>
          <cell r="L645"/>
        </row>
        <row r="646">
          <cell r="A646"/>
          <cell r="D646"/>
          <cell r="E646"/>
          <cell r="F646"/>
          <cell r="G646"/>
          <cell r="H646"/>
          <cell r="I646"/>
          <cell r="J646"/>
          <cell r="L646"/>
        </row>
        <row r="647">
          <cell r="A647"/>
          <cell r="D647"/>
          <cell r="E647"/>
          <cell r="F647"/>
          <cell r="G647"/>
          <cell r="H647"/>
          <cell r="I647"/>
          <cell r="J647"/>
          <cell r="L647"/>
        </row>
        <row r="648">
          <cell r="A648"/>
          <cell r="D648"/>
          <cell r="E648"/>
          <cell r="F648"/>
          <cell r="G648"/>
          <cell r="H648"/>
          <cell r="I648"/>
          <cell r="J648"/>
          <cell r="L648"/>
        </row>
        <row r="649">
          <cell r="A649"/>
          <cell r="D649"/>
          <cell r="E649"/>
          <cell r="F649"/>
          <cell r="G649"/>
          <cell r="H649"/>
          <cell r="I649"/>
          <cell r="J649"/>
          <cell r="L649"/>
        </row>
        <row r="650">
          <cell r="A650"/>
          <cell r="D650"/>
          <cell r="E650"/>
          <cell r="F650"/>
          <cell r="G650"/>
          <cell r="H650"/>
          <cell r="I650"/>
          <cell r="J650"/>
          <cell r="L650"/>
        </row>
        <row r="651">
          <cell r="A651"/>
          <cell r="D651"/>
          <cell r="E651"/>
          <cell r="F651"/>
          <cell r="G651"/>
          <cell r="H651"/>
          <cell r="I651"/>
          <cell r="J651"/>
          <cell r="L651"/>
        </row>
        <row r="652">
          <cell r="A652"/>
          <cell r="D652"/>
          <cell r="E652"/>
          <cell r="F652"/>
          <cell r="G652"/>
          <cell r="H652"/>
          <cell r="I652"/>
          <cell r="J652"/>
          <cell r="L652"/>
        </row>
        <row r="653">
          <cell r="A653"/>
          <cell r="D653"/>
          <cell r="E653"/>
          <cell r="F653"/>
          <cell r="G653"/>
          <cell r="H653"/>
          <cell r="I653"/>
          <cell r="J653"/>
          <cell r="L653"/>
        </row>
        <row r="654">
          <cell r="A654"/>
          <cell r="D654"/>
          <cell r="E654"/>
          <cell r="F654"/>
          <cell r="G654"/>
          <cell r="H654"/>
          <cell r="I654"/>
          <cell r="J654"/>
          <cell r="L654"/>
        </row>
        <row r="655">
          <cell r="A655"/>
          <cell r="D655"/>
          <cell r="E655"/>
          <cell r="F655"/>
          <cell r="G655"/>
          <cell r="H655"/>
          <cell r="I655"/>
          <cell r="J655"/>
          <cell r="L655"/>
        </row>
        <row r="656">
          <cell r="A656"/>
          <cell r="D656"/>
          <cell r="E656"/>
          <cell r="F656"/>
          <cell r="G656"/>
          <cell r="H656"/>
          <cell r="I656"/>
          <cell r="J656"/>
          <cell r="L656"/>
        </row>
        <row r="657">
          <cell r="A657"/>
          <cell r="D657"/>
          <cell r="E657"/>
          <cell r="F657"/>
          <cell r="G657"/>
          <cell r="H657"/>
          <cell r="I657"/>
          <cell r="J657"/>
          <cell r="L657"/>
        </row>
        <row r="658">
          <cell r="A658"/>
          <cell r="D658"/>
          <cell r="E658"/>
          <cell r="F658"/>
          <cell r="G658"/>
          <cell r="H658"/>
          <cell r="I658"/>
          <cell r="J658"/>
          <cell r="L658"/>
        </row>
        <row r="659">
          <cell r="A659"/>
          <cell r="D659"/>
          <cell r="E659"/>
          <cell r="F659"/>
          <cell r="G659"/>
          <cell r="H659"/>
          <cell r="I659"/>
          <cell r="J659"/>
          <cell r="L659"/>
        </row>
        <row r="660">
          <cell r="A660"/>
          <cell r="D660"/>
          <cell r="E660"/>
          <cell r="F660"/>
          <cell r="G660"/>
          <cell r="H660"/>
          <cell r="I660"/>
          <cell r="J660"/>
          <cell r="L660"/>
        </row>
        <row r="661">
          <cell r="A661"/>
          <cell r="D661"/>
          <cell r="E661"/>
          <cell r="F661"/>
          <cell r="G661"/>
          <cell r="H661"/>
          <cell r="I661"/>
          <cell r="J661"/>
          <cell r="L661"/>
        </row>
        <row r="662">
          <cell r="A662"/>
          <cell r="D662"/>
          <cell r="E662"/>
          <cell r="F662"/>
          <cell r="G662"/>
          <cell r="H662"/>
          <cell r="I662"/>
          <cell r="J662"/>
          <cell r="L662"/>
        </row>
        <row r="663">
          <cell r="A663"/>
          <cell r="D663"/>
          <cell r="E663"/>
          <cell r="F663"/>
          <cell r="G663"/>
          <cell r="H663"/>
          <cell r="I663"/>
          <cell r="J663"/>
          <cell r="L663"/>
        </row>
        <row r="664">
          <cell r="A664"/>
          <cell r="D664"/>
          <cell r="E664"/>
          <cell r="F664"/>
          <cell r="G664"/>
          <cell r="H664"/>
          <cell r="I664"/>
          <cell r="J664"/>
          <cell r="L664"/>
        </row>
        <row r="665">
          <cell r="A665"/>
          <cell r="D665"/>
          <cell r="E665"/>
          <cell r="F665"/>
          <cell r="G665"/>
          <cell r="H665"/>
          <cell r="I665"/>
          <cell r="J665"/>
          <cell r="L665"/>
        </row>
        <row r="666">
          <cell r="A666"/>
          <cell r="D666"/>
          <cell r="E666"/>
          <cell r="F666"/>
          <cell r="G666"/>
          <cell r="H666"/>
          <cell r="I666"/>
          <cell r="J666"/>
          <cell r="L666"/>
        </row>
        <row r="667">
          <cell r="A667"/>
          <cell r="D667"/>
          <cell r="E667"/>
          <cell r="F667"/>
          <cell r="G667"/>
          <cell r="H667"/>
          <cell r="I667"/>
          <cell r="J667"/>
          <cell r="L667"/>
        </row>
        <row r="668">
          <cell r="A668"/>
          <cell r="D668"/>
          <cell r="E668"/>
          <cell r="F668"/>
          <cell r="G668"/>
          <cell r="H668"/>
          <cell r="I668"/>
          <cell r="J668"/>
          <cell r="L668"/>
        </row>
        <row r="669">
          <cell r="A669"/>
          <cell r="D669"/>
          <cell r="E669"/>
          <cell r="F669"/>
          <cell r="G669"/>
          <cell r="H669"/>
          <cell r="I669"/>
          <cell r="J669"/>
          <cell r="L669"/>
        </row>
        <row r="670">
          <cell r="A670"/>
          <cell r="D670"/>
          <cell r="E670"/>
          <cell r="F670"/>
          <cell r="G670"/>
          <cell r="H670"/>
          <cell r="I670"/>
          <cell r="J670"/>
          <cell r="L670"/>
        </row>
        <row r="671">
          <cell r="A671"/>
          <cell r="D671"/>
          <cell r="E671"/>
          <cell r="F671"/>
          <cell r="G671"/>
          <cell r="H671"/>
          <cell r="I671"/>
          <cell r="J671"/>
          <cell r="L671"/>
        </row>
        <row r="672">
          <cell r="A672"/>
          <cell r="D672"/>
          <cell r="E672"/>
          <cell r="F672"/>
          <cell r="G672"/>
          <cell r="H672"/>
          <cell r="I672"/>
          <cell r="J672"/>
          <cell r="L672"/>
        </row>
        <row r="673">
          <cell r="A673"/>
          <cell r="D673"/>
          <cell r="E673"/>
          <cell r="F673"/>
          <cell r="G673"/>
          <cell r="H673"/>
          <cell r="I673"/>
          <cell r="J673"/>
          <cell r="L673"/>
        </row>
        <row r="674">
          <cell r="A674"/>
          <cell r="D674"/>
          <cell r="E674"/>
          <cell r="F674"/>
          <cell r="G674"/>
          <cell r="H674"/>
          <cell r="I674"/>
          <cell r="J674"/>
          <cell r="L674"/>
        </row>
        <row r="675">
          <cell r="A675"/>
          <cell r="D675"/>
          <cell r="E675"/>
          <cell r="F675"/>
          <cell r="G675"/>
          <cell r="H675"/>
          <cell r="I675"/>
          <cell r="J675"/>
          <cell r="L675"/>
        </row>
        <row r="676">
          <cell r="A676"/>
          <cell r="D676"/>
          <cell r="E676"/>
          <cell r="F676"/>
          <cell r="G676"/>
          <cell r="H676"/>
          <cell r="I676"/>
          <cell r="J676"/>
          <cell r="L676"/>
        </row>
        <row r="677">
          <cell r="A677"/>
          <cell r="D677"/>
          <cell r="E677"/>
          <cell r="F677"/>
          <cell r="G677"/>
          <cell r="H677"/>
          <cell r="I677"/>
          <cell r="J677"/>
          <cell r="L677"/>
        </row>
        <row r="678">
          <cell r="A678"/>
          <cell r="D678"/>
          <cell r="E678"/>
          <cell r="F678"/>
          <cell r="G678"/>
          <cell r="H678"/>
          <cell r="I678"/>
          <cell r="J678"/>
          <cell r="L678"/>
        </row>
        <row r="679">
          <cell r="A679"/>
          <cell r="D679"/>
          <cell r="E679"/>
          <cell r="F679"/>
          <cell r="G679"/>
          <cell r="H679"/>
          <cell r="I679"/>
          <cell r="J679"/>
          <cell r="L679"/>
        </row>
        <row r="680">
          <cell r="A680"/>
          <cell r="D680"/>
          <cell r="E680"/>
          <cell r="F680"/>
          <cell r="G680"/>
          <cell r="H680"/>
          <cell r="I680"/>
          <cell r="J680"/>
          <cell r="L680"/>
        </row>
        <row r="681">
          <cell r="A681"/>
          <cell r="D681"/>
          <cell r="E681"/>
          <cell r="F681"/>
          <cell r="G681"/>
          <cell r="H681"/>
          <cell r="I681"/>
          <cell r="J681"/>
          <cell r="L681"/>
        </row>
        <row r="682">
          <cell r="A682"/>
          <cell r="D682"/>
          <cell r="E682"/>
          <cell r="F682"/>
          <cell r="G682"/>
          <cell r="H682"/>
          <cell r="I682"/>
          <cell r="J682"/>
          <cell r="L682"/>
        </row>
        <row r="683">
          <cell r="A683"/>
          <cell r="D683"/>
          <cell r="E683"/>
          <cell r="F683"/>
          <cell r="G683"/>
          <cell r="H683"/>
          <cell r="I683"/>
          <cell r="J683"/>
          <cell r="L683"/>
        </row>
        <row r="684">
          <cell r="A684"/>
          <cell r="D684"/>
          <cell r="E684"/>
          <cell r="F684"/>
          <cell r="G684"/>
          <cell r="H684"/>
          <cell r="I684"/>
          <cell r="J684"/>
          <cell r="L684"/>
        </row>
        <row r="685">
          <cell r="A685"/>
          <cell r="D685"/>
          <cell r="E685"/>
          <cell r="F685"/>
          <cell r="G685"/>
          <cell r="H685"/>
          <cell r="I685"/>
          <cell r="J685"/>
          <cell r="L685"/>
        </row>
        <row r="686">
          <cell r="A686"/>
          <cell r="D686"/>
          <cell r="E686"/>
          <cell r="F686"/>
          <cell r="G686"/>
          <cell r="H686"/>
          <cell r="I686"/>
          <cell r="J686"/>
          <cell r="L686"/>
        </row>
        <row r="687">
          <cell r="A687"/>
          <cell r="D687"/>
          <cell r="E687"/>
          <cell r="F687"/>
          <cell r="G687"/>
          <cell r="H687"/>
          <cell r="I687"/>
          <cell r="J687"/>
          <cell r="L687"/>
        </row>
        <row r="688">
          <cell r="A688"/>
          <cell r="D688"/>
          <cell r="E688"/>
          <cell r="F688"/>
          <cell r="G688"/>
          <cell r="H688"/>
          <cell r="I688"/>
          <cell r="J688"/>
          <cell r="L688"/>
        </row>
        <row r="689">
          <cell r="A689"/>
          <cell r="D689"/>
          <cell r="E689"/>
          <cell r="F689"/>
          <cell r="G689"/>
          <cell r="H689"/>
          <cell r="I689"/>
          <cell r="J689"/>
          <cell r="L689"/>
        </row>
        <row r="690">
          <cell r="A690"/>
          <cell r="D690"/>
          <cell r="E690"/>
          <cell r="F690"/>
          <cell r="G690"/>
          <cell r="H690"/>
          <cell r="I690"/>
          <cell r="J690"/>
          <cell r="L690"/>
        </row>
        <row r="691">
          <cell r="A691"/>
          <cell r="D691"/>
          <cell r="E691"/>
          <cell r="F691"/>
          <cell r="G691"/>
          <cell r="H691"/>
          <cell r="I691"/>
          <cell r="J691"/>
          <cell r="L691"/>
        </row>
        <row r="692">
          <cell r="A692"/>
          <cell r="D692"/>
          <cell r="E692"/>
          <cell r="F692"/>
          <cell r="G692"/>
          <cell r="H692"/>
          <cell r="I692"/>
          <cell r="J692"/>
          <cell r="L692"/>
        </row>
        <row r="693">
          <cell r="A693"/>
          <cell r="D693"/>
          <cell r="E693"/>
          <cell r="F693"/>
          <cell r="G693"/>
          <cell r="H693"/>
          <cell r="I693"/>
          <cell r="J693"/>
          <cell r="L693"/>
        </row>
        <row r="694">
          <cell r="A694"/>
          <cell r="D694"/>
          <cell r="E694"/>
          <cell r="F694"/>
          <cell r="G694"/>
          <cell r="H694"/>
          <cell r="I694"/>
          <cell r="J694"/>
          <cell r="L694"/>
        </row>
        <row r="695">
          <cell r="A695"/>
          <cell r="D695"/>
          <cell r="E695"/>
          <cell r="F695"/>
          <cell r="G695"/>
          <cell r="H695"/>
          <cell r="I695"/>
          <cell r="J695"/>
          <cell r="L695"/>
        </row>
        <row r="696">
          <cell r="A696"/>
          <cell r="D696"/>
          <cell r="E696"/>
          <cell r="F696"/>
          <cell r="G696"/>
          <cell r="H696"/>
          <cell r="I696"/>
          <cell r="J696"/>
          <cell r="L696"/>
        </row>
        <row r="697">
          <cell r="A697"/>
          <cell r="D697"/>
          <cell r="E697"/>
          <cell r="F697"/>
          <cell r="G697"/>
          <cell r="H697"/>
          <cell r="I697"/>
          <cell r="J697"/>
          <cell r="L697"/>
        </row>
        <row r="698">
          <cell r="A698"/>
          <cell r="D698"/>
          <cell r="E698"/>
          <cell r="F698"/>
          <cell r="G698"/>
          <cell r="H698"/>
          <cell r="I698"/>
          <cell r="J698"/>
          <cell r="L698"/>
        </row>
        <row r="699">
          <cell r="A699"/>
          <cell r="D699"/>
          <cell r="E699"/>
          <cell r="F699"/>
          <cell r="G699"/>
          <cell r="H699"/>
          <cell r="I699"/>
          <cell r="J699"/>
          <cell r="L699"/>
        </row>
        <row r="700">
          <cell r="A700"/>
          <cell r="D700"/>
          <cell r="E700"/>
          <cell r="F700"/>
          <cell r="G700"/>
          <cell r="H700"/>
          <cell r="I700"/>
          <cell r="J700"/>
          <cell r="L700"/>
        </row>
        <row r="701">
          <cell r="A701"/>
          <cell r="D701"/>
          <cell r="E701"/>
          <cell r="F701"/>
          <cell r="G701"/>
          <cell r="H701"/>
          <cell r="I701"/>
          <cell r="J701"/>
          <cell r="L701"/>
        </row>
        <row r="702">
          <cell r="A702"/>
          <cell r="D702"/>
          <cell r="E702"/>
          <cell r="F702"/>
          <cell r="G702"/>
          <cell r="H702"/>
          <cell r="I702"/>
          <cell r="J702"/>
          <cell r="L702"/>
        </row>
        <row r="703">
          <cell r="A703"/>
          <cell r="D703"/>
          <cell r="E703"/>
          <cell r="F703"/>
          <cell r="G703"/>
          <cell r="H703"/>
          <cell r="I703"/>
          <cell r="J703"/>
          <cell r="L703"/>
        </row>
        <row r="704">
          <cell r="A704"/>
          <cell r="D704"/>
          <cell r="E704"/>
          <cell r="F704"/>
          <cell r="G704"/>
          <cell r="H704"/>
          <cell r="I704"/>
          <cell r="J704"/>
          <cell r="L704"/>
        </row>
        <row r="705">
          <cell r="A705"/>
          <cell r="D705"/>
          <cell r="E705"/>
          <cell r="F705"/>
          <cell r="G705"/>
          <cell r="H705"/>
          <cell r="I705"/>
          <cell r="J705"/>
          <cell r="L705"/>
        </row>
        <row r="706">
          <cell r="A706"/>
          <cell r="D706"/>
          <cell r="E706"/>
          <cell r="F706"/>
          <cell r="G706"/>
          <cell r="H706"/>
          <cell r="I706"/>
          <cell r="J706"/>
          <cell r="L706"/>
        </row>
        <row r="707">
          <cell r="A707"/>
          <cell r="D707"/>
          <cell r="E707"/>
          <cell r="F707"/>
          <cell r="G707"/>
          <cell r="H707"/>
          <cell r="I707"/>
          <cell r="J707"/>
          <cell r="L707"/>
        </row>
        <row r="708">
          <cell r="A708"/>
          <cell r="D708"/>
          <cell r="E708"/>
          <cell r="F708"/>
          <cell r="G708"/>
          <cell r="H708"/>
          <cell r="I708"/>
          <cell r="J708"/>
          <cell r="L708"/>
        </row>
        <row r="709">
          <cell r="A709"/>
          <cell r="D709"/>
          <cell r="E709"/>
          <cell r="F709"/>
          <cell r="G709"/>
          <cell r="H709"/>
          <cell r="I709"/>
          <cell r="J709"/>
          <cell r="L709"/>
        </row>
        <row r="710">
          <cell r="A710"/>
          <cell r="D710"/>
          <cell r="E710"/>
          <cell r="F710"/>
          <cell r="G710"/>
          <cell r="H710"/>
          <cell r="I710"/>
          <cell r="J710"/>
          <cell r="L710"/>
        </row>
        <row r="711">
          <cell r="A711"/>
          <cell r="D711"/>
          <cell r="E711"/>
          <cell r="F711"/>
          <cell r="G711"/>
          <cell r="H711"/>
          <cell r="I711"/>
          <cell r="J711"/>
          <cell r="L711"/>
        </row>
        <row r="712">
          <cell r="A712"/>
          <cell r="D712"/>
          <cell r="E712"/>
          <cell r="F712"/>
          <cell r="G712"/>
          <cell r="H712"/>
          <cell r="I712"/>
          <cell r="J712"/>
          <cell r="L712"/>
        </row>
        <row r="713">
          <cell r="A713"/>
          <cell r="D713"/>
          <cell r="E713"/>
          <cell r="F713"/>
          <cell r="G713"/>
          <cell r="H713"/>
          <cell r="I713"/>
          <cell r="J713"/>
          <cell r="L713"/>
        </row>
        <row r="714">
          <cell r="A714"/>
          <cell r="D714"/>
          <cell r="E714"/>
          <cell r="F714"/>
          <cell r="G714"/>
          <cell r="H714"/>
          <cell r="I714"/>
          <cell r="J714"/>
          <cell r="L714"/>
        </row>
        <row r="715">
          <cell r="A715"/>
          <cell r="D715"/>
          <cell r="E715"/>
          <cell r="F715"/>
          <cell r="G715"/>
          <cell r="H715"/>
          <cell r="I715"/>
          <cell r="J715"/>
          <cell r="L715"/>
        </row>
        <row r="716">
          <cell r="A716"/>
          <cell r="D716"/>
          <cell r="E716"/>
          <cell r="F716"/>
          <cell r="G716"/>
          <cell r="H716"/>
          <cell r="I716"/>
          <cell r="J716"/>
          <cell r="L716"/>
        </row>
        <row r="717">
          <cell r="A717"/>
          <cell r="D717"/>
          <cell r="E717"/>
          <cell r="F717"/>
          <cell r="G717"/>
          <cell r="H717"/>
          <cell r="I717"/>
          <cell r="J717"/>
          <cell r="L717"/>
        </row>
        <row r="718">
          <cell r="A718"/>
          <cell r="D718"/>
          <cell r="E718"/>
          <cell r="F718"/>
          <cell r="G718"/>
          <cell r="H718"/>
          <cell r="I718"/>
          <cell r="J718"/>
          <cell r="L718"/>
        </row>
        <row r="719">
          <cell r="A719"/>
          <cell r="D719"/>
          <cell r="E719"/>
          <cell r="F719"/>
          <cell r="G719"/>
          <cell r="H719"/>
          <cell r="I719"/>
          <cell r="J719"/>
          <cell r="L719"/>
        </row>
        <row r="720">
          <cell r="A720"/>
          <cell r="D720"/>
          <cell r="E720"/>
          <cell r="F720"/>
          <cell r="G720"/>
          <cell r="H720"/>
          <cell r="I720"/>
          <cell r="J720"/>
          <cell r="L720"/>
        </row>
        <row r="721">
          <cell r="A721"/>
          <cell r="D721"/>
          <cell r="E721"/>
          <cell r="F721"/>
          <cell r="G721"/>
          <cell r="H721"/>
          <cell r="I721"/>
          <cell r="J721"/>
          <cell r="L721"/>
        </row>
        <row r="722">
          <cell r="A722"/>
          <cell r="D722"/>
          <cell r="E722"/>
          <cell r="F722"/>
          <cell r="G722"/>
          <cell r="H722"/>
          <cell r="I722"/>
          <cell r="J722"/>
          <cell r="L722"/>
        </row>
        <row r="723">
          <cell r="A723"/>
          <cell r="D723"/>
          <cell r="E723"/>
          <cell r="F723"/>
          <cell r="G723"/>
          <cell r="H723"/>
          <cell r="I723"/>
          <cell r="J723"/>
          <cell r="L723"/>
        </row>
        <row r="724">
          <cell r="A724"/>
          <cell r="D724"/>
          <cell r="E724"/>
          <cell r="F724"/>
          <cell r="G724"/>
          <cell r="H724"/>
          <cell r="I724"/>
          <cell r="J724"/>
          <cell r="L724"/>
        </row>
        <row r="725">
          <cell r="A725"/>
          <cell r="D725"/>
          <cell r="E725"/>
          <cell r="F725"/>
          <cell r="G725"/>
          <cell r="H725"/>
          <cell r="I725"/>
          <cell r="J725"/>
          <cell r="L725"/>
        </row>
        <row r="726">
          <cell r="A726"/>
          <cell r="D726"/>
          <cell r="E726"/>
          <cell r="F726"/>
          <cell r="G726"/>
          <cell r="H726"/>
          <cell r="I726"/>
          <cell r="J726"/>
          <cell r="L726"/>
        </row>
        <row r="727">
          <cell r="A727"/>
          <cell r="D727"/>
          <cell r="E727"/>
          <cell r="F727"/>
          <cell r="G727"/>
          <cell r="H727"/>
          <cell r="I727"/>
          <cell r="J727"/>
          <cell r="L727"/>
        </row>
        <row r="728">
          <cell r="A728"/>
          <cell r="D728"/>
          <cell r="E728"/>
          <cell r="F728"/>
          <cell r="G728"/>
          <cell r="H728"/>
          <cell r="I728"/>
          <cell r="J728"/>
          <cell r="L728"/>
        </row>
        <row r="729">
          <cell r="A729"/>
          <cell r="D729"/>
          <cell r="E729"/>
          <cell r="F729"/>
          <cell r="G729"/>
          <cell r="H729"/>
          <cell r="I729"/>
          <cell r="J729"/>
          <cell r="L729"/>
        </row>
        <row r="730">
          <cell r="A730"/>
          <cell r="D730"/>
          <cell r="E730"/>
          <cell r="F730"/>
          <cell r="G730"/>
          <cell r="H730"/>
          <cell r="I730"/>
          <cell r="J730"/>
          <cell r="L730"/>
        </row>
        <row r="731">
          <cell r="A731"/>
          <cell r="D731"/>
          <cell r="E731"/>
          <cell r="F731"/>
          <cell r="G731"/>
          <cell r="H731"/>
          <cell r="I731"/>
          <cell r="J731"/>
          <cell r="L731"/>
        </row>
        <row r="732">
          <cell r="A732"/>
          <cell r="D732"/>
          <cell r="E732"/>
          <cell r="F732"/>
          <cell r="G732"/>
          <cell r="H732"/>
          <cell r="I732"/>
          <cell r="J732"/>
          <cell r="L732"/>
        </row>
        <row r="733">
          <cell r="A733"/>
          <cell r="D733"/>
          <cell r="E733"/>
          <cell r="F733"/>
          <cell r="G733"/>
          <cell r="H733"/>
          <cell r="I733"/>
          <cell r="J733"/>
          <cell r="L733"/>
        </row>
        <row r="734">
          <cell r="A734"/>
          <cell r="D734"/>
          <cell r="E734"/>
          <cell r="F734"/>
          <cell r="G734"/>
          <cell r="H734"/>
          <cell r="I734"/>
          <cell r="J734"/>
          <cell r="L734"/>
        </row>
        <row r="735">
          <cell r="A735"/>
          <cell r="D735"/>
          <cell r="E735"/>
          <cell r="F735"/>
          <cell r="G735"/>
          <cell r="H735"/>
          <cell r="I735"/>
          <cell r="J735"/>
          <cell r="L735"/>
        </row>
        <row r="736">
          <cell r="A736"/>
          <cell r="D736"/>
          <cell r="E736"/>
          <cell r="F736"/>
          <cell r="G736"/>
          <cell r="H736"/>
          <cell r="I736"/>
          <cell r="J736"/>
          <cell r="L736"/>
        </row>
        <row r="737">
          <cell r="A737"/>
          <cell r="D737"/>
          <cell r="E737"/>
          <cell r="F737"/>
          <cell r="G737"/>
          <cell r="H737"/>
          <cell r="I737"/>
          <cell r="J737"/>
          <cell r="L737"/>
        </row>
        <row r="738">
          <cell r="A738"/>
          <cell r="D738"/>
          <cell r="E738"/>
          <cell r="F738"/>
          <cell r="G738"/>
          <cell r="H738"/>
          <cell r="I738"/>
          <cell r="J738"/>
          <cell r="L738"/>
        </row>
        <row r="739">
          <cell r="A739"/>
          <cell r="D739"/>
          <cell r="E739"/>
          <cell r="F739"/>
          <cell r="G739"/>
          <cell r="H739"/>
          <cell r="I739"/>
          <cell r="J739"/>
          <cell r="L739"/>
        </row>
        <row r="740">
          <cell r="A740"/>
          <cell r="D740"/>
          <cell r="E740"/>
          <cell r="F740"/>
          <cell r="G740"/>
          <cell r="H740"/>
          <cell r="I740"/>
          <cell r="J740"/>
          <cell r="L740"/>
        </row>
        <row r="741">
          <cell r="A741"/>
          <cell r="D741"/>
          <cell r="E741"/>
          <cell r="F741"/>
          <cell r="G741"/>
          <cell r="H741"/>
          <cell r="I741"/>
          <cell r="J741"/>
          <cell r="L741"/>
        </row>
        <row r="742">
          <cell r="A742"/>
          <cell r="D742"/>
          <cell r="E742"/>
          <cell r="F742"/>
          <cell r="G742"/>
          <cell r="H742"/>
          <cell r="I742"/>
          <cell r="J742"/>
          <cell r="L742"/>
        </row>
        <row r="743">
          <cell r="A743"/>
          <cell r="D743"/>
          <cell r="E743"/>
          <cell r="F743"/>
          <cell r="G743"/>
          <cell r="H743"/>
          <cell r="I743"/>
          <cell r="J743"/>
          <cell r="L743"/>
        </row>
        <row r="744">
          <cell r="A744"/>
          <cell r="D744"/>
          <cell r="E744"/>
          <cell r="F744"/>
          <cell r="G744"/>
          <cell r="H744"/>
          <cell r="I744"/>
          <cell r="J744"/>
          <cell r="L744"/>
        </row>
        <row r="745">
          <cell r="A745"/>
          <cell r="D745"/>
          <cell r="E745"/>
          <cell r="F745"/>
          <cell r="G745"/>
          <cell r="H745"/>
          <cell r="I745"/>
          <cell r="J745"/>
          <cell r="L745"/>
        </row>
        <row r="746">
          <cell r="A746"/>
          <cell r="D746"/>
          <cell r="E746"/>
          <cell r="F746"/>
          <cell r="G746"/>
          <cell r="H746"/>
          <cell r="I746"/>
          <cell r="J746"/>
          <cell r="L746"/>
        </row>
        <row r="747">
          <cell r="A747"/>
          <cell r="D747"/>
          <cell r="E747"/>
          <cell r="F747"/>
          <cell r="G747"/>
          <cell r="H747"/>
          <cell r="I747"/>
          <cell r="J747"/>
          <cell r="L747"/>
        </row>
        <row r="748">
          <cell r="A748"/>
          <cell r="D748"/>
          <cell r="E748"/>
          <cell r="F748"/>
          <cell r="G748"/>
          <cell r="H748"/>
          <cell r="I748"/>
          <cell r="J748"/>
          <cell r="L748"/>
        </row>
        <row r="749">
          <cell r="A749"/>
          <cell r="D749"/>
          <cell r="E749"/>
          <cell r="F749"/>
          <cell r="G749"/>
          <cell r="H749"/>
          <cell r="I749"/>
          <cell r="J749"/>
          <cell r="L749"/>
        </row>
        <row r="750">
          <cell r="A750"/>
          <cell r="D750"/>
          <cell r="E750"/>
          <cell r="F750"/>
          <cell r="G750"/>
          <cell r="H750"/>
          <cell r="I750"/>
          <cell r="J750"/>
          <cell r="L750"/>
        </row>
        <row r="751">
          <cell r="A751"/>
          <cell r="D751"/>
          <cell r="E751"/>
          <cell r="F751"/>
          <cell r="G751"/>
          <cell r="H751"/>
          <cell r="I751"/>
          <cell r="J751"/>
          <cell r="L751"/>
        </row>
        <row r="752">
          <cell r="A752"/>
          <cell r="D752"/>
          <cell r="E752"/>
          <cell r="F752"/>
          <cell r="G752"/>
          <cell r="H752"/>
          <cell r="I752"/>
          <cell r="J752"/>
          <cell r="L752"/>
        </row>
        <row r="753">
          <cell r="A753"/>
          <cell r="D753"/>
          <cell r="E753"/>
          <cell r="F753"/>
          <cell r="G753"/>
          <cell r="H753"/>
          <cell r="I753"/>
          <cell r="J753"/>
          <cell r="L753"/>
        </row>
        <row r="754">
          <cell r="A754"/>
          <cell r="D754"/>
          <cell r="E754"/>
          <cell r="F754"/>
          <cell r="G754"/>
          <cell r="H754"/>
          <cell r="I754"/>
          <cell r="J754"/>
          <cell r="L754"/>
        </row>
        <row r="755">
          <cell r="A755"/>
          <cell r="D755"/>
          <cell r="E755"/>
          <cell r="F755"/>
          <cell r="G755"/>
          <cell r="H755"/>
          <cell r="I755"/>
          <cell r="J755"/>
          <cell r="L755"/>
        </row>
        <row r="756">
          <cell r="A756"/>
          <cell r="D756"/>
          <cell r="E756"/>
          <cell r="F756"/>
          <cell r="G756"/>
          <cell r="H756"/>
          <cell r="I756"/>
          <cell r="J756"/>
          <cell r="L756"/>
        </row>
        <row r="757">
          <cell r="A757"/>
          <cell r="D757"/>
          <cell r="E757"/>
          <cell r="F757"/>
          <cell r="G757"/>
          <cell r="H757"/>
          <cell r="I757"/>
          <cell r="J757"/>
          <cell r="L757"/>
        </row>
        <row r="758">
          <cell r="A758"/>
          <cell r="D758"/>
          <cell r="E758"/>
          <cell r="F758"/>
          <cell r="G758"/>
          <cell r="H758"/>
          <cell r="I758"/>
          <cell r="J758"/>
          <cell r="L758"/>
        </row>
        <row r="759">
          <cell r="A759"/>
          <cell r="D759"/>
          <cell r="E759"/>
          <cell r="F759"/>
          <cell r="G759"/>
          <cell r="H759"/>
          <cell r="I759"/>
          <cell r="J759"/>
          <cell r="L759"/>
        </row>
        <row r="760">
          <cell r="A760"/>
          <cell r="D760"/>
          <cell r="E760"/>
          <cell r="F760"/>
          <cell r="G760"/>
          <cell r="H760"/>
          <cell r="I760"/>
          <cell r="J760"/>
          <cell r="L760"/>
        </row>
        <row r="761">
          <cell r="A761"/>
          <cell r="D761"/>
          <cell r="E761"/>
          <cell r="F761"/>
          <cell r="G761"/>
          <cell r="H761"/>
          <cell r="I761"/>
          <cell r="J761"/>
          <cell r="L761"/>
        </row>
        <row r="762">
          <cell r="A762"/>
          <cell r="D762"/>
          <cell r="E762"/>
          <cell r="F762"/>
          <cell r="G762"/>
          <cell r="H762"/>
          <cell r="I762"/>
          <cell r="J762"/>
          <cell r="L762"/>
        </row>
        <row r="763">
          <cell r="A763"/>
          <cell r="D763"/>
          <cell r="E763"/>
          <cell r="F763"/>
          <cell r="G763"/>
          <cell r="H763"/>
          <cell r="I763"/>
          <cell r="J763"/>
          <cell r="L763"/>
        </row>
        <row r="764">
          <cell r="A764"/>
          <cell r="D764"/>
          <cell r="E764"/>
          <cell r="F764"/>
          <cell r="G764"/>
          <cell r="H764"/>
          <cell r="I764"/>
          <cell r="J764"/>
          <cell r="L764"/>
        </row>
        <row r="765">
          <cell r="A765"/>
          <cell r="D765"/>
          <cell r="E765"/>
          <cell r="F765"/>
          <cell r="G765"/>
          <cell r="H765"/>
          <cell r="I765"/>
          <cell r="J765"/>
          <cell r="L765"/>
        </row>
        <row r="766">
          <cell r="A766"/>
          <cell r="D766"/>
          <cell r="E766"/>
          <cell r="F766"/>
          <cell r="G766"/>
          <cell r="H766"/>
          <cell r="I766"/>
          <cell r="J766"/>
          <cell r="L766"/>
        </row>
        <row r="767">
          <cell r="A767"/>
          <cell r="D767"/>
          <cell r="E767"/>
          <cell r="F767"/>
          <cell r="G767"/>
          <cell r="H767"/>
          <cell r="I767"/>
          <cell r="J767"/>
          <cell r="L767"/>
        </row>
        <row r="768">
          <cell r="A768"/>
          <cell r="D768"/>
          <cell r="E768"/>
          <cell r="F768"/>
          <cell r="G768"/>
          <cell r="H768"/>
          <cell r="I768"/>
          <cell r="J768"/>
          <cell r="L768"/>
        </row>
        <row r="769">
          <cell r="A769"/>
          <cell r="D769"/>
          <cell r="E769"/>
          <cell r="F769"/>
          <cell r="G769"/>
          <cell r="H769"/>
          <cell r="I769"/>
          <cell r="J769"/>
          <cell r="L769"/>
        </row>
        <row r="770">
          <cell r="A770"/>
          <cell r="D770"/>
          <cell r="E770"/>
          <cell r="F770"/>
          <cell r="G770"/>
          <cell r="H770"/>
          <cell r="I770"/>
          <cell r="J770"/>
          <cell r="L770"/>
        </row>
        <row r="771">
          <cell r="A771"/>
          <cell r="D771"/>
          <cell r="E771"/>
          <cell r="F771"/>
          <cell r="G771"/>
          <cell r="H771"/>
          <cell r="I771"/>
          <cell r="J771"/>
          <cell r="L771"/>
        </row>
        <row r="772">
          <cell r="A772"/>
          <cell r="D772"/>
          <cell r="E772"/>
          <cell r="F772"/>
          <cell r="G772"/>
          <cell r="H772"/>
          <cell r="I772"/>
          <cell r="J772"/>
          <cell r="L772"/>
        </row>
        <row r="773">
          <cell r="A773"/>
          <cell r="D773"/>
          <cell r="E773"/>
          <cell r="F773"/>
          <cell r="G773"/>
          <cell r="H773"/>
          <cell r="I773"/>
          <cell r="J773"/>
          <cell r="L773"/>
        </row>
        <row r="774">
          <cell r="A774"/>
          <cell r="D774"/>
          <cell r="E774"/>
          <cell r="F774"/>
          <cell r="G774"/>
          <cell r="H774"/>
          <cell r="I774"/>
          <cell r="J774"/>
          <cell r="L774"/>
        </row>
        <row r="775">
          <cell r="A775"/>
          <cell r="D775"/>
          <cell r="E775"/>
          <cell r="F775"/>
          <cell r="G775"/>
          <cell r="H775"/>
          <cell r="I775"/>
          <cell r="J775"/>
          <cell r="L775"/>
        </row>
        <row r="776">
          <cell r="A776"/>
          <cell r="D776"/>
          <cell r="E776"/>
          <cell r="F776"/>
          <cell r="G776"/>
          <cell r="H776"/>
          <cell r="I776"/>
          <cell r="J776"/>
          <cell r="L776"/>
        </row>
        <row r="777">
          <cell r="A777"/>
          <cell r="D777"/>
          <cell r="E777"/>
          <cell r="F777"/>
          <cell r="G777"/>
          <cell r="H777"/>
          <cell r="I777"/>
          <cell r="J777"/>
          <cell r="L777"/>
        </row>
        <row r="778">
          <cell r="A778"/>
          <cell r="D778"/>
          <cell r="E778"/>
          <cell r="F778"/>
          <cell r="G778"/>
          <cell r="H778"/>
          <cell r="I778"/>
          <cell r="J778"/>
          <cell r="L778"/>
        </row>
        <row r="779">
          <cell r="A779"/>
          <cell r="D779"/>
          <cell r="E779"/>
          <cell r="F779"/>
          <cell r="G779"/>
          <cell r="H779"/>
          <cell r="I779"/>
          <cell r="J779"/>
          <cell r="L779"/>
        </row>
        <row r="780">
          <cell r="A780"/>
          <cell r="D780"/>
          <cell r="E780"/>
          <cell r="F780"/>
          <cell r="G780"/>
          <cell r="H780"/>
          <cell r="I780"/>
          <cell r="J780"/>
          <cell r="L780"/>
        </row>
        <row r="781">
          <cell r="A781"/>
          <cell r="D781"/>
          <cell r="E781"/>
          <cell r="F781"/>
          <cell r="G781"/>
          <cell r="H781"/>
          <cell r="I781"/>
          <cell r="J781"/>
          <cell r="L781"/>
        </row>
        <row r="782">
          <cell r="A782"/>
          <cell r="D782"/>
          <cell r="E782"/>
          <cell r="F782"/>
          <cell r="G782"/>
          <cell r="H782"/>
          <cell r="I782"/>
          <cell r="J782"/>
          <cell r="L782"/>
        </row>
        <row r="783">
          <cell r="A783"/>
          <cell r="D783"/>
          <cell r="E783"/>
          <cell r="F783"/>
          <cell r="G783"/>
          <cell r="H783"/>
          <cell r="I783"/>
          <cell r="J783"/>
          <cell r="L783"/>
        </row>
        <row r="784">
          <cell r="A784"/>
          <cell r="D784"/>
          <cell r="E784"/>
          <cell r="F784"/>
          <cell r="G784"/>
          <cell r="H784"/>
          <cell r="I784"/>
          <cell r="J784"/>
          <cell r="L784"/>
        </row>
        <row r="785">
          <cell r="A785"/>
          <cell r="D785"/>
          <cell r="E785"/>
          <cell r="F785"/>
          <cell r="G785"/>
          <cell r="H785"/>
          <cell r="I785"/>
          <cell r="J785"/>
          <cell r="L785"/>
        </row>
        <row r="786">
          <cell r="A786"/>
          <cell r="D786"/>
          <cell r="E786"/>
          <cell r="F786"/>
          <cell r="G786"/>
          <cell r="H786"/>
          <cell r="I786"/>
          <cell r="J786"/>
          <cell r="L786"/>
        </row>
        <row r="787">
          <cell r="A787"/>
          <cell r="D787"/>
          <cell r="E787"/>
          <cell r="F787"/>
          <cell r="G787"/>
          <cell r="H787"/>
          <cell r="I787"/>
          <cell r="J787"/>
          <cell r="L787"/>
        </row>
        <row r="788">
          <cell r="A788"/>
          <cell r="D788"/>
          <cell r="E788"/>
          <cell r="F788"/>
          <cell r="G788"/>
          <cell r="H788"/>
          <cell r="I788"/>
          <cell r="J788"/>
          <cell r="L788"/>
        </row>
        <row r="789">
          <cell r="A789"/>
          <cell r="D789"/>
          <cell r="E789"/>
          <cell r="F789"/>
          <cell r="G789"/>
          <cell r="H789"/>
          <cell r="I789"/>
          <cell r="J789"/>
          <cell r="L789"/>
        </row>
        <row r="790">
          <cell r="A790"/>
          <cell r="D790"/>
          <cell r="E790"/>
          <cell r="F790"/>
          <cell r="G790"/>
          <cell r="H790"/>
          <cell r="I790"/>
          <cell r="J790"/>
          <cell r="L790"/>
        </row>
        <row r="791">
          <cell r="A791"/>
          <cell r="D791"/>
          <cell r="E791"/>
          <cell r="F791"/>
          <cell r="G791"/>
          <cell r="H791"/>
          <cell r="I791"/>
          <cell r="J791"/>
          <cell r="L791"/>
        </row>
        <row r="792">
          <cell r="A792"/>
          <cell r="D792"/>
          <cell r="E792"/>
          <cell r="F792"/>
          <cell r="G792"/>
          <cell r="H792"/>
          <cell r="I792"/>
          <cell r="J792"/>
          <cell r="L792"/>
        </row>
        <row r="793">
          <cell r="A793"/>
          <cell r="D793"/>
          <cell r="E793"/>
          <cell r="F793"/>
          <cell r="G793"/>
          <cell r="H793"/>
          <cell r="I793"/>
          <cell r="J793"/>
          <cell r="L793"/>
        </row>
        <row r="794">
          <cell r="A794"/>
          <cell r="D794"/>
          <cell r="E794"/>
          <cell r="F794"/>
          <cell r="G794"/>
          <cell r="H794"/>
          <cell r="I794"/>
          <cell r="J794"/>
          <cell r="L794"/>
        </row>
        <row r="795">
          <cell r="A795"/>
          <cell r="D795"/>
          <cell r="E795"/>
          <cell r="F795"/>
          <cell r="G795"/>
          <cell r="H795"/>
          <cell r="I795"/>
          <cell r="J795"/>
          <cell r="L795"/>
        </row>
        <row r="796">
          <cell r="A796"/>
          <cell r="D796"/>
          <cell r="E796"/>
          <cell r="F796"/>
          <cell r="G796"/>
          <cell r="H796"/>
          <cell r="I796"/>
          <cell r="J796"/>
          <cell r="L796"/>
        </row>
        <row r="797">
          <cell r="A797"/>
          <cell r="D797"/>
          <cell r="E797"/>
          <cell r="F797"/>
          <cell r="G797"/>
          <cell r="H797"/>
          <cell r="I797"/>
          <cell r="J797"/>
          <cell r="L797"/>
        </row>
        <row r="798">
          <cell r="A798"/>
          <cell r="D798"/>
          <cell r="E798"/>
          <cell r="F798"/>
          <cell r="G798"/>
          <cell r="H798"/>
          <cell r="I798"/>
          <cell r="J798"/>
          <cell r="L798"/>
        </row>
        <row r="799">
          <cell r="A799"/>
          <cell r="D799"/>
          <cell r="E799"/>
          <cell r="F799"/>
          <cell r="G799"/>
          <cell r="H799"/>
          <cell r="I799"/>
          <cell r="J799"/>
          <cell r="L799"/>
        </row>
        <row r="800">
          <cell r="A800"/>
          <cell r="D800"/>
          <cell r="E800"/>
          <cell r="F800"/>
          <cell r="G800"/>
          <cell r="H800"/>
          <cell r="I800"/>
          <cell r="J800"/>
          <cell r="L800"/>
        </row>
        <row r="801">
          <cell r="A801"/>
          <cell r="D801"/>
          <cell r="E801"/>
          <cell r="F801"/>
          <cell r="G801"/>
          <cell r="H801"/>
          <cell r="I801"/>
          <cell r="J801"/>
          <cell r="L801"/>
        </row>
        <row r="802">
          <cell r="A802"/>
          <cell r="D802"/>
          <cell r="E802"/>
          <cell r="F802"/>
          <cell r="G802"/>
          <cell r="H802"/>
          <cell r="I802"/>
          <cell r="J802"/>
          <cell r="L802"/>
        </row>
        <row r="803">
          <cell r="A803"/>
          <cell r="D803"/>
          <cell r="E803"/>
          <cell r="F803"/>
          <cell r="G803"/>
          <cell r="H803"/>
          <cell r="I803"/>
          <cell r="J803"/>
          <cell r="L803"/>
        </row>
        <row r="804">
          <cell r="A804"/>
          <cell r="D804"/>
          <cell r="E804"/>
          <cell r="F804"/>
          <cell r="G804"/>
          <cell r="H804"/>
          <cell r="I804"/>
          <cell r="J804"/>
          <cell r="L804"/>
        </row>
        <row r="805">
          <cell r="A805"/>
          <cell r="D805"/>
          <cell r="E805"/>
          <cell r="F805"/>
          <cell r="G805"/>
          <cell r="H805"/>
          <cell r="I805"/>
          <cell r="J805"/>
          <cell r="L805"/>
        </row>
        <row r="806">
          <cell r="A806"/>
          <cell r="D806"/>
          <cell r="E806"/>
          <cell r="F806"/>
          <cell r="G806"/>
          <cell r="H806"/>
          <cell r="I806"/>
          <cell r="J806"/>
          <cell r="L806"/>
        </row>
        <row r="807">
          <cell r="A807"/>
          <cell r="D807"/>
          <cell r="E807"/>
          <cell r="F807"/>
          <cell r="G807"/>
          <cell r="H807"/>
          <cell r="I807"/>
          <cell r="J807"/>
          <cell r="L807"/>
        </row>
        <row r="808">
          <cell r="A808"/>
          <cell r="D808"/>
          <cell r="E808"/>
          <cell r="F808"/>
          <cell r="G808"/>
          <cell r="H808"/>
          <cell r="I808"/>
          <cell r="J808"/>
          <cell r="L808"/>
        </row>
        <row r="809">
          <cell r="A809"/>
          <cell r="D809"/>
          <cell r="E809"/>
          <cell r="F809"/>
          <cell r="G809"/>
          <cell r="H809"/>
          <cell r="I809"/>
          <cell r="J809"/>
          <cell r="L809"/>
        </row>
        <row r="810">
          <cell r="A810"/>
          <cell r="D810"/>
          <cell r="E810"/>
          <cell r="F810"/>
          <cell r="G810"/>
          <cell r="H810"/>
          <cell r="I810"/>
          <cell r="J810"/>
          <cell r="L810"/>
        </row>
        <row r="811">
          <cell r="A811"/>
          <cell r="D811"/>
          <cell r="E811"/>
          <cell r="F811"/>
          <cell r="G811"/>
          <cell r="H811"/>
          <cell r="I811"/>
          <cell r="J811"/>
          <cell r="L811"/>
        </row>
        <row r="812">
          <cell r="A812"/>
          <cell r="D812"/>
          <cell r="E812"/>
          <cell r="F812"/>
          <cell r="G812"/>
          <cell r="H812"/>
          <cell r="I812"/>
          <cell r="J812"/>
          <cell r="L812"/>
        </row>
        <row r="813">
          <cell r="A813"/>
          <cell r="D813"/>
          <cell r="E813"/>
          <cell r="F813"/>
          <cell r="G813"/>
          <cell r="H813"/>
          <cell r="I813"/>
          <cell r="J813"/>
          <cell r="L813"/>
        </row>
        <row r="814">
          <cell r="A814"/>
          <cell r="D814"/>
          <cell r="E814"/>
          <cell r="F814"/>
          <cell r="G814"/>
          <cell r="H814"/>
          <cell r="I814"/>
          <cell r="J814"/>
          <cell r="L814"/>
        </row>
        <row r="815">
          <cell r="A815"/>
          <cell r="D815"/>
          <cell r="E815"/>
          <cell r="F815"/>
          <cell r="G815"/>
          <cell r="H815"/>
          <cell r="I815"/>
          <cell r="J815"/>
          <cell r="L815"/>
        </row>
        <row r="816">
          <cell r="A816"/>
          <cell r="D816"/>
          <cell r="E816"/>
          <cell r="F816"/>
          <cell r="G816"/>
          <cell r="H816"/>
          <cell r="I816"/>
          <cell r="J816"/>
          <cell r="L816"/>
        </row>
        <row r="817">
          <cell r="A817"/>
          <cell r="D817"/>
          <cell r="E817"/>
          <cell r="F817"/>
          <cell r="G817"/>
          <cell r="H817"/>
          <cell r="I817"/>
          <cell r="J817"/>
          <cell r="L817"/>
        </row>
        <row r="818">
          <cell r="A818"/>
          <cell r="D818"/>
          <cell r="E818"/>
          <cell r="F818"/>
          <cell r="G818"/>
          <cell r="H818"/>
          <cell r="I818"/>
          <cell r="J818"/>
          <cell r="L818"/>
        </row>
        <row r="819">
          <cell r="A819"/>
          <cell r="D819"/>
          <cell r="E819"/>
          <cell r="F819"/>
          <cell r="G819"/>
          <cell r="H819"/>
          <cell r="I819"/>
          <cell r="J819"/>
          <cell r="L819"/>
        </row>
        <row r="820">
          <cell r="A820"/>
          <cell r="D820"/>
          <cell r="E820"/>
          <cell r="F820"/>
          <cell r="G820"/>
          <cell r="H820"/>
          <cell r="I820"/>
          <cell r="J820"/>
          <cell r="L820"/>
        </row>
        <row r="821">
          <cell r="A821"/>
          <cell r="D821"/>
          <cell r="E821"/>
          <cell r="F821"/>
          <cell r="G821"/>
          <cell r="H821"/>
          <cell r="I821"/>
          <cell r="J821"/>
          <cell r="L821"/>
        </row>
        <row r="822">
          <cell r="A822"/>
          <cell r="D822"/>
          <cell r="E822"/>
          <cell r="F822"/>
          <cell r="G822"/>
          <cell r="H822"/>
          <cell r="I822"/>
          <cell r="J822"/>
          <cell r="L822"/>
        </row>
        <row r="823">
          <cell r="A823"/>
          <cell r="D823"/>
          <cell r="E823"/>
          <cell r="F823"/>
          <cell r="G823"/>
          <cell r="H823"/>
          <cell r="I823"/>
          <cell r="J823"/>
          <cell r="L823"/>
        </row>
        <row r="824">
          <cell r="A824"/>
          <cell r="D824"/>
          <cell r="E824"/>
          <cell r="F824"/>
          <cell r="G824"/>
          <cell r="H824"/>
          <cell r="I824"/>
          <cell r="J824"/>
          <cell r="L824"/>
        </row>
        <row r="825">
          <cell r="A825"/>
          <cell r="D825"/>
          <cell r="E825"/>
          <cell r="F825"/>
          <cell r="G825"/>
          <cell r="H825"/>
          <cell r="I825"/>
          <cell r="J825"/>
          <cell r="L825"/>
        </row>
        <row r="826">
          <cell r="A826"/>
          <cell r="D826"/>
          <cell r="E826"/>
          <cell r="F826"/>
          <cell r="G826"/>
          <cell r="H826"/>
          <cell r="I826"/>
          <cell r="J826"/>
          <cell r="L826"/>
        </row>
        <row r="827">
          <cell r="A827"/>
          <cell r="D827"/>
          <cell r="E827"/>
          <cell r="F827"/>
          <cell r="G827"/>
          <cell r="H827"/>
          <cell r="I827"/>
          <cell r="J827"/>
          <cell r="L827"/>
        </row>
        <row r="828">
          <cell r="A828"/>
          <cell r="D828"/>
          <cell r="E828"/>
          <cell r="F828"/>
          <cell r="G828"/>
          <cell r="H828"/>
          <cell r="I828"/>
          <cell r="J828"/>
          <cell r="L828"/>
        </row>
        <row r="829">
          <cell r="A829"/>
          <cell r="D829"/>
          <cell r="E829"/>
          <cell r="F829"/>
          <cell r="G829"/>
          <cell r="H829"/>
          <cell r="I829"/>
          <cell r="J829"/>
          <cell r="L829"/>
        </row>
        <row r="830">
          <cell r="A830"/>
          <cell r="D830"/>
          <cell r="E830"/>
          <cell r="F830"/>
          <cell r="G830"/>
          <cell r="H830"/>
          <cell r="I830"/>
          <cell r="J830"/>
          <cell r="L830"/>
        </row>
        <row r="831">
          <cell r="A831"/>
          <cell r="D831"/>
          <cell r="E831"/>
          <cell r="F831"/>
          <cell r="G831"/>
          <cell r="H831"/>
          <cell r="I831"/>
          <cell r="J831"/>
          <cell r="L831"/>
        </row>
        <row r="832">
          <cell r="A832"/>
          <cell r="D832"/>
          <cell r="E832"/>
          <cell r="F832"/>
          <cell r="G832"/>
          <cell r="H832"/>
          <cell r="I832"/>
          <cell r="J832"/>
          <cell r="L832"/>
        </row>
        <row r="833">
          <cell r="A833"/>
          <cell r="D833"/>
          <cell r="E833"/>
          <cell r="F833"/>
          <cell r="G833"/>
          <cell r="H833"/>
          <cell r="I833"/>
          <cell r="J833"/>
          <cell r="L833"/>
        </row>
        <row r="834">
          <cell r="A834"/>
          <cell r="D834"/>
          <cell r="E834"/>
          <cell r="F834"/>
          <cell r="G834"/>
          <cell r="H834"/>
          <cell r="I834"/>
          <cell r="J834"/>
          <cell r="L834"/>
        </row>
        <row r="835">
          <cell r="A835"/>
          <cell r="D835"/>
          <cell r="E835"/>
          <cell r="F835"/>
          <cell r="G835"/>
          <cell r="H835"/>
          <cell r="I835"/>
          <cell r="J835"/>
          <cell r="L835"/>
        </row>
        <row r="836">
          <cell r="A836"/>
          <cell r="D836"/>
          <cell r="E836"/>
          <cell r="F836"/>
          <cell r="G836"/>
          <cell r="H836"/>
          <cell r="I836"/>
          <cell r="J836"/>
          <cell r="L836"/>
        </row>
        <row r="837">
          <cell r="A837"/>
          <cell r="D837"/>
          <cell r="E837"/>
          <cell r="F837"/>
          <cell r="G837"/>
          <cell r="H837"/>
          <cell r="I837"/>
          <cell r="J837"/>
          <cell r="L837"/>
        </row>
        <row r="838">
          <cell r="A838"/>
          <cell r="D838"/>
          <cell r="E838"/>
          <cell r="F838"/>
          <cell r="G838"/>
          <cell r="H838"/>
          <cell r="I838"/>
          <cell r="J838"/>
          <cell r="L838"/>
        </row>
        <row r="839">
          <cell r="A839"/>
          <cell r="D839"/>
          <cell r="E839"/>
          <cell r="F839"/>
          <cell r="G839"/>
          <cell r="H839"/>
          <cell r="I839"/>
          <cell r="J839"/>
          <cell r="L839"/>
        </row>
        <row r="840">
          <cell r="A840"/>
          <cell r="D840"/>
          <cell r="E840"/>
          <cell r="F840"/>
          <cell r="G840"/>
          <cell r="H840"/>
          <cell r="I840"/>
          <cell r="J840"/>
          <cell r="L840"/>
        </row>
        <row r="841">
          <cell r="A841"/>
          <cell r="D841"/>
          <cell r="E841"/>
          <cell r="F841"/>
          <cell r="G841"/>
          <cell r="H841"/>
          <cell r="I841"/>
          <cell r="J841"/>
          <cell r="L841"/>
        </row>
        <row r="842">
          <cell r="A842"/>
          <cell r="D842"/>
          <cell r="E842"/>
          <cell r="F842"/>
          <cell r="G842"/>
          <cell r="H842"/>
          <cell r="I842"/>
          <cell r="J842"/>
          <cell r="L842"/>
        </row>
        <row r="843">
          <cell r="A843"/>
          <cell r="D843"/>
          <cell r="E843"/>
          <cell r="F843"/>
          <cell r="G843"/>
          <cell r="H843"/>
          <cell r="I843"/>
          <cell r="J843"/>
          <cell r="L843"/>
        </row>
        <row r="844">
          <cell r="A844"/>
          <cell r="D844"/>
          <cell r="E844"/>
          <cell r="F844"/>
          <cell r="G844"/>
          <cell r="H844"/>
          <cell r="I844"/>
          <cell r="J844"/>
          <cell r="L844"/>
        </row>
        <row r="845">
          <cell r="A845"/>
          <cell r="D845"/>
          <cell r="E845"/>
          <cell r="F845"/>
          <cell r="G845"/>
          <cell r="H845"/>
          <cell r="I845"/>
          <cell r="J845"/>
          <cell r="L845"/>
        </row>
        <row r="846">
          <cell r="A846"/>
          <cell r="D846"/>
          <cell r="E846"/>
          <cell r="F846"/>
          <cell r="G846"/>
          <cell r="H846"/>
          <cell r="I846"/>
          <cell r="J846"/>
          <cell r="L846"/>
        </row>
        <row r="847">
          <cell r="A847"/>
          <cell r="D847"/>
          <cell r="E847"/>
          <cell r="F847"/>
          <cell r="G847"/>
          <cell r="H847"/>
          <cell r="I847"/>
          <cell r="J847"/>
          <cell r="L847"/>
        </row>
        <row r="848">
          <cell r="A848"/>
          <cell r="D848"/>
          <cell r="E848"/>
          <cell r="F848"/>
          <cell r="G848"/>
          <cell r="H848"/>
          <cell r="I848"/>
          <cell r="J848"/>
          <cell r="L848"/>
        </row>
        <row r="849">
          <cell r="A849"/>
          <cell r="D849"/>
          <cell r="E849"/>
          <cell r="F849"/>
          <cell r="G849"/>
          <cell r="H849"/>
          <cell r="I849"/>
          <cell r="J849"/>
          <cell r="L849"/>
        </row>
        <row r="850">
          <cell r="A850"/>
          <cell r="D850"/>
          <cell r="E850"/>
          <cell r="F850"/>
          <cell r="G850"/>
          <cell r="H850"/>
          <cell r="I850"/>
          <cell r="J850"/>
          <cell r="L850"/>
        </row>
        <row r="851">
          <cell r="A851"/>
          <cell r="D851"/>
          <cell r="E851"/>
          <cell r="F851"/>
          <cell r="G851"/>
          <cell r="H851"/>
          <cell r="I851"/>
          <cell r="J851"/>
          <cell r="L851"/>
        </row>
        <row r="852">
          <cell r="A852"/>
          <cell r="D852"/>
          <cell r="E852"/>
          <cell r="F852"/>
          <cell r="G852"/>
          <cell r="H852"/>
          <cell r="I852"/>
          <cell r="J852"/>
          <cell r="L852"/>
        </row>
        <row r="853">
          <cell r="A853"/>
          <cell r="D853"/>
          <cell r="E853"/>
          <cell r="F853"/>
          <cell r="G853"/>
          <cell r="H853"/>
          <cell r="I853"/>
          <cell r="J853"/>
          <cell r="L853"/>
        </row>
        <row r="854">
          <cell r="A854"/>
          <cell r="D854"/>
          <cell r="E854"/>
          <cell r="F854"/>
          <cell r="G854"/>
          <cell r="H854"/>
          <cell r="I854"/>
          <cell r="J854"/>
          <cell r="L854"/>
        </row>
        <row r="855">
          <cell r="A855"/>
          <cell r="D855"/>
          <cell r="E855"/>
          <cell r="F855"/>
          <cell r="G855"/>
          <cell r="H855"/>
          <cell r="I855"/>
          <cell r="J855"/>
          <cell r="L855"/>
        </row>
        <row r="856">
          <cell r="A856"/>
          <cell r="D856"/>
          <cell r="E856"/>
          <cell r="F856"/>
          <cell r="G856"/>
          <cell r="H856"/>
          <cell r="I856"/>
          <cell r="J856"/>
          <cell r="L856"/>
        </row>
        <row r="857">
          <cell r="A857"/>
          <cell r="D857"/>
          <cell r="E857"/>
          <cell r="F857"/>
          <cell r="G857"/>
          <cell r="H857"/>
          <cell r="I857"/>
          <cell r="J857"/>
          <cell r="L857"/>
        </row>
        <row r="858">
          <cell r="A858"/>
          <cell r="D858"/>
          <cell r="E858"/>
          <cell r="F858"/>
          <cell r="G858"/>
          <cell r="H858"/>
          <cell r="I858"/>
          <cell r="J858"/>
          <cell r="L858"/>
        </row>
        <row r="859">
          <cell r="A859"/>
          <cell r="D859"/>
          <cell r="E859"/>
          <cell r="F859"/>
          <cell r="G859"/>
          <cell r="H859"/>
          <cell r="I859"/>
          <cell r="J859"/>
          <cell r="L859"/>
        </row>
        <row r="860">
          <cell r="A860"/>
          <cell r="D860"/>
          <cell r="E860"/>
          <cell r="F860"/>
          <cell r="G860"/>
          <cell r="H860"/>
          <cell r="I860"/>
          <cell r="J860"/>
          <cell r="L860"/>
        </row>
        <row r="861">
          <cell r="A861"/>
          <cell r="D861"/>
          <cell r="E861"/>
          <cell r="F861"/>
          <cell r="G861"/>
          <cell r="H861"/>
          <cell r="I861"/>
          <cell r="J861"/>
          <cell r="L861"/>
        </row>
        <row r="862">
          <cell r="A862"/>
          <cell r="D862"/>
          <cell r="E862"/>
          <cell r="F862"/>
          <cell r="G862"/>
          <cell r="H862"/>
          <cell r="I862"/>
          <cell r="J862"/>
          <cell r="L862"/>
        </row>
        <row r="863">
          <cell r="A863"/>
          <cell r="D863"/>
          <cell r="E863"/>
          <cell r="F863"/>
          <cell r="G863"/>
          <cell r="H863"/>
          <cell r="I863"/>
          <cell r="J863"/>
          <cell r="L863"/>
        </row>
        <row r="864">
          <cell r="A864"/>
          <cell r="D864"/>
          <cell r="E864"/>
          <cell r="F864"/>
          <cell r="G864"/>
          <cell r="H864"/>
          <cell r="I864"/>
          <cell r="J864"/>
          <cell r="L864"/>
        </row>
        <row r="865">
          <cell r="A865"/>
          <cell r="D865"/>
          <cell r="E865"/>
          <cell r="F865"/>
          <cell r="G865"/>
          <cell r="H865"/>
          <cell r="I865"/>
          <cell r="J865"/>
          <cell r="L865"/>
        </row>
        <row r="866">
          <cell r="A866"/>
          <cell r="D866"/>
          <cell r="E866"/>
          <cell r="F866"/>
          <cell r="G866"/>
          <cell r="H866"/>
          <cell r="I866"/>
          <cell r="J866"/>
          <cell r="L866"/>
        </row>
        <row r="867">
          <cell r="A867"/>
          <cell r="D867"/>
          <cell r="E867"/>
          <cell r="F867"/>
          <cell r="G867"/>
          <cell r="H867"/>
          <cell r="I867"/>
          <cell r="J867"/>
          <cell r="L867"/>
        </row>
        <row r="868">
          <cell r="A868"/>
          <cell r="D868"/>
          <cell r="E868"/>
          <cell r="F868"/>
          <cell r="G868"/>
          <cell r="H868"/>
          <cell r="I868"/>
          <cell r="J868"/>
          <cell r="L868"/>
        </row>
        <row r="869">
          <cell r="A869"/>
          <cell r="D869"/>
          <cell r="E869"/>
          <cell r="F869"/>
          <cell r="G869"/>
          <cell r="H869"/>
          <cell r="I869"/>
          <cell r="J869"/>
          <cell r="L869"/>
        </row>
        <row r="870">
          <cell r="A870"/>
          <cell r="D870"/>
          <cell r="E870"/>
          <cell r="F870"/>
          <cell r="G870"/>
          <cell r="H870"/>
          <cell r="I870"/>
          <cell r="J870"/>
          <cell r="L870"/>
        </row>
        <row r="871">
          <cell r="A871"/>
          <cell r="D871"/>
          <cell r="E871"/>
          <cell r="F871"/>
          <cell r="G871"/>
          <cell r="H871"/>
          <cell r="I871"/>
          <cell r="J871"/>
          <cell r="L871"/>
        </row>
        <row r="872">
          <cell r="A872"/>
          <cell r="D872"/>
          <cell r="E872"/>
          <cell r="F872"/>
          <cell r="G872"/>
          <cell r="H872"/>
          <cell r="I872"/>
          <cell r="J872"/>
          <cell r="L872"/>
        </row>
        <row r="873">
          <cell r="A873"/>
          <cell r="D873"/>
          <cell r="E873"/>
          <cell r="F873"/>
          <cell r="G873"/>
          <cell r="H873"/>
          <cell r="I873"/>
          <cell r="J873"/>
          <cell r="L873"/>
        </row>
        <row r="874">
          <cell r="A874"/>
          <cell r="D874"/>
          <cell r="E874"/>
          <cell r="F874"/>
          <cell r="G874"/>
          <cell r="H874"/>
          <cell r="I874"/>
          <cell r="J874"/>
          <cell r="L874"/>
        </row>
        <row r="875">
          <cell r="A875"/>
          <cell r="D875"/>
          <cell r="E875"/>
          <cell r="F875"/>
          <cell r="G875"/>
          <cell r="H875"/>
          <cell r="I875"/>
          <cell r="J875"/>
          <cell r="L875"/>
        </row>
        <row r="876">
          <cell r="A876"/>
          <cell r="D876"/>
          <cell r="E876"/>
          <cell r="F876"/>
          <cell r="G876"/>
          <cell r="H876"/>
          <cell r="I876"/>
          <cell r="J876"/>
          <cell r="L876"/>
        </row>
        <row r="877">
          <cell r="A877"/>
          <cell r="D877"/>
          <cell r="E877"/>
          <cell r="F877"/>
          <cell r="G877"/>
          <cell r="H877"/>
          <cell r="I877"/>
          <cell r="J877"/>
          <cell r="L877"/>
        </row>
        <row r="878">
          <cell r="A878"/>
          <cell r="D878"/>
          <cell r="E878"/>
          <cell r="F878"/>
          <cell r="G878"/>
          <cell r="H878"/>
          <cell r="I878"/>
          <cell r="J878"/>
          <cell r="L878"/>
        </row>
        <row r="879">
          <cell r="A879"/>
          <cell r="D879"/>
          <cell r="E879"/>
          <cell r="F879"/>
          <cell r="G879"/>
          <cell r="H879"/>
          <cell r="I879"/>
          <cell r="J879"/>
          <cell r="L879"/>
        </row>
        <row r="880">
          <cell r="A880"/>
          <cell r="D880"/>
          <cell r="E880"/>
          <cell r="F880"/>
          <cell r="G880"/>
          <cell r="H880"/>
          <cell r="I880"/>
          <cell r="J880"/>
          <cell r="L880"/>
        </row>
        <row r="881">
          <cell r="A881"/>
          <cell r="D881"/>
          <cell r="E881"/>
          <cell r="F881"/>
          <cell r="G881"/>
          <cell r="H881"/>
          <cell r="I881"/>
          <cell r="J881"/>
          <cell r="L881"/>
        </row>
        <row r="882">
          <cell r="A882"/>
          <cell r="D882"/>
          <cell r="E882"/>
          <cell r="F882"/>
          <cell r="G882"/>
          <cell r="H882"/>
          <cell r="I882"/>
          <cell r="J882"/>
          <cell r="L882"/>
        </row>
        <row r="883">
          <cell r="A883"/>
          <cell r="D883"/>
          <cell r="E883"/>
          <cell r="F883"/>
          <cell r="G883"/>
          <cell r="H883"/>
          <cell r="I883"/>
          <cell r="J883"/>
          <cell r="L883"/>
        </row>
        <row r="884">
          <cell r="A884"/>
          <cell r="D884"/>
          <cell r="E884"/>
          <cell r="F884"/>
          <cell r="G884"/>
          <cell r="H884"/>
          <cell r="I884"/>
          <cell r="J884"/>
          <cell r="L884"/>
        </row>
        <row r="885">
          <cell r="A885"/>
          <cell r="D885"/>
          <cell r="E885"/>
          <cell r="F885"/>
          <cell r="G885"/>
          <cell r="H885"/>
          <cell r="I885"/>
          <cell r="J885"/>
          <cell r="L885"/>
        </row>
        <row r="886">
          <cell r="A886"/>
          <cell r="D886"/>
          <cell r="E886"/>
          <cell r="F886"/>
          <cell r="G886"/>
          <cell r="H886"/>
          <cell r="I886"/>
          <cell r="J886"/>
          <cell r="L886"/>
        </row>
        <row r="887">
          <cell r="A887"/>
          <cell r="D887"/>
          <cell r="E887"/>
          <cell r="F887"/>
          <cell r="G887"/>
          <cell r="H887"/>
          <cell r="I887"/>
          <cell r="J887"/>
          <cell r="L887"/>
        </row>
        <row r="888">
          <cell r="A888"/>
          <cell r="D888"/>
          <cell r="E888"/>
          <cell r="F888"/>
          <cell r="G888"/>
          <cell r="H888"/>
          <cell r="I888"/>
          <cell r="J888"/>
          <cell r="L888"/>
        </row>
        <row r="889">
          <cell r="A889"/>
          <cell r="D889"/>
          <cell r="E889"/>
          <cell r="F889"/>
          <cell r="G889"/>
          <cell r="H889"/>
          <cell r="I889"/>
          <cell r="J889"/>
          <cell r="L889"/>
        </row>
        <row r="890">
          <cell r="A890"/>
          <cell r="D890"/>
          <cell r="E890"/>
          <cell r="F890"/>
          <cell r="G890"/>
          <cell r="H890"/>
          <cell r="I890"/>
          <cell r="J890"/>
          <cell r="L890"/>
        </row>
        <row r="891">
          <cell r="A891"/>
          <cell r="D891"/>
          <cell r="E891"/>
          <cell r="F891"/>
          <cell r="G891"/>
          <cell r="H891"/>
          <cell r="I891"/>
          <cell r="J891"/>
          <cell r="L891"/>
        </row>
        <row r="892">
          <cell r="A892"/>
          <cell r="D892"/>
          <cell r="E892"/>
          <cell r="F892"/>
          <cell r="G892"/>
          <cell r="H892"/>
          <cell r="I892"/>
          <cell r="J892"/>
          <cell r="L892"/>
        </row>
        <row r="893">
          <cell r="A893"/>
          <cell r="D893"/>
          <cell r="E893"/>
          <cell r="F893"/>
          <cell r="G893"/>
          <cell r="H893"/>
          <cell r="I893"/>
          <cell r="J893"/>
          <cell r="L893"/>
        </row>
        <row r="894">
          <cell r="A894"/>
          <cell r="D894"/>
          <cell r="E894"/>
          <cell r="F894"/>
          <cell r="G894"/>
          <cell r="H894"/>
          <cell r="I894"/>
          <cell r="J894"/>
          <cell r="L894"/>
        </row>
        <row r="895">
          <cell r="A895"/>
          <cell r="D895"/>
          <cell r="E895"/>
          <cell r="F895"/>
          <cell r="G895"/>
          <cell r="H895"/>
          <cell r="I895"/>
          <cell r="J895"/>
          <cell r="L895"/>
        </row>
        <row r="896">
          <cell r="A896"/>
          <cell r="D896"/>
          <cell r="E896"/>
          <cell r="F896"/>
          <cell r="G896"/>
          <cell r="H896"/>
          <cell r="I896"/>
          <cell r="J896"/>
          <cell r="L896"/>
        </row>
        <row r="897">
          <cell r="A897"/>
          <cell r="D897"/>
          <cell r="E897"/>
          <cell r="F897"/>
          <cell r="G897"/>
          <cell r="H897"/>
          <cell r="I897"/>
          <cell r="J897"/>
          <cell r="L897"/>
        </row>
        <row r="898">
          <cell r="A898"/>
          <cell r="D898"/>
          <cell r="E898"/>
          <cell r="F898"/>
          <cell r="G898"/>
          <cell r="H898"/>
          <cell r="I898"/>
          <cell r="J898"/>
          <cell r="L898"/>
        </row>
        <row r="899">
          <cell r="A899"/>
          <cell r="D899"/>
          <cell r="E899"/>
          <cell r="F899"/>
          <cell r="G899"/>
          <cell r="H899"/>
          <cell r="I899"/>
          <cell r="J899"/>
          <cell r="L899"/>
        </row>
        <row r="900">
          <cell r="A900"/>
          <cell r="D900"/>
          <cell r="E900"/>
          <cell r="F900"/>
          <cell r="G900"/>
          <cell r="H900"/>
          <cell r="I900"/>
          <cell r="J900"/>
          <cell r="L900"/>
        </row>
        <row r="901">
          <cell r="A901"/>
          <cell r="D901"/>
          <cell r="E901"/>
          <cell r="F901"/>
          <cell r="G901"/>
          <cell r="H901"/>
          <cell r="I901"/>
          <cell r="J901"/>
          <cell r="L901"/>
        </row>
        <row r="902">
          <cell r="A902"/>
          <cell r="D902"/>
          <cell r="E902"/>
          <cell r="F902"/>
          <cell r="G902"/>
          <cell r="H902"/>
          <cell r="I902"/>
          <cell r="J902"/>
          <cell r="L902"/>
        </row>
        <row r="903">
          <cell r="A903"/>
          <cell r="D903"/>
          <cell r="E903"/>
          <cell r="F903"/>
          <cell r="G903"/>
          <cell r="H903"/>
          <cell r="I903"/>
          <cell r="J903"/>
          <cell r="L903"/>
        </row>
        <row r="904">
          <cell r="A904"/>
          <cell r="D904"/>
          <cell r="E904"/>
          <cell r="F904"/>
          <cell r="G904"/>
          <cell r="H904"/>
          <cell r="I904"/>
          <cell r="J904"/>
          <cell r="L904"/>
        </row>
        <row r="905">
          <cell r="A905"/>
          <cell r="D905"/>
          <cell r="E905"/>
          <cell r="F905"/>
          <cell r="G905"/>
          <cell r="H905"/>
          <cell r="I905"/>
          <cell r="J905"/>
          <cell r="L905"/>
        </row>
        <row r="906">
          <cell r="A906"/>
          <cell r="D906"/>
          <cell r="E906"/>
          <cell r="F906"/>
          <cell r="G906"/>
          <cell r="H906"/>
          <cell r="I906"/>
          <cell r="J906"/>
          <cell r="L906"/>
        </row>
        <row r="907">
          <cell r="A907"/>
          <cell r="D907"/>
          <cell r="E907"/>
          <cell r="F907"/>
          <cell r="G907"/>
          <cell r="H907"/>
          <cell r="I907"/>
          <cell r="J907"/>
          <cell r="L907"/>
        </row>
        <row r="908">
          <cell r="A908"/>
          <cell r="D908"/>
          <cell r="E908"/>
          <cell r="F908"/>
          <cell r="G908"/>
          <cell r="H908"/>
          <cell r="I908"/>
          <cell r="J908"/>
          <cell r="L908"/>
        </row>
        <row r="909">
          <cell r="A909"/>
          <cell r="D909"/>
          <cell r="E909"/>
          <cell r="F909"/>
          <cell r="G909"/>
          <cell r="H909"/>
          <cell r="I909"/>
          <cell r="J909"/>
          <cell r="L909"/>
        </row>
        <row r="910">
          <cell r="A910"/>
          <cell r="D910"/>
          <cell r="E910"/>
          <cell r="F910"/>
          <cell r="G910"/>
          <cell r="H910"/>
          <cell r="I910"/>
          <cell r="J910"/>
          <cell r="L910"/>
        </row>
        <row r="911">
          <cell r="A911"/>
          <cell r="D911"/>
          <cell r="E911"/>
          <cell r="F911"/>
          <cell r="G911"/>
          <cell r="H911"/>
          <cell r="I911"/>
          <cell r="J911"/>
          <cell r="L911"/>
        </row>
        <row r="912">
          <cell r="A912"/>
          <cell r="D912"/>
          <cell r="E912"/>
          <cell r="F912"/>
          <cell r="G912"/>
          <cell r="H912"/>
          <cell r="I912"/>
          <cell r="J912"/>
          <cell r="L912"/>
        </row>
        <row r="913">
          <cell r="A913"/>
          <cell r="D913"/>
          <cell r="E913"/>
          <cell r="F913"/>
          <cell r="G913"/>
          <cell r="H913"/>
          <cell r="I913"/>
          <cell r="J913"/>
          <cell r="L913"/>
        </row>
        <row r="914">
          <cell r="A914"/>
          <cell r="D914"/>
          <cell r="E914"/>
          <cell r="F914"/>
          <cell r="G914"/>
          <cell r="H914"/>
          <cell r="I914"/>
          <cell r="J914"/>
          <cell r="L914"/>
        </row>
        <row r="915">
          <cell r="A915"/>
          <cell r="D915"/>
          <cell r="E915"/>
          <cell r="F915"/>
          <cell r="G915"/>
          <cell r="H915"/>
          <cell r="I915"/>
          <cell r="J915"/>
          <cell r="L915"/>
        </row>
        <row r="916">
          <cell r="A916"/>
          <cell r="D916"/>
          <cell r="E916"/>
          <cell r="F916"/>
          <cell r="G916"/>
          <cell r="H916"/>
          <cell r="I916"/>
          <cell r="J916"/>
          <cell r="L916"/>
        </row>
        <row r="917">
          <cell r="A917"/>
          <cell r="D917"/>
          <cell r="E917"/>
          <cell r="F917"/>
          <cell r="G917"/>
          <cell r="H917"/>
          <cell r="I917"/>
          <cell r="J917"/>
          <cell r="L917"/>
        </row>
        <row r="918">
          <cell r="A918"/>
          <cell r="D918"/>
          <cell r="E918"/>
          <cell r="F918"/>
          <cell r="G918"/>
          <cell r="H918"/>
          <cell r="I918"/>
          <cell r="J918"/>
          <cell r="L918"/>
        </row>
        <row r="919">
          <cell r="A919"/>
          <cell r="D919"/>
          <cell r="E919"/>
          <cell r="F919"/>
          <cell r="G919"/>
          <cell r="H919"/>
          <cell r="I919"/>
          <cell r="J919"/>
          <cell r="L919"/>
        </row>
        <row r="920">
          <cell r="A920"/>
          <cell r="D920"/>
          <cell r="E920"/>
          <cell r="F920"/>
          <cell r="G920"/>
          <cell r="H920"/>
          <cell r="I920"/>
          <cell r="J920"/>
          <cell r="L920"/>
        </row>
        <row r="921">
          <cell r="A921"/>
          <cell r="D921"/>
          <cell r="E921"/>
          <cell r="F921"/>
          <cell r="G921"/>
          <cell r="H921"/>
          <cell r="I921"/>
          <cell r="J921"/>
          <cell r="L921"/>
        </row>
        <row r="922">
          <cell r="A922"/>
          <cell r="D922"/>
          <cell r="E922"/>
          <cell r="F922"/>
          <cell r="G922"/>
          <cell r="H922"/>
          <cell r="I922"/>
          <cell r="J922"/>
          <cell r="L922"/>
        </row>
        <row r="923">
          <cell r="A923"/>
          <cell r="D923"/>
          <cell r="E923"/>
          <cell r="F923"/>
          <cell r="G923"/>
          <cell r="H923"/>
          <cell r="I923"/>
          <cell r="J923"/>
          <cell r="L923"/>
        </row>
        <row r="924">
          <cell r="A924"/>
          <cell r="D924"/>
          <cell r="E924"/>
          <cell r="F924"/>
          <cell r="G924"/>
          <cell r="H924"/>
          <cell r="I924"/>
          <cell r="J924"/>
          <cell r="L924"/>
        </row>
        <row r="925">
          <cell r="A925"/>
          <cell r="D925"/>
          <cell r="E925"/>
          <cell r="F925"/>
          <cell r="G925"/>
          <cell r="H925"/>
          <cell r="I925"/>
          <cell r="J925"/>
          <cell r="L925"/>
        </row>
        <row r="926">
          <cell r="A926"/>
          <cell r="D926"/>
          <cell r="E926"/>
          <cell r="F926"/>
          <cell r="G926"/>
          <cell r="H926"/>
          <cell r="I926"/>
          <cell r="J926"/>
          <cell r="L926"/>
        </row>
        <row r="927">
          <cell r="A927"/>
          <cell r="D927"/>
          <cell r="E927"/>
          <cell r="F927"/>
          <cell r="G927"/>
          <cell r="H927"/>
          <cell r="I927"/>
          <cell r="J927"/>
          <cell r="L927"/>
        </row>
        <row r="928">
          <cell r="A928"/>
          <cell r="D928"/>
          <cell r="E928"/>
          <cell r="F928"/>
          <cell r="G928"/>
          <cell r="H928"/>
          <cell r="I928"/>
          <cell r="J928"/>
          <cell r="L928"/>
        </row>
        <row r="929">
          <cell r="A929"/>
          <cell r="D929"/>
          <cell r="E929"/>
          <cell r="F929"/>
          <cell r="G929"/>
          <cell r="H929"/>
          <cell r="I929"/>
          <cell r="J929"/>
          <cell r="L929"/>
        </row>
        <row r="930">
          <cell r="A930"/>
          <cell r="D930"/>
          <cell r="E930"/>
          <cell r="F930"/>
          <cell r="G930"/>
          <cell r="H930"/>
          <cell r="I930"/>
          <cell r="J930"/>
          <cell r="L930"/>
        </row>
        <row r="931">
          <cell r="A931"/>
          <cell r="D931"/>
          <cell r="E931"/>
          <cell r="F931"/>
          <cell r="G931"/>
          <cell r="H931"/>
          <cell r="I931"/>
          <cell r="J931"/>
          <cell r="L931"/>
        </row>
        <row r="932">
          <cell r="A932"/>
          <cell r="D932"/>
          <cell r="E932"/>
          <cell r="F932"/>
          <cell r="G932"/>
          <cell r="H932"/>
          <cell r="I932"/>
          <cell r="J932"/>
          <cell r="L932"/>
        </row>
        <row r="933">
          <cell r="A933"/>
          <cell r="D933"/>
          <cell r="E933"/>
          <cell r="F933"/>
          <cell r="G933"/>
          <cell r="H933"/>
          <cell r="I933"/>
          <cell r="J933"/>
          <cell r="L933"/>
        </row>
        <row r="934">
          <cell r="A934"/>
          <cell r="D934"/>
          <cell r="E934"/>
          <cell r="F934"/>
          <cell r="G934"/>
          <cell r="H934"/>
          <cell r="I934"/>
          <cell r="J934"/>
          <cell r="L934"/>
        </row>
        <row r="935">
          <cell r="A935"/>
          <cell r="D935"/>
          <cell r="E935"/>
          <cell r="F935"/>
          <cell r="G935"/>
          <cell r="H935"/>
          <cell r="I935"/>
          <cell r="J935"/>
          <cell r="L935"/>
        </row>
        <row r="936">
          <cell r="A936"/>
          <cell r="D936"/>
          <cell r="E936"/>
          <cell r="F936"/>
          <cell r="G936"/>
          <cell r="H936"/>
          <cell r="I936"/>
          <cell r="J936"/>
          <cell r="L936"/>
        </row>
        <row r="937">
          <cell r="A937"/>
          <cell r="D937"/>
          <cell r="E937"/>
          <cell r="F937"/>
          <cell r="G937"/>
          <cell r="H937"/>
          <cell r="I937"/>
          <cell r="J937"/>
          <cell r="L937"/>
        </row>
        <row r="938">
          <cell r="A938"/>
          <cell r="D938"/>
          <cell r="E938"/>
          <cell r="F938"/>
          <cell r="G938"/>
          <cell r="H938"/>
          <cell r="I938"/>
          <cell r="J938"/>
          <cell r="L938"/>
        </row>
        <row r="939">
          <cell r="A939"/>
          <cell r="D939"/>
          <cell r="E939"/>
          <cell r="F939"/>
          <cell r="G939"/>
          <cell r="H939"/>
          <cell r="I939"/>
          <cell r="J939"/>
          <cell r="L939"/>
        </row>
        <row r="940">
          <cell r="A940"/>
          <cell r="D940"/>
          <cell r="E940"/>
          <cell r="F940"/>
          <cell r="G940"/>
          <cell r="H940"/>
          <cell r="I940"/>
          <cell r="J940"/>
          <cell r="L940"/>
        </row>
        <row r="941">
          <cell r="A941"/>
          <cell r="D941"/>
          <cell r="E941"/>
          <cell r="F941"/>
          <cell r="G941"/>
          <cell r="H941"/>
          <cell r="I941"/>
          <cell r="J941"/>
          <cell r="L941"/>
        </row>
        <row r="942">
          <cell r="A942"/>
          <cell r="D942"/>
          <cell r="E942"/>
          <cell r="F942"/>
          <cell r="G942"/>
          <cell r="H942"/>
          <cell r="I942"/>
          <cell r="J942"/>
          <cell r="L942"/>
        </row>
        <row r="943">
          <cell r="A943"/>
          <cell r="D943"/>
          <cell r="E943"/>
          <cell r="F943"/>
          <cell r="G943"/>
          <cell r="H943"/>
          <cell r="I943"/>
          <cell r="J943"/>
          <cell r="L943"/>
        </row>
        <row r="944">
          <cell r="A944"/>
          <cell r="D944"/>
          <cell r="E944"/>
          <cell r="F944"/>
          <cell r="G944"/>
          <cell r="H944"/>
          <cell r="I944"/>
          <cell r="J944"/>
          <cell r="L944"/>
        </row>
        <row r="945">
          <cell r="A945"/>
          <cell r="D945"/>
          <cell r="E945"/>
          <cell r="F945"/>
          <cell r="G945"/>
          <cell r="H945"/>
          <cell r="I945"/>
          <cell r="J945"/>
          <cell r="L945"/>
        </row>
        <row r="946">
          <cell r="A946"/>
          <cell r="D946"/>
          <cell r="E946"/>
          <cell r="F946"/>
          <cell r="G946"/>
          <cell r="H946"/>
          <cell r="I946"/>
          <cell r="J946"/>
          <cell r="L946"/>
        </row>
        <row r="947">
          <cell r="A947"/>
          <cell r="D947"/>
          <cell r="E947"/>
          <cell r="F947"/>
          <cell r="G947"/>
          <cell r="H947"/>
          <cell r="I947"/>
          <cell r="J947"/>
          <cell r="L947"/>
        </row>
        <row r="948">
          <cell r="A948"/>
          <cell r="D948"/>
          <cell r="E948"/>
          <cell r="F948"/>
          <cell r="G948"/>
          <cell r="H948"/>
          <cell r="I948"/>
          <cell r="J948"/>
          <cell r="L948"/>
        </row>
        <row r="949">
          <cell r="A949"/>
          <cell r="D949"/>
          <cell r="E949"/>
          <cell r="F949"/>
          <cell r="G949"/>
          <cell r="H949"/>
          <cell r="I949"/>
          <cell r="J949"/>
          <cell r="L949"/>
        </row>
        <row r="950">
          <cell r="A950"/>
          <cell r="D950"/>
          <cell r="E950"/>
          <cell r="F950"/>
          <cell r="G950"/>
          <cell r="H950"/>
          <cell r="I950"/>
          <cell r="J950"/>
          <cell r="L950"/>
        </row>
        <row r="951">
          <cell r="A951"/>
          <cell r="D951"/>
          <cell r="E951"/>
          <cell r="F951"/>
          <cell r="G951"/>
          <cell r="H951"/>
          <cell r="I951"/>
          <cell r="J951"/>
          <cell r="L951"/>
        </row>
        <row r="952">
          <cell r="A952"/>
          <cell r="D952"/>
          <cell r="E952"/>
          <cell r="F952"/>
          <cell r="G952"/>
          <cell r="H952"/>
          <cell r="I952"/>
          <cell r="J952"/>
          <cell r="L952"/>
        </row>
        <row r="953">
          <cell r="A953"/>
          <cell r="D953"/>
          <cell r="E953"/>
          <cell r="F953"/>
          <cell r="G953"/>
          <cell r="H953"/>
          <cell r="I953"/>
          <cell r="J953"/>
          <cell r="L953"/>
        </row>
        <row r="954">
          <cell r="A954"/>
          <cell r="D954"/>
          <cell r="E954"/>
          <cell r="F954"/>
          <cell r="G954"/>
          <cell r="H954"/>
          <cell r="I954"/>
          <cell r="J954"/>
          <cell r="L954"/>
        </row>
        <row r="955">
          <cell r="A955"/>
          <cell r="D955"/>
          <cell r="E955"/>
          <cell r="F955"/>
          <cell r="G955"/>
          <cell r="H955"/>
          <cell r="I955"/>
          <cell r="J955"/>
          <cell r="L955"/>
        </row>
        <row r="956">
          <cell r="A956"/>
          <cell r="D956"/>
          <cell r="E956"/>
          <cell r="F956"/>
          <cell r="G956"/>
          <cell r="H956"/>
          <cell r="I956"/>
          <cell r="J956"/>
          <cell r="L956"/>
        </row>
        <row r="957">
          <cell r="A957"/>
          <cell r="D957"/>
          <cell r="E957"/>
          <cell r="F957"/>
          <cell r="G957"/>
          <cell r="H957"/>
          <cell r="I957"/>
          <cell r="J957"/>
          <cell r="L957"/>
        </row>
        <row r="958">
          <cell r="A958"/>
          <cell r="D958"/>
          <cell r="E958"/>
          <cell r="F958"/>
          <cell r="G958"/>
          <cell r="H958"/>
          <cell r="I958"/>
          <cell r="J958"/>
          <cell r="L958"/>
        </row>
        <row r="959">
          <cell r="A959"/>
          <cell r="D959"/>
          <cell r="E959"/>
          <cell r="F959"/>
          <cell r="G959"/>
          <cell r="H959"/>
          <cell r="I959"/>
          <cell r="J959"/>
          <cell r="L959"/>
        </row>
        <row r="960">
          <cell r="A960"/>
          <cell r="D960"/>
          <cell r="E960"/>
          <cell r="F960"/>
          <cell r="G960"/>
          <cell r="H960"/>
          <cell r="I960"/>
          <cell r="J960"/>
          <cell r="L960"/>
        </row>
        <row r="961">
          <cell r="A961"/>
          <cell r="D961"/>
          <cell r="E961"/>
          <cell r="F961"/>
          <cell r="G961"/>
          <cell r="H961"/>
          <cell r="I961"/>
          <cell r="J961"/>
          <cell r="L961"/>
        </row>
        <row r="962">
          <cell r="A962"/>
          <cell r="D962"/>
          <cell r="E962"/>
          <cell r="F962"/>
          <cell r="G962"/>
          <cell r="H962"/>
          <cell r="I962"/>
          <cell r="J962"/>
          <cell r="L962"/>
        </row>
        <row r="963">
          <cell r="A963"/>
          <cell r="D963"/>
          <cell r="E963"/>
          <cell r="F963"/>
          <cell r="G963"/>
          <cell r="H963"/>
          <cell r="I963"/>
          <cell r="J963"/>
          <cell r="L963"/>
        </row>
        <row r="964">
          <cell r="A964"/>
          <cell r="D964"/>
          <cell r="E964"/>
          <cell r="F964"/>
          <cell r="G964"/>
          <cell r="H964"/>
          <cell r="I964"/>
          <cell r="J964"/>
          <cell r="L964"/>
        </row>
        <row r="965">
          <cell r="A965"/>
          <cell r="D965"/>
          <cell r="E965"/>
          <cell r="F965"/>
          <cell r="G965"/>
          <cell r="H965"/>
          <cell r="I965"/>
          <cell r="J965"/>
          <cell r="L965"/>
        </row>
        <row r="966">
          <cell r="A966"/>
          <cell r="D966"/>
          <cell r="E966"/>
          <cell r="F966"/>
          <cell r="G966"/>
          <cell r="H966"/>
          <cell r="I966"/>
          <cell r="J966"/>
          <cell r="L966"/>
        </row>
        <row r="967">
          <cell r="A967"/>
          <cell r="D967"/>
          <cell r="E967"/>
          <cell r="F967"/>
          <cell r="G967"/>
          <cell r="H967"/>
          <cell r="I967"/>
          <cell r="J967"/>
          <cell r="L967"/>
        </row>
        <row r="968">
          <cell r="A968"/>
          <cell r="D968"/>
          <cell r="E968"/>
          <cell r="F968"/>
          <cell r="G968"/>
          <cell r="H968"/>
          <cell r="I968"/>
          <cell r="J968"/>
          <cell r="L968"/>
        </row>
        <row r="969">
          <cell r="A969"/>
          <cell r="D969"/>
          <cell r="E969"/>
          <cell r="F969"/>
          <cell r="G969"/>
          <cell r="H969"/>
          <cell r="I969"/>
          <cell r="J969"/>
          <cell r="L969"/>
        </row>
        <row r="970">
          <cell r="A970"/>
          <cell r="D970"/>
          <cell r="E970"/>
          <cell r="F970"/>
          <cell r="G970"/>
          <cell r="H970"/>
          <cell r="I970"/>
          <cell r="J970"/>
          <cell r="L970"/>
        </row>
        <row r="971">
          <cell r="A971"/>
          <cell r="D971"/>
          <cell r="E971"/>
          <cell r="F971"/>
          <cell r="G971"/>
          <cell r="H971"/>
          <cell r="I971"/>
          <cell r="J971"/>
          <cell r="L971"/>
        </row>
        <row r="972">
          <cell r="A972"/>
          <cell r="D972"/>
          <cell r="E972"/>
          <cell r="F972"/>
          <cell r="G972"/>
          <cell r="H972"/>
          <cell r="I972"/>
          <cell r="J972"/>
          <cell r="L972"/>
        </row>
        <row r="973">
          <cell r="A973"/>
          <cell r="D973"/>
          <cell r="E973"/>
          <cell r="F973"/>
          <cell r="G973"/>
          <cell r="H973"/>
          <cell r="I973"/>
          <cell r="J973"/>
          <cell r="L973"/>
        </row>
        <row r="974">
          <cell r="A974"/>
          <cell r="D974"/>
          <cell r="E974"/>
          <cell r="F974"/>
          <cell r="G974"/>
          <cell r="H974"/>
          <cell r="I974"/>
          <cell r="J974"/>
          <cell r="L974"/>
        </row>
        <row r="975">
          <cell r="A975"/>
          <cell r="D975"/>
          <cell r="E975"/>
          <cell r="F975"/>
          <cell r="G975"/>
          <cell r="H975"/>
          <cell r="I975"/>
          <cell r="J975"/>
          <cell r="L975"/>
        </row>
        <row r="976">
          <cell r="A976"/>
          <cell r="D976"/>
          <cell r="E976"/>
          <cell r="F976"/>
          <cell r="G976"/>
          <cell r="H976"/>
          <cell r="I976"/>
          <cell r="J976"/>
          <cell r="L976"/>
        </row>
        <row r="977">
          <cell r="A977"/>
          <cell r="D977"/>
          <cell r="E977"/>
          <cell r="F977"/>
          <cell r="G977"/>
          <cell r="H977"/>
          <cell r="I977"/>
          <cell r="J977"/>
          <cell r="L977"/>
        </row>
        <row r="978">
          <cell r="A978"/>
          <cell r="D978"/>
          <cell r="E978"/>
          <cell r="F978"/>
          <cell r="G978"/>
          <cell r="H978"/>
          <cell r="I978"/>
          <cell r="J978"/>
          <cell r="L978"/>
        </row>
        <row r="979">
          <cell r="A979"/>
          <cell r="D979"/>
          <cell r="E979"/>
          <cell r="F979"/>
          <cell r="G979"/>
          <cell r="H979"/>
          <cell r="I979"/>
          <cell r="J979"/>
          <cell r="L979"/>
        </row>
        <row r="980">
          <cell r="A980"/>
          <cell r="D980"/>
          <cell r="E980"/>
          <cell r="F980"/>
          <cell r="G980"/>
          <cell r="H980"/>
          <cell r="I980"/>
          <cell r="J980"/>
          <cell r="L980"/>
        </row>
        <row r="981">
          <cell r="A981"/>
          <cell r="D981"/>
          <cell r="E981"/>
          <cell r="F981"/>
          <cell r="G981"/>
          <cell r="H981"/>
          <cell r="I981"/>
          <cell r="J981"/>
          <cell r="L981"/>
        </row>
        <row r="982">
          <cell r="A982"/>
          <cell r="D982"/>
          <cell r="E982"/>
          <cell r="F982"/>
          <cell r="G982"/>
          <cell r="H982"/>
          <cell r="I982"/>
          <cell r="J982"/>
          <cell r="L982"/>
        </row>
        <row r="983">
          <cell r="A983"/>
          <cell r="D983"/>
          <cell r="E983"/>
          <cell r="F983"/>
          <cell r="G983"/>
          <cell r="H983"/>
          <cell r="I983"/>
          <cell r="J983"/>
          <cell r="L983"/>
        </row>
        <row r="984">
          <cell r="A984"/>
          <cell r="D984"/>
          <cell r="E984"/>
          <cell r="F984"/>
          <cell r="G984"/>
          <cell r="H984"/>
          <cell r="I984"/>
          <cell r="J984"/>
          <cell r="L984"/>
        </row>
        <row r="985">
          <cell r="A985"/>
          <cell r="D985"/>
          <cell r="E985"/>
          <cell r="F985"/>
          <cell r="G985"/>
          <cell r="H985"/>
          <cell r="I985"/>
          <cell r="J985"/>
          <cell r="L985"/>
        </row>
        <row r="986">
          <cell r="A986"/>
          <cell r="D986"/>
          <cell r="E986"/>
          <cell r="F986"/>
          <cell r="G986"/>
          <cell r="H986"/>
          <cell r="I986"/>
          <cell r="J986"/>
          <cell r="L986"/>
        </row>
        <row r="987">
          <cell r="A987"/>
          <cell r="D987"/>
          <cell r="E987"/>
          <cell r="F987"/>
          <cell r="G987"/>
          <cell r="H987"/>
          <cell r="I987"/>
          <cell r="J987"/>
          <cell r="L987"/>
        </row>
        <row r="988">
          <cell r="A988"/>
          <cell r="D988"/>
          <cell r="E988"/>
          <cell r="F988"/>
          <cell r="G988"/>
          <cell r="H988"/>
          <cell r="I988"/>
          <cell r="J988"/>
          <cell r="L988"/>
        </row>
        <row r="989">
          <cell r="A989"/>
          <cell r="D989"/>
          <cell r="E989"/>
          <cell r="F989"/>
          <cell r="G989"/>
          <cell r="H989"/>
          <cell r="I989"/>
          <cell r="J989"/>
          <cell r="L989"/>
        </row>
        <row r="990">
          <cell r="A990"/>
          <cell r="D990"/>
          <cell r="E990"/>
          <cell r="F990"/>
          <cell r="G990"/>
          <cell r="H990"/>
          <cell r="I990"/>
          <cell r="J990"/>
          <cell r="L990"/>
        </row>
        <row r="991">
          <cell r="A991"/>
          <cell r="D991"/>
          <cell r="E991"/>
          <cell r="F991"/>
          <cell r="G991"/>
          <cell r="H991"/>
          <cell r="I991"/>
          <cell r="J991"/>
          <cell r="L991"/>
        </row>
        <row r="992">
          <cell r="A992"/>
          <cell r="D992"/>
          <cell r="E992"/>
          <cell r="F992"/>
          <cell r="G992"/>
          <cell r="H992"/>
          <cell r="I992"/>
          <cell r="J992"/>
          <cell r="L992"/>
        </row>
        <row r="993">
          <cell r="A993"/>
          <cell r="D993"/>
          <cell r="E993"/>
          <cell r="F993"/>
          <cell r="G993"/>
          <cell r="H993"/>
          <cell r="I993"/>
          <cell r="J993"/>
          <cell r="L993"/>
        </row>
        <row r="994">
          <cell r="A994"/>
          <cell r="D994"/>
          <cell r="E994"/>
          <cell r="F994"/>
          <cell r="G994"/>
          <cell r="H994"/>
          <cell r="I994"/>
          <cell r="J994"/>
          <cell r="L994"/>
        </row>
        <row r="995">
          <cell r="A995"/>
          <cell r="D995"/>
          <cell r="E995"/>
          <cell r="F995"/>
          <cell r="G995"/>
          <cell r="H995"/>
          <cell r="I995"/>
          <cell r="J995"/>
          <cell r="L995"/>
        </row>
        <row r="996">
          <cell r="A996"/>
          <cell r="D996"/>
          <cell r="E996"/>
          <cell r="F996"/>
          <cell r="G996"/>
          <cell r="H996"/>
          <cell r="I996"/>
          <cell r="J996"/>
          <cell r="L996"/>
        </row>
        <row r="997">
          <cell r="A997"/>
          <cell r="D997"/>
          <cell r="E997"/>
          <cell r="F997"/>
          <cell r="G997"/>
          <cell r="H997"/>
          <cell r="I997"/>
          <cell r="J997"/>
          <cell r="L997"/>
        </row>
        <row r="998">
          <cell r="A998"/>
          <cell r="D998"/>
          <cell r="E998"/>
          <cell r="F998"/>
          <cell r="G998"/>
          <cell r="H998"/>
          <cell r="I998"/>
          <cell r="J998"/>
          <cell r="L998"/>
        </row>
        <row r="999">
          <cell r="A999"/>
          <cell r="D999"/>
          <cell r="E999"/>
          <cell r="F999"/>
          <cell r="G999"/>
          <cell r="H999"/>
          <cell r="I999"/>
          <cell r="J999"/>
          <cell r="L999"/>
        </row>
        <row r="1000">
          <cell r="A1000"/>
          <cell r="D1000"/>
          <cell r="E1000"/>
          <cell r="F1000"/>
          <cell r="G1000"/>
          <cell r="H1000"/>
          <cell r="I1000"/>
          <cell r="J1000"/>
          <cell r="L1000"/>
        </row>
        <row r="1001">
          <cell r="A1001"/>
          <cell r="D1001"/>
          <cell r="E1001"/>
          <cell r="F1001"/>
          <cell r="G1001"/>
          <cell r="H1001"/>
          <cell r="I1001"/>
          <cell r="J1001"/>
          <cell r="L1001"/>
        </row>
        <row r="1002">
          <cell r="A1002"/>
          <cell r="D1002"/>
          <cell r="E1002"/>
          <cell r="F1002"/>
          <cell r="G1002"/>
          <cell r="H1002"/>
          <cell r="I1002"/>
          <cell r="J1002"/>
          <cell r="L1002"/>
        </row>
        <row r="1003">
          <cell r="A1003"/>
          <cell r="D1003"/>
          <cell r="E1003"/>
          <cell r="F1003"/>
          <cell r="G1003"/>
          <cell r="H1003"/>
          <cell r="I1003"/>
          <cell r="J1003"/>
          <cell r="L1003"/>
        </row>
        <row r="1004">
          <cell r="A1004"/>
          <cell r="D1004"/>
          <cell r="E1004"/>
          <cell r="F1004"/>
          <cell r="G1004"/>
          <cell r="H1004"/>
          <cell r="I1004"/>
          <cell r="J1004"/>
          <cell r="L1004"/>
        </row>
        <row r="1005">
          <cell r="A1005"/>
          <cell r="D1005"/>
          <cell r="E1005"/>
          <cell r="F1005"/>
          <cell r="G1005"/>
          <cell r="H1005"/>
          <cell r="I1005"/>
          <cell r="J1005"/>
          <cell r="L1005"/>
        </row>
        <row r="1006">
          <cell r="A1006"/>
          <cell r="D1006"/>
          <cell r="E1006"/>
          <cell r="F1006"/>
          <cell r="G1006"/>
          <cell r="H1006"/>
          <cell r="I1006"/>
          <cell r="J1006"/>
          <cell r="L1006"/>
        </row>
        <row r="1007">
          <cell r="A1007"/>
          <cell r="D1007"/>
          <cell r="E1007"/>
          <cell r="F1007"/>
          <cell r="G1007"/>
          <cell r="H1007"/>
          <cell r="I1007"/>
          <cell r="J1007"/>
          <cell r="L1007"/>
        </row>
        <row r="1008">
          <cell r="A1008"/>
          <cell r="D1008"/>
          <cell r="E1008"/>
          <cell r="F1008"/>
          <cell r="G1008"/>
          <cell r="H1008"/>
          <cell r="I1008"/>
          <cell r="J1008"/>
          <cell r="L1008"/>
        </row>
        <row r="1009">
          <cell r="A1009"/>
          <cell r="D1009"/>
          <cell r="E1009"/>
          <cell r="F1009"/>
          <cell r="G1009"/>
          <cell r="H1009"/>
          <cell r="I1009"/>
          <cell r="J1009"/>
          <cell r="L1009"/>
        </row>
        <row r="1010">
          <cell r="A1010"/>
          <cell r="D1010"/>
          <cell r="E1010"/>
          <cell r="F1010"/>
          <cell r="G1010"/>
          <cell r="H1010"/>
          <cell r="I1010"/>
          <cell r="J1010"/>
          <cell r="L1010"/>
        </row>
        <row r="1011">
          <cell r="A1011"/>
          <cell r="D1011"/>
          <cell r="E1011"/>
          <cell r="F1011"/>
          <cell r="G1011"/>
          <cell r="H1011"/>
          <cell r="I1011"/>
          <cell r="J1011"/>
          <cell r="L1011"/>
        </row>
        <row r="1012">
          <cell r="A1012"/>
          <cell r="D1012"/>
          <cell r="E1012"/>
          <cell r="F1012"/>
          <cell r="G1012"/>
          <cell r="H1012"/>
          <cell r="I1012"/>
          <cell r="J1012"/>
          <cell r="L1012"/>
        </row>
        <row r="1013">
          <cell r="A1013"/>
          <cell r="D1013"/>
          <cell r="E1013"/>
          <cell r="F1013"/>
          <cell r="G1013"/>
          <cell r="H1013"/>
          <cell r="I1013"/>
          <cell r="J1013"/>
          <cell r="L1013"/>
        </row>
        <row r="1014">
          <cell r="A1014"/>
          <cell r="D1014"/>
          <cell r="E1014"/>
          <cell r="F1014"/>
          <cell r="G1014"/>
          <cell r="H1014"/>
          <cell r="I1014"/>
          <cell r="J1014"/>
          <cell r="L1014"/>
        </row>
        <row r="1015">
          <cell r="A1015"/>
          <cell r="D1015"/>
          <cell r="E1015"/>
          <cell r="F1015"/>
          <cell r="G1015"/>
          <cell r="H1015"/>
          <cell r="I1015"/>
          <cell r="J1015"/>
          <cell r="L1015"/>
        </row>
        <row r="1016">
          <cell r="A1016"/>
          <cell r="D1016"/>
          <cell r="E1016"/>
          <cell r="F1016"/>
          <cell r="G1016"/>
          <cell r="H1016"/>
          <cell r="I1016"/>
          <cell r="J1016"/>
          <cell r="L1016"/>
        </row>
        <row r="1017">
          <cell r="A1017"/>
          <cell r="D1017"/>
          <cell r="E1017"/>
          <cell r="F1017"/>
          <cell r="G1017"/>
          <cell r="H1017"/>
          <cell r="I1017"/>
          <cell r="J1017"/>
          <cell r="L1017"/>
        </row>
        <row r="1018">
          <cell r="A1018"/>
          <cell r="D1018"/>
          <cell r="E1018"/>
          <cell r="F1018"/>
          <cell r="G1018"/>
          <cell r="H1018"/>
          <cell r="I1018"/>
          <cell r="J1018"/>
          <cell r="L1018"/>
        </row>
        <row r="1019">
          <cell r="A1019"/>
          <cell r="D1019"/>
          <cell r="E1019"/>
          <cell r="F1019"/>
          <cell r="G1019"/>
          <cell r="H1019"/>
          <cell r="I1019"/>
          <cell r="J1019"/>
          <cell r="L1019"/>
        </row>
        <row r="1020">
          <cell r="A1020"/>
          <cell r="D1020"/>
          <cell r="E1020"/>
          <cell r="F1020"/>
          <cell r="G1020"/>
          <cell r="H1020"/>
          <cell r="I1020"/>
          <cell r="J1020"/>
          <cell r="L1020"/>
        </row>
        <row r="1021">
          <cell r="A1021"/>
          <cell r="D1021"/>
          <cell r="E1021"/>
          <cell r="F1021"/>
          <cell r="G1021"/>
          <cell r="H1021"/>
          <cell r="I1021"/>
          <cell r="J1021"/>
          <cell r="L1021"/>
        </row>
        <row r="1022">
          <cell r="A1022"/>
          <cell r="D1022"/>
          <cell r="E1022"/>
          <cell r="F1022"/>
          <cell r="G1022"/>
          <cell r="H1022"/>
          <cell r="I1022"/>
          <cell r="J1022"/>
          <cell r="L1022"/>
        </row>
        <row r="1023">
          <cell r="A1023"/>
          <cell r="D1023"/>
          <cell r="E1023"/>
          <cell r="F1023"/>
          <cell r="G1023"/>
          <cell r="H1023"/>
          <cell r="I1023"/>
          <cell r="J1023"/>
          <cell r="L1023"/>
        </row>
        <row r="1024">
          <cell r="A1024"/>
          <cell r="D1024"/>
          <cell r="E1024"/>
          <cell r="F1024"/>
          <cell r="G1024"/>
          <cell r="H1024"/>
          <cell r="I1024"/>
          <cell r="J1024"/>
          <cell r="L1024"/>
        </row>
        <row r="1025">
          <cell r="A1025"/>
          <cell r="D1025"/>
          <cell r="E1025"/>
          <cell r="F1025"/>
          <cell r="G1025"/>
          <cell r="H1025"/>
          <cell r="I1025"/>
          <cell r="J1025"/>
          <cell r="L1025"/>
        </row>
        <row r="1026">
          <cell r="A1026"/>
          <cell r="D1026"/>
          <cell r="E1026"/>
          <cell r="F1026"/>
          <cell r="G1026"/>
          <cell r="H1026"/>
          <cell r="I1026"/>
          <cell r="J1026"/>
          <cell r="L1026"/>
        </row>
        <row r="1027">
          <cell r="A1027"/>
          <cell r="D1027"/>
          <cell r="E1027"/>
          <cell r="F1027"/>
          <cell r="G1027"/>
          <cell r="H1027"/>
          <cell r="I1027"/>
          <cell r="J1027"/>
          <cell r="L1027"/>
        </row>
        <row r="1028">
          <cell r="A1028"/>
          <cell r="D1028"/>
          <cell r="E1028"/>
          <cell r="F1028"/>
          <cell r="G1028"/>
          <cell r="H1028"/>
          <cell r="I1028"/>
          <cell r="J1028"/>
          <cell r="L1028"/>
        </row>
        <row r="1029">
          <cell r="A1029"/>
          <cell r="D1029"/>
          <cell r="E1029"/>
          <cell r="F1029"/>
          <cell r="G1029"/>
          <cell r="H1029"/>
          <cell r="I1029"/>
          <cell r="J1029"/>
          <cell r="L1029"/>
        </row>
        <row r="1030">
          <cell r="A1030"/>
          <cell r="D1030"/>
          <cell r="E1030"/>
          <cell r="F1030"/>
          <cell r="G1030"/>
          <cell r="H1030"/>
          <cell r="I1030"/>
          <cell r="J1030"/>
          <cell r="L1030"/>
        </row>
        <row r="1031">
          <cell r="A1031"/>
          <cell r="D1031"/>
          <cell r="E1031"/>
          <cell r="F1031"/>
          <cell r="G1031"/>
          <cell r="H1031"/>
          <cell r="I1031"/>
          <cell r="J1031"/>
          <cell r="L1031"/>
        </row>
        <row r="1032">
          <cell r="A1032"/>
          <cell r="D1032"/>
          <cell r="E1032"/>
          <cell r="F1032"/>
          <cell r="G1032"/>
          <cell r="H1032"/>
          <cell r="I1032"/>
          <cell r="J1032"/>
          <cell r="L1032"/>
        </row>
        <row r="1033">
          <cell r="A1033"/>
          <cell r="D1033"/>
          <cell r="E1033"/>
          <cell r="F1033"/>
          <cell r="G1033"/>
          <cell r="H1033"/>
          <cell r="I1033"/>
          <cell r="J1033"/>
          <cell r="L1033"/>
        </row>
        <row r="1034">
          <cell r="A1034"/>
          <cell r="D1034"/>
          <cell r="E1034"/>
          <cell r="F1034"/>
          <cell r="G1034"/>
          <cell r="H1034"/>
          <cell r="I1034"/>
          <cell r="J1034"/>
          <cell r="L1034"/>
        </row>
        <row r="1035">
          <cell r="A1035"/>
          <cell r="D1035"/>
          <cell r="E1035"/>
          <cell r="F1035"/>
          <cell r="G1035"/>
          <cell r="H1035"/>
          <cell r="I1035"/>
          <cell r="J1035"/>
          <cell r="L1035"/>
        </row>
        <row r="1036">
          <cell r="A1036"/>
          <cell r="D1036"/>
          <cell r="E1036"/>
          <cell r="F1036"/>
          <cell r="G1036"/>
          <cell r="H1036"/>
          <cell r="I1036"/>
          <cell r="J1036"/>
          <cell r="L1036"/>
        </row>
        <row r="1037">
          <cell r="A1037"/>
          <cell r="D1037"/>
          <cell r="E1037"/>
          <cell r="F1037"/>
          <cell r="G1037"/>
          <cell r="H1037"/>
          <cell r="I1037"/>
          <cell r="J1037"/>
          <cell r="L1037"/>
        </row>
        <row r="1038">
          <cell r="A1038"/>
          <cell r="D1038"/>
          <cell r="E1038"/>
          <cell r="F1038"/>
          <cell r="G1038"/>
          <cell r="H1038"/>
          <cell r="I1038"/>
          <cell r="J1038"/>
          <cell r="L1038"/>
        </row>
        <row r="1039">
          <cell r="A1039"/>
          <cell r="D1039"/>
          <cell r="E1039"/>
          <cell r="F1039"/>
          <cell r="G1039"/>
          <cell r="H1039"/>
          <cell r="I1039"/>
          <cell r="J1039"/>
          <cell r="L1039"/>
        </row>
        <row r="1040">
          <cell r="A1040"/>
          <cell r="D1040"/>
          <cell r="E1040"/>
          <cell r="F1040"/>
          <cell r="G1040"/>
          <cell r="H1040"/>
          <cell r="I1040"/>
          <cell r="J1040"/>
          <cell r="L1040"/>
        </row>
        <row r="1041">
          <cell r="A1041"/>
          <cell r="D1041"/>
          <cell r="E1041"/>
          <cell r="F1041"/>
          <cell r="G1041"/>
          <cell r="H1041"/>
          <cell r="I1041"/>
          <cell r="J1041"/>
          <cell r="L1041"/>
        </row>
        <row r="1042">
          <cell r="A1042"/>
          <cell r="D1042"/>
          <cell r="E1042"/>
          <cell r="F1042"/>
          <cell r="G1042"/>
          <cell r="H1042"/>
          <cell r="I1042"/>
          <cell r="J1042"/>
          <cell r="L1042"/>
        </row>
        <row r="1043">
          <cell r="A1043"/>
          <cell r="D1043"/>
          <cell r="E1043"/>
          <cell r="F1043"/>
          <cell r="G1043"/>
          <cell r="H1043"/>
          <cell r="I1043"/>
          <cell r="J1043"/>
          <cell r="L1043"/>
        </row>
        <row r="1044">
          <cell r="A1044"/>
          <cell r="D1044"/>
          <cell r="E1044"/>
          <cell r="F1044"/>
          <cell r="G1044"/>
          <cell r="H1044"/>
          <cell r="I1044"/>
          <cell r="J1044"/>
          <cell r="L1044"/>
        </row>
        <row r="1045">
          <cell r="A1045"/>
          <cell r="D1045"/>
          <cell r="E1045"/>
          <cell r="F1045"/>
          <cell r="G1045"/>
          <cell r="H1045"/>
          <cell r="I1045"/>
          <cell r="J1045"/>
          <cell r="L1045"/>
        </row>
        <row r="1046">
          <cell r="A1046"/>
          <cell r="D1046"/>
          <cell r="E1046"/>
          <cell r="F1046"/>
          <cell r="G1046"/>
          <cell r="H1046"/>
          <cell r="I1046"/>
          <cell r="J1046"/>
          <cell r="L1046"/>
        </row>
        <row r="1047">
          <cell r="A1047"/>
          <cell r="D1047"/>
          <cell r="E1047"/>
          <cell r="F1047"/>
          <cell r="G1047"/>
          <cell r="H1047"/>
          <cell r="I1047"/>
          <cell r="J1047"/>
          <cell r="L1047"/>
        </row>
        <row r="1048">
          <cell r="A1048"/>
          <cell r="D1048"/>
          <cell r="E1048"/>
          <cell r="F1048"/>
          <cell r="G1048"/>
          <cell r="H1048"/>
          <cell r="I1048"/>
          <cell r="J1048"/>
          <cell r="L1048"/>
        </row>
        <row r="1049">
          <cell r="A1049"/>
          <cell r="D1049"/>
          <cell r="E1049"/>
          <cell r="F1049"/>
          <cell r="G1049"/>
          <cell r="H1049"/>
          <cell r="I1049"/>
          <cell r="J1049"/>
          <cell r="L1049"/>
        </row>
        <row r="1050">
          <cell r="A1050"/>
          <cell r="D1050"/>
          <cell r="E1050"/>
          <cell r="F1050"/>
          <cell r="G1050"/>
          <cell r="H1050"/>
          <cell r="I1050"/>
          <cell r="J1050"/>
          <cell r="L1050"/>
        </row>
        <row r="1051">
          <cell r="A1051"/>
          <cell r="D1051"/>
          <cell r="E1051"/>
          <cell r="F1051"/>
          <cell r="G1051"/>
          <cell r="H1051"/>
          <cell r="I1051"/>
          <cell r="J1051"/>
          <cell r="L1051"/>
        </row>
        <row r="1052">
          <cell r="A1052"/>
          <cell r="D1052"/>
          <cell r="E1052"/>
          <cell r="F1052"/>
          <cell r="G1052"/>
          <cell r="H1052"/>
          <cell r="I1052"/>
          <cell r="J1052"/>
          <cell r="L1052"/>
        </row>
        <row r="1053">
          <cell r="A1053"/>
          <cell r="D1053"/>
          <cell r="E1053"/>
          <cell r="F1053"/>
          <cell r="G1053"/>
          <cell r="H1053"/>
          <cell r="I1053"/>
          <cell r="J1053"/>
          <cell r="L1053"/>
        </row>
        <row r="1054">
          <cell r="A1054"/>
          <cell r="D1054"/>
          <cell r="E1054"/>
          <cell r="F1054"/>
          <cell r="G1054"/>
          <cell r="H1054"/>
          <cell r="I1054"/>
          <cell r="J1054"/>
          <cell r="L1054"/>
        </row>
        <row r="1055">
          <cell r="A1055"/>
          <cell r="D1055"/>
          <cell r="E1055"/>
          <cell r="F1055"/>
          <cell r="G1055"/>
          <cell r="H1055"/>
          <cell r="I1055"/>
          <cell r="J1055"/>
          <cell r="L1055"/>
        </row>
        <row r="1056">
          <cell r="A1056"/>
          <cell r="D1056"/>
          <cell r="E1056"/>
          <cell r="F1056"/>
          <cell r="G1056"/>
          <cell r="H1056"/>
          <cell r="I1056"/>
          <cell r="J1056"/>
          <cell r="L1056"/>
        </row>
        <row r="1057">
          <cell r="A1057"/>
          <cell r="D1057"/>
          <cell r="E1057"/>
          <cell r="F1057"/>
          <cell r="G1057"/>
          <cell r="H1057"/>
          <cell r="I1057"/>
          <cell r="J1057"/>
          <cell r="L1057"/>
        </row>
        <row r="1058">
          <cell r="A1058"/>
          <cell r="D1058"/>
          <cell r="E1058"/>
          <cell r="F1058"/>
          <cell r="G1058"/>
          <cell r="H1058"/>
          <cell r="I1058"/>
          <cell r="J1058"/>
          <cell r="L1058"/>
        </row>
        <row r="1059">
          <cell r="A1059"/>
          <cell r="D1059"/>
          <cell r="E1059"/>
          <cell r="F1059"/>
          <cell r="G1059"/>
          <cell r="H1059"/>
          <cell r="I1059"/>
          <cell r="J1059"/>
          <cell r="L1059"/>
        </row>
        <row r="1060">
          <cell r="A1060"/>
          <cell r="D1060"/>
          <cell r="E1060"/>
          <cell r="F1060"/>
          <cell r="G1060"/>
          <cell r="H1060"/>
          <cell r="I1060"/>
          <cell r="J1060"/>
          <cell r="L1060"/>
        </row>
        <row r="1061">
          <cell r="A1061"/>
          <cell r="D1061"/>
          <cell r="E1061"/>
          <cell r="F1061"/>
          <cell r="G1061"/>
          <cell r="H1061"/>
          <cell r="I1061"/>
          <cell r="J1061"/>
          <cell r="L1061"/>
        </row>
        <row r="1062">
          <cell r="A1062"/>
          <cell r="D1062"/>
          <cell r="E1062"/>
          <cell r="F1062"/>
          <cell r="G1062"/>
          <cell r="H1062"/>
          <cell r="I1062"/>
          <cell r="J1062"/>
          <cell r="L1062"/>
        </row>
        <row r="1063">
          <cell r="A1063"/>
          <cell r="D1063"/>
          <cell r="E1063"/>
          <cell r="F1063"/>
          <cell r="G1063"/>
          <cell r="H1063"/>
          <cell r="I1063"/>
          <cell r="J1063"/>
          <cell r="L1063"/>
        </row>
        <row r="1064">
          <cell r="A1064"/>
          <cell r="D1064"/>
          <cell r="E1064"/>
          <cell r="F1064"/>
          <cell r="G1064"/>
          <cell r="H1064"/>
          <cell r="I1064"/>
          <cell r="J1064"/>
          <cell r="L1064"/>
        </row>
        <row r="1065">
          <cell r="A1065"/>
          <cell r="D1065"/>
          <cell r="E1065"/>
          <cell r="F1065"/>
          <cell r="G1065"/>
          <cell r="H1065"/>
          <cell r="I1065"/>
          <cell r="J1065"/>
          <cell r="L1065"/>
        </row>
        <row r="1066">
          <cell r="A1066"/>
          <cell r="D1066"/>
          <cell r="E1066"/>
          <cell r="F1066"/>
          <cell r="G1066"/>
          <cell r="H1066"/>
          <cell r="I1066"/>
          <cell r="J1066"/>
          <cell r="L1066"/>
        </row>
        <row r="1067">
          <cell r="A1067"/>
          <cell r="D1067"/>
          <cell r="E1067"/>
          <cell r="F1067"/>
          <cell r="G1067"/>
          <cell r="H1067"/>
          <cell r="I1067"/>
          <cell r="J1067"/>
          <cell r="L1067"/>
        </row>
        <row r="1068">
          <cell r="A1068"/>
          <cell r="D1068"/>
          <cell r="E1068"/>
          <cell r="F1068"/>
          <cell r="G1068"/>
          <cell r="H1068"/>
          <cell r="I1068"/>
          <cell r="J1068"/>
          <cell r="L1068"/>
        </row>
        <row r="1069">
          <cell r="A1069"/>
          <cell r="D1069"/>
          <cell r="E1069"/>
          <cell r="F1069"/>
          <cell r="G1069"/>
          <cell r="H1069"/>
          <cell r="I1069"/>
          <cell r="J1069"/>
          <cell r="L1069"/>
        </row>
        <row r="1070">
          <cell r="A1070"/>
          <cell r="D1070"/>
          <cell r="E1070"/>
          <cell r="F1070"/>
          <cell r="G1070"/>
          <cell r="H1070"/>
          <cell r="I1070"/>
          <cell r="J1070"/>
          <cell r="L1070"/>
        </row>
        <row r="1071">
          <cell r="A1071"/>
          <cell r="D1071"/>
          <cell r="E1071"/>
          <cell r="F1071"/>
          <cell r="G1071"/>
          <cell r="H1071"/>
          <cell r="I1071"/>
          <cell r="J1071"/>
          <cell r="L1071"/>
        </row>
        <row r="1072">
          <cell r="A1072"/>
          <cell r="D1072"/>
          <cell r="E1072"/>
          <cell r="F1072"/>
          <cell r="G1072"/>
          <cell r="H1072"/>
          <cell r="I1072"/>
          <cell r="J1072"/>
          <cell r="L1072"/>
        </row>
        <row r="1073">
          <cell r="A1073"/>
          <cell r="D1073"/>
          <cell r="E1073"/>
          <cell r="F1073"/>
          <cell r="G1073"/>
          <cell r="H1073"/>
          <cell r="I1073"/>
          <cell r="J1073"/>
          <cell r="L1073"/>
        </row>
        <row r="1074">
          <cell r="A1074"/>
          <cell r="D1074"/>
          <cell r="E1074"/>
          <cell r="F1074"/>
          <cell r="G1074"/>
          <cell r="H1074"/>
          <cell r="I1074"/>
          <cell r="J1074"/>
          <cell r="L1074"/>
        </row>
        <row r="1075">
          <cell r="A1075"/>
          <cell r="D1075"/>
          <cell r="E1075"/>
          <cell r="F1075"/>
          <cell r="G1075"/>
          <cell r="H1075"/>
          <cell r="I1075"/>
          <cell r="J1075"/>
          <cell r="L1075"/>
        </row>
        <row r="1076">
          <cell r="A1076"/>
          <cell r="D1076"/>
          <cell r="E1076"/>
          <cell r="F1076"/>
          <cell r="G1076"/>
          <cell r="H1076"/>
          <cell r="I1076"/>
          <cell r="J1076"/>
          <cell r="L1076"/>
        </row>
        <row r="1077">
          <cell r="A1077"/>
          <cell r="D1077"/>
          <cell r="E1077"/>
          <cell r="F1077"/>
          <cell r="G1077"/>
          <cell r="H1077"/>
          <cell r="I1077"/>
          <cell r="J1077"/>
          <cell r="L1077"/>
        </row>
        <row r="1078">
          <cell r="A1078"/>
          <cell r="D1078"/>
          <cell r="E1078"/>
          <cell r="F1078"/>
          <cell r="G1078"/>
          <cell r="H1078"/>
          <cell r="I1078"/>
          <cell r="J1078"/>
          <cell r="L1078"/>
        </row>
        <row r="1079">
          <cell r="A1079"/>
          <cell r="D1079"/>
          <cell r="E1079"/>
          <cell r="F1079"/>
          <cell r="G1079"/>
          <cell r="H1079"/>
          <cell r="I1079"/>
          <cell r="J1079"/>
          <cell r="L1079"/>
        </row>
        <row r="1080">
          <cell r="A1080"/>
          <cell r="D1080"/>
          <cell r="E1080"/>
          <cell r="F1080"/>
          <cell r="G1080"/>
          <cell r="H1080"/>
          <cell r="I1080"/>
          <cell r="J1080"/>
          <cell r="L1080"/>
        </row>
        <row r="1081">
          <cell r="A1081"/>
          <cell r="D1081"/>
          <cell r="E1081"/>
          <cell r="F1081"/>
          <cell r="G1081"/>
          <cell r="H1081"/>
          <cell r="I1081"/>
          <cell r="J1081"/>
          <cell r="L1081"/>
        </row>
        <row r="1082">
          <cell r="A1082"/>
          <cell r="D1082"/>
          <cell r="E1082"/>
          <cell r="F1082"/>
          <cell r="G1082"/>
          <cell r="H1082"/>
          <cell r="I1082"/>
          <cell r="J1082"/>
          <cell r="L1082"/>
        </row>
        <row r="1083">
          <cell r="A1083"/>
          <cell r="D1083"/>
          <cell r="E1083"/>
          <cell r="F1083"/>
          <cell r="G1083"/>
          <cell r="H1083"/>
          <cell r="I1083"/>
          <cell r="J1083"/>
          <cell r="L1083"/>
        </row>
        <row r="1084">
          <cell r="A1084"/>
          <cell r="D1084"/>
          <cell r="E1084"/>
          <cell r="F1084"/>
          <cell r="G1084"/>
          <cell r="H1084"/>
          <cell r="I1084"/>
          <cell r="J1084"/>
          <cell r="L1084"/>
        </row>
        <row r="1085">
          <cell r="A1085"/>
          <cell r="D1085"/>
          <cell r="E1085"/>
          <cell r="F1085"/>
          <cell r="G1085"/>
          <cell r="H1085"/>
          <cell r="I1085"/>
          <cell r="J1085"/>
          <cell r="L1085"/>
        </row>
        <row r="1086">
          <cell r="A1086"/>
          <cell r="D1086"/>
          <cell r="E1086"/>
          <cell r="F1086"/>
          <cell r="G1086"/>
          <cell r="H1086"/>
          <cell r="I1086"/>
          <cell r="J1086"/>
          <cell r="L1086"/>
        </row>
        <row r="1087">
          <cell r="A1087"/>
          <cell r="D1087"/>
          <cell r="E1087"/>
          <cell r="F1087"/>
          <cell r="G1087"/>
          <cell r="H1087"/>
          <cell r="I1087"/>
          <cell r="J1087"/>
          <cell r="L1087"/>
        </row>
        <row r="1088">
          <cell r="A1088"/>
          <cell r="D1088"/>
          <cell r="E1088"/>
          <cell r="F1088"/>
          <cell r="G1088"/>
          <cell r="H1088"/>
          <cell r="I1088"/>
          <cell r="J1088"/>
          <cell r="L1088"/>
        </row>
        <row r="1089">
          <cell r="A1089"/>
          <cell r="D1089"/>
          <cell r="E1089"/>
          <cell r="F1089"/>
          <cell r="G1089"/>
          <cell r="H1089"/>
          <cell r="I1089"/>
          <cell r="J1089"/>
          <cell r="L1089"/>
        </row>
        <row r="1090">
          <cell r="A1090"/>
          <cell r="D1090"/>
          <cell r="E1090"/>
          <cell r="F1090"/>
          <cell r="G1090"/>
          <cell r="H1090"/>
          <cell r="I1090"/>
          <cell r="J1090"/>
          <cell r="L1090"/>
        </row>
        <row r="1091">
          <cell r="A1091"/>
          <cell r="D1091"/>
          <cell r="E1091"/>
          <cell r="F1091"/>
          <cell r="G1091"/>
          <cell r="H1091"/>
          <cell r="I1091"/>
          <cell r="J1091"/>
          <cell r="L1091"/>
        </row>
        <row r="1092">
          <cell r="A1092"/>
          <cell r="D1092"/>
          <cell r="E1092"/>
          <cell r="F1092"/>
          <cell r="G1092"/>
          <cell r="H1092"/>
          <cell r="I1092"/>
          <cell r="J1092"/>
          <cell r="L1092"/>
        </row>
        <row r="1093">
          <cell r="A1093"/>
          <cell r="D1093"/>
          <cell r="E1093"/>
          <cell r="F1093"/>
          <cell r="G1093"/>
          <cell r="H1093"/>
          <cell r="I1093"/>
          <cell r="J1093"/>
          <cell r="L1093"/>
        </row>
        <row r="1094">
          <cell r="A1094"/>
          <cell r="D1094"/>
          <cell r="E1094"/>
          <cell r="F1094"/>
          <cell r="G1094"/>
          <cell r="H1094"/>
          <cell r="I1094"/>
          <cell r="J1094"/>
          <cell r="L1094"/>
        </row>
        <row r="1095">
          <cell r="A1095"/>
          <cell r="D1095"/>
          <cell r="E1095"/>
          <cell r="F1095"/>
          <cell r="G1095"/>
          <cell r="H1095"/>
          <cell r="I1095"/>
          <cell r="J1095"/>
          <cell r="L1095"/>
        </row>
        <row r="1096">
          <cell r="A1096"/>
          <cell r="D1096"/>
          <cell r="E1096"/>
          <cell r="F1096"/>
          <cell r="G1096"/>
          <cell r="H1096"/>
          <cell r="I1096"/>
          <cell r="J1096"/>
          <cell r="L1096"/>
        </row>
        <row r="1097">
          <cell r="A1097"/>
          <cell r="D1097"/>
          <cell r="E1097"/>
          <cell r="F1097"/>
          <cell r="G1097"/>
          <cell r="H1097"/>
          <cell r="I1097"/>
          <cell r="J1097"/>
          <cell r="L1097"/>
        </row>
        <row r="1098">
          <cell r="A1098"/>
          <cell r="D1098"/>
          <cell r="E1098"/>
          <cell r="F1098"/>
          <cell r="G1098"/>
          <cell r="H1098"/>
          <cell r="I1098"/>
          <cell r="J1098"/>
          <cell r="L1098"/>
        </row>
        <row r="1099">
          <cell r="A1099"/>
          <cell r="D1099"/>
          <cell r="E1099"/>
          <cell r="F1099"/>
          <cell r="G1099"/>
          <cell r="H1099"/>
          <cell r="I1099"/>
          <cell r="J1099"/>
          <cell r="L1099"/>
        </row>
        <row r="1100">
          <cell r="A1100"/>
          <cell r="D1100"/>
          <cell r="E1100"/>
          <cell r="F1100"/>
          <cell r="G1100"/>
          <cell r="H1100"/>
          <cell r="I1100"/>
          <cell r="J1100"/>
          <cell r="L1100"/>
        </row>
        <row r="1101">
          <cell r="A1101"/>
          <cell r="D1101"/>
          <cell r="E1101"/>
          <cell r="F1101"/>
          <cell r="G1101"/>
          <cell r="H1101"/>
          <cell r="I1101"/>
          <cell r="J1101"/>
          <cell r="L1101"/>
        </row>
        <row r="1102">
          <cell r="A1102"/>
          <cell r="D1102"/>
          <cell r="E1102"/>
          <cell r="F1102"/>
          <cell r="G1102"/>
          <cell r="H1102"/>
          <cell r="I1102"/>
          <cell r="J1102"/>
          <cell r="L1102"/>
        </row>
        <row r="1103">
          <cell r="A1103"/>
          <cell r="D1103"/>
          <cell r="E1103"/>
          <cell r="F1103"/>
          <cell r="G1103"/>
          <cell r="H1103"/>
          <cell r="I1103"/>
          <cell r="J1103"/>
          <cell r="L1103"/>
        </row>
        <row r="1104">
          <cell r="A1104"/>
          <cell r="D1104"/>
          <cell r="E1104"/>
          <cell r="F1104"/>
          <cell r="G1104"/>
          <cell r="H1104"/>
          <cell r="I1104"/>
          <cell r="J1104"/>
          <cell r="L1104"/>
        </row>
        <row r="1105">
          <cell r="A1105"/>
          <cell r="D1105"/>
          <cell r="E1105"/>
          <cell r="F1105"/>
          <cell r="G1105"/>
          <cell r="H1105"/>
          <cell r="I1105"/>
          <cell r="J1105"/>
          <cell r="L1105"/>
        </row>
        <row r="1106">
          <cell r="A1106"/>
          <cell r="D1106"/>
          <cell r="E1106"/>
          <cell r="F1106"/>
          <cell r="G1106"/>
          <cell r="H1106"/>
          <cell r="I1106"/>
          <cell r="J1106"/>
          <cell r="L1106"/>
        </row>
        <row r="1107">
          <cell r="A1107"/>
          <cell r="D1107"/>
          <cell r="E1107"/>
          <cell r="F1107"/>
          <cell r="G1107"/>
          <cell r="H1107"/>
          <cell r="I1107"/>
          <cell r="J1107"/>
          <cell r="L1107"/>
        </row>
        <row r="1108">
          <cell r="A1108"/>
          <cell r="D1108"/>
          <cell r="E1108"/>
          <cell r="F1108"/>
          <cell r="G1108"/>
          <cell r="H1108"/>
          <cell r="I1108"/>
          <cell r="J1108"/>
          <cell r="L1108"/>
        </row>
        <row r="1109">
          <cell r="A1109"/>
          <cell r="D1109"/>
          <cell r="E1109"/>
          <cell r="F1109"/>
          <cell r="G1109"/>
          <cell r="H1109"/>
          <cell r="I1109"/>
          <cell r="J1109"/>
          <cell r="L1109"/>
        </row>
        <row r="1110">
          <cell r="A1110"/>
          <cell r="D1110"/>
          <cell r="E1110"/>
          <cell r="F1110"/>
          <cell r="G1110"/>
          <cell r="H1110"/>
          <cell r="I1110"/>
          <cell r="J1110"/>
          <cell r="L1110"/>
        </row>
        <row r="1111">
          <cell r="A1111"/>
          <cell r="D1111"/>
          <cell r="E1111"/>
          <cell r="F1111"/>
          <cell r="G1111"/>
          <cell r="H1111"/>
          <cell r="I1111"/>
          <cell r="J1111"/>
          <cell r="L1111"/>
        </row>
        <row r="1112">
          <cell r="A1112"/>
          <cell r="D1112"/>
          <cell r="E1112"/>
          <cell r="F1112"/>
          <cell r="G1112"/>
          <cell r="H1112"/>
          <cell r="I1112"/>
          <cell r="J1112"/>
          <cell r="L1112"/>
        </row>
        <row r="1113">
          <cell r="A1113"/>
          <cell r="D1113"/>
          <cell r="E1113"/>
          <cell r="F1113"/>
          <cell r="G1113"/>
          <cell r="H1113"/>
          <cell r="I1113"/>
          <cell r="J1113"/>
          <cell r="L1113"/>
        </row>
        <row r="1114">
          <cell r="A1114"/>
          <cell r="D1114"/>
          <cell r="E1114"/>
          <cell r="F1114"/>
          <cell r="G1114"/>
          <cell r="H1114"/>
          <cell r="I1114"/>
          <cell r="J1114"/>
          <cell r="L1114"/>
        </row>
        <row r="1115">
          <cell r="A1115"/>
          <cell r="D1115"/>
          <cell r="E1115"/>
          <cell r="F1115"/>
          <cell r="G1115"/>
          <cell r="H1115"/>
          <cell r="I1115"/>
          <cell r="J1115"/>
          <cell r="L1115"/>
        </row>
        <row r="1116">
          <cell r="A1116"/>
          <cell r="D1116"/>
          <cell r="E1116"/>
          <cell r="F1116"/>
          <cell r="G1116"/>
          <cell r="H1116"/>
          <cell r="I1116"/>
          <cell r="J1116"/>
          <cell r="L1116"/>
        </row>
        <row r="1117">
          <cell r="A1117"/>
          <cell r="D1117"/>
          <cell r="E1117"/>
          <cell r="F1117"/>
          <cell r="G1117"/>
          <cell r="H1117"/>
          <cell r="I1117"/>
          <cell r="J1117"/>
          <cell r="L1117"/>
        </row>
        <row r="1118">
          <cell r="A1118"/>
          <cell r="D1118"/>
          <cell r="E1118"/>
          <cell r="F1118"/>
          <cell r="G1118"/>
          <cell r="H1118"/>
          <cell r="I1118"/>
          <cell r="J1118"/>
          <cell r="L1118"/>
        </row>
        <row r="1119">
          <cell r="A1119"/>
          <cell r="D1119"/>
          <cell r="E1119"/>
          <cell r="F1119"/>
          <cell r="G1119"/>
          <cell r="H1119"/>
          <cell r="I1119"/>
          <cell r="J1119"/>
          <cell r="L1119"/>
        </row>
        <row r="1120">
          <cell r="A1120"/>
          <cell r="D1120"/>
          <cell r="E1120"/>
          <cell r="F1120"/>
          <cell r="G1120"/>
          <cell r="H1120"/>
          <cell r="I1120"/>
          <cell r="J1120"/>
          <cell r="L1120"/>
        </row>
        <row r="1121">
          <cell r="A1121"/>
          <cell r="D1121"/>
          <cell r="E1121"/>
          <cell r="F1121"/>
          <cell r="G1121"/>
          <cell r="H1121"/>
          <cell r="I1121"/>
          <cell r="J1121"/>
          <cell r="L1121"/>
        </row>
        <row r="1122">
          <cell r="A1122"/>
          <cell r="D1122"/>
          <cell r="E1122"/>
          <cell r="F1122"/>
          <cell r="G1122"/>
          <cell r="H1122"/>
          <cell r="I1122"/>
          <cell r="J1122"/>
          <cell r="L1122"/>
        </row>
        <row r="1123">
          <cell r="A1123"/>
          <cell r="D1123"/>
          <cell r="E1123"/>
          <cell r="F1123"/>
          <cell r="G1123"/>
          <cell r="H1123"/>
          <cell r="I1123"/>
          <cell r="J1123"/>
          <cell r="L1123"/>
        </row>
        <row r="1124">
          <cell r="A1124"/>
          <cell r="D1124"/>
          <cell r="E1124"/>
          <cell r="F1124"/>
          <cell r="G1124"/>
          <cell r="H1124"/>
          <cell r="I1124"/>
          <cell r="J1124"/>
          <cell r="L1124"/>
        </row>
        <row r="1125">
          <cell r="A1125"/>
          <cell r="D1125"/>
          <cell r="E1125"/>
          <cell r="F1125"/>
          <cell r="G1125"/>
          <cell r="H1125"/>
          <cell r="I1125"/>
          <cell r="J1125"/>
          <cell r="L1125"/>
        </row>
        <row r="1126">
          <cell r="A1126"/>
          <cell r="D1126"/>
          <cell r="E1126"/>
          <cell r="F1126"/>
          <cell r="G1126"/>
          <cell r="H1126"/>
          <cell r="I1126"/>
          <cell r="J1126"/>
          <cell r="L1126"/>
        </row>
        <row r="1127">
          <cell r="A1127"/>
          <cell r="D1127"/>
          <cell r="E1127"/>
          <cell r="F1127"/>
          <cell r="G1127"/>
          <cell r="H1127"/>
          <cell r="I1127"/>
          <cell r="J1127"/>
          <cell r="L1127"/>
        </row>
        <row r="1128">
          <cell r="A1128"/>
          <cell r="D1128"/>
          <cell r="E1128"/>
          <cell r="F1128"/>
          <cell r="G1128"/>
          <cell r="H1128"/>
          <cell r="I1128"/>
          <cell r="J1128"/>
          <cell r="L1128"/>
        </row>
        <row r="1129">
          <cell r="A1129"/>
          <cell r="D1129"/>
          <cell r="E1129"/>
          <cell r="F1129"/>
          <cell r="G1129"/>
          <cell r="H1129"/>
          <cell r="I1129"/>
          <cell r="J1129"/>
          <cell r="L1129"/>
        </row>
        <row r="1130">
          <cell r="A1130"/>
          <cell r="D1130"/>
          <cell r="E1130"/>
          <cell r="F1130"/>
          <cell r="G1130"/>
          <cell r="H1130"/>
          <cell r="I1130"/>
          <cell r="J1130"/>
          <cell r="L1130"/>
        </row>
        <row r="1131">
          <cell r="A1131"/>
          <cell r="D1131"/>
          <cell r="E1131"/>
          <cell r="F1131"/>
          <cell r="G1131"/>
          <cell r="H1131"/>
          <cell r="I1131"/>
          <cell r="J1131"/>
          <cell r="L1131"/>
        </row>
        <row r="1132">
          <cell r="A1132"/>
          <cell r="D1132"/>
          <cell r="E1132"/>
          <cell r="F1132"/>
          <cell r="G1132"/>
          <cell r="H1132"/>
          <cell r="I1132"/>
          <cell r="J1132"/>
          <cell r="L1132"/>
        </row>
        <row r="1133">
          <cell r="A1133"/>
          <cell r="D1133"/>
          <cell r="E1133"/>
          <cell r="F1133"/>
          <cell r="G1133"/>
          <cell r="H1133"/>
          <cell r="I1133"/>
          <cell r="J1133"/>
          <cell r="L1133"/>
        </row>
        <row r="1134">
          <cell r="A1134"/>
          <cell r="D1134"/>
          <cell r="E1134"/>
          <cell r="F1134"/>
          <cell r="G1134"/>
          <cell r="H1134"/>
          <cell r="I1134"/>
          <cell r="J1134"/>
          <cell r="L1134"/>
        </row>
        <row r="1135">
          <cell r="A1135"/>
          <cell r="D1135"/>
          <cell r="E1135"/>
          <cell r="F1135"/>
          <cell r="G1135"/>
          <cell r="H1135"/>
          <cell r="I1135"/>
          <cell r="J1135"/>
          <cell r="L1135"/>
        </row>
        <row r="1136">
          <cell r="A1136"/>
          <cell r="D1136"/>
          <cell r="E1136"/>
          <cell r="F1136"/>
          <cell r="G1136"/>
          <cell r="H1136"/>
          <cell r="I1136"/>
          <cell r="J1136"/>
          <cell r="L1136"/>
        </row>
        <row r="1137">
          <cell r="A1137"/>
          <cell r="D1137"/>
          <cell r="E1137"/>
          <cell r="F1137"/>
          <cell r="G1137"/>
          <cell r="H1137"/>
          <cell r="I1137"/>
          <cell r="J1137"/>
          <cell r="L1137"/>
        </row>
        <row r="1138">
          <cell r="A1138"/>
          <cell r="D1138"/>
          <cell r="E1138"/>
          <cell r="F1138"/>
          <cell r="G1138"/>
          <cell r="H1138"/>
          <cell r="I1138"/>
          <cell r="J1138"/>
          <cell r="L1138"/>
        </row>
        <row r="1139">
          <cell r="A1139"/>
          <cell r="D1139"/>
          <cell r="E1139"/>
          <cell r="F1139"/>
          <cell r="G1139"/>
          <cell r="H1139"/>
          <cell r="I1139"/>
          <cell r="J1139"/>
          <cell r="L1139"/>
        </row>
        <row r="1140">
          <cell r="A1140"/>
          <cell r="D1140"/>
          <cell r="E1140"/>
          <cell r="F1140"/>
          <cell r="G1140"/>
          <cell r="H1140"/>
          <cell r="I1140"/>
          <cell r="J1140"/>
          <cell r="L1140"/>
        </row>
        <row r="1141">
          <cell r="A1141"/>
          <cell r="D1141"/>
          <cell r="E1141"/>
          <cell r="F1141"/>
          <cell r="G1141"/>
          <cell r="H1141"/>
          <cell r="I1141"/>
          <cell r="J1141"/>
          <cell r="L1141"/>
        </row>
        <row r="1142">
          <cell r="A1142"/>
          <cell r="D1142"/>
          <cell r="E1142"/>
          <cell r="F1142"/>
          <cell r="G1142"/>
          <cell r="H1142"/>
          <cell r="I1142"/>
          <cell r="J1142"/>
          <cell r="L1142"/>
        </row>
        <row r="1143">
          <cell r="A1143"/>
          <cell r="D1143"/>
          <cell r="E1143"/>
          <cell r="F1143"/>
          <cell r="G1143"/>
          <cell r="H1143"/>
          <cell r="I1143"/>
          <cell r="J1143"/>
          <cell r="L1143"/>
        </row>
        <row r="1144">
          <cell r="A1144"/>
          <cell r="D1144"/>
          <cell r="E1144"/>
          <cell r="F1144"/>
          <cell r="G1144"/>
          <cell r="H1144"/>
          <cell r="I1144"/>
          <cell r="J1144"/>
          <cell r="L1144"/>
        </row>
        <row r="1145">
          <cell r="A1145"/>
          <cell r="D1145"/>
          <cell r="E1145"/>
          <cell r="F1145"/>
          <cell r="G1145"/>
          <cell r="H1145"/>
          <cell r="I1145"/>
          <cell r="J1145"/>
          <cell r="L1145"/>
        </row>
        <row r="1146">
          <cell r="A1146"/>
          <cell r="D1146"/>
          <cell r="E1146"/>
          <cell r="F1146"/>
          <cell r="G1146"/>
          <cell r="H1146"/>
          <cell r="I1146"/>
          <cell r="J1146"/>
          <cell r="L1146"/>
        </row>
        <row r="1147">
          <cell r="A1147"/>
          <cell r="D1147"/>
          <cell r="E1147"/>
          <cell r="F1147"/>
          <cell r="G1147"/>
          <cell r="H1147"/>
          <cell r="I1147"/>
          <cell r="J1147"/>
          <cell r="L1147"/>
        </row>
        <row r="1148">
          <cell r="A1148"/>
          <cell r="D1148"/>
          <cell r="E1148"/>
          <cell r="F1148"/>
          <cell r="G1148"/>
          <cell r="H1148"/>
          <cell r="I1148"/>
          <cell r="J1148"/>
          <cell r="L1148"/>
        </row>
        <row r="1149">
          <cell r="A1149"/>
          <cell r="D1149"/>
          <cell r="E1149"/>
          <cell r="F1149"/>
          <cell r="G1149"/>
          <cell r="H1149"/>
          <cell r="I1149"/>
          <cell r="J1149"/>
          <cell r="L1149"/>
        </row>
        <row r="1150">
          <cell r="A1150"/>
          <cell r="D1150"/>
          <cell r="E1150"/>
          <cell r="F1150"/>
          <cell r="G1150"/>
          <cell r="H1150"/>
          <cell r="I1150"/>
          <cell r="J1150"/>
          <cell r="L1150"/>
        </row>
        <row r="1151">
          <cell r="A1151"/>
          <cell r="D1151"/>
          <cell r="E1151"/>
          <cell r="F1151"/>
          <cell r="G1151"/>
          <cell r="H1151"/>
          <cell r="I1151"/>
          <cell r="J1151"/>
          <cell r="L1151"/>
        </row>
        <row r="1152">
          <cell r="A1152"/>
          <cell r="D1152"/>
          <cell r="E1152"/>
          <cell r="F1152"/>
          <cell r="G1152"/>
          <cell r="H1152"/>
          <cell r="I1152"/>
          <cell r="J1152"/>
          <cell r="L1152"/>
        </row>
        <row r="1153">
          <cell r="A1153"/>
          <cell r="D1153"/>
          <cell r="E1153"/>
          <cell r="F1153"/>
          <cell r="G1153"/>
          <cell r="H1153"/>
          <cell r="I1153"/>
          <cell r="J1153"/>
          <cell r="L1153"/>
        </row>
        <row r="1154">
          <cell r="A1154"/>
          <cell r="D1154"/>
          <cell r="E1154"/>
          <cell r="F1154"/>
          <cell r="G1154"/>
          <cell r="H1154"/>
          <cell r="I1154"/>
          <cell r="J1154"/>
          <cell r="L1154"/>
        </row>
        <row r="1155">
          <cell r="A1155"/>
          <cell r="D1155"/>
          <cell r="E1155"/>
          <cell r="F1155"/>
          <cell r="G1155"/>
          <cell r="H1155"/>
          <cell r="I1155"/>
          <cell r="J1155"/>
          <cell r="L1155"/>
        </row>
        <row r="1156">
          <cell r="A1156"/>
          <cell r="D1156"/>
          <cell r="E1156"/>
          <cell r="F1156"/>
          <cell r="G1156"/>
          <cell r="H1156"/>
          <cell r="I1156"/>
          <cell r="J1156"/>
          <cell r="L1156"/>
        </row>
        <row r="1157">
          <cell r="A1157"/>
          <cell r="D1157"/>
          <cell r="E1157"/>
          <cell r="F1157"/>
          <cell r="G1157"/>
          <cell r="H1157"/>
          <cell r="I1157"/>
          <cell r="J1157"/>
          <cell r="L1157"/>
        </row>
        <row r="1158">
          <cell r="A1158"/>
          <cell r="D1158"/>
          <cell r="E1158"/>
          <cell r="F1158"/>
          <cell r="G1158"/>
          <cell r="H1158"/>
          <cell r="I1158"/>
          <cell r="J1158"/>
          <cell r="L1158"/>
        </row>
        <row r="1159">
          <cell r="A1159"/>
          <cell r="D1159"/>
          <cell r="E1159"/>
          <cell r="F1159"/>
          <cell r="G1159"/>
          <cell r="H1159"/>
          <cell r="I1159"/>
          <cell r="J1159"/>
          <cell r="L1159"/>
        </row>
        <row r="1160">
          <cell r="A1160"/>
          <cell r="D1160"/>
          <cell r="E1160"/>
          <cell r="F1160"/>
          <cell r="G1160"/>
          <cell r="H1160"/>
          <cell r="I1160"/>
          <cell r="J1160"/>
          <cell r="L1160"/>
        </row>
        <row r="1161">
          <cell r="A1161"/>
          <cell r="D1161"/>
          <cell r="E1161"/>
          <cell r="F1161"/>
          <cell r="G1161"/>
          <cell r="H1161"/>
          <cell r="I1161"/>
          <cell r="J1161"/>
          <cell r="L1161"/>
        </row>
        <row r="1162">
          <cell r="A1162"/>
          <cell r="D1162"/>
          <cell r="E1162"/>
          <cell r="F1162"/>
          <cell r="G1162"/>
          <cell r="H1162"/>
          <cell r="I1162"/>
          <cell r="J1162"/>
          <cell r="L1162"/>
        </row>
        <row r="1163">
          <cell r="A1163"/>
          <cell r="D1163"/>
          <cell r="E1163"/>
          <cell r="F1163"/>
          <cell r="G1163"/>
          <cell r="H1163"/>
          <cell r="I1163"/>
          <cell r="J1163"/>
          <cell r="L1163"/>
        </row>
        <row r="1164">
          <cell r="A1164"/>
          <cell r="D1164"/>
          <cell r="E1164"/>
          <cell r="F1164"/>
          <cell r="G1164"/>
          <cell r="H1164"/>
          <cell r="I1164"/>
          <cell r="J1164"/>
          <cell r="L1164"/>
        </row>
        <row r="1165">
          <cell r="A1165"/>
          <cell r="D1165"/>
          <cell r="E1165"/>
          <cell r="F1165"/>
          <cell r="G1165"/>
          <cell r="H1165"/>
          <cell r="I1165"/>
          <cell r="J1165"/>
          <cell r="L1165"/>
        </row>
        <row r="1166">
          <cell r="A1166"/>
          <cell r="D1166"/>
          <cell r="E1166"/>
          <cell r="F1166"/>
          <cell r="G1166"/>
          <cell r="H1166"/>
          <cell r="I1166"/>
          <cell r="J1166"/>
          <cell r="L1166"/>
        </row>
        <row r="1167">
          <cell r="A1167"/>
          <cell r="D1167"/>
          <cell r="E1167"/>
          <cell r="F1167"/>
          <cell r="G1167"/>
          <cell r="H1167"/>
          <cell r="I1167"/>
          <cell r="J1167"/>
          <cell r="L1167"/>
        </row>
        <row r="1168">
          <cell r="A1168"/>
          <cell r="D1168"/>
          <cell r="E1168"/>
          <cell r="F1168"/>
          <cell r="G1168"/>
          <cell r="H1168"/>
          <cell r="I1168"/>
          <cell r="J1168"/>
          <cell r="L1168"/>
        </row>
        <row r="1169">
          <cell r="A1169"/>
          <cell r="D1169"/>
          <cell r="E1169"/>
          <cell r="F1169"/>
          <cell r="G1169"/>
          <cell r="H1169"/>
          <cell r="I1169"/>
          <cell r="J1169"/>
          <cell r="L1169"/>
        </row>
        <row r="1170">
          <cell r="A1170"/>
          <cell r="D1170"/>
          <cell r="E1170"/>
          <cell r="F1170"/>
          <cell r="G1170"/>
          <cell r="H1170"/>
          <cell r="I1170"/>
          <cell r="J1170"/>
          <cell r="L1170"/>
        </row>
        <row r="1171">
          <cell r="A1171"/>
          <cell r="D1171"/>
          <cell r="E1171"/>
          <cell r="F1171"/>
          <cell r="G1171"/>
          <cell r="H1171"/>
          <cell r="I1171"/>
          <cell r="J1171"/>
          <cell r="L1171"/>
        </row>
        <row r="1172">
          <cell r="A1172"/>
          <cell r="D1172"/>
          <cell r="E1172"/>
          <cell r="F1172"/>
          <cell r="G1172"/>
          <cell r="H1172"/>
          <cell r="I1172"/>
          <cell r="J1172"/>
          <cell r="L1172"/>
        </row>
        <row r="1173">
          <cell r="A1173"/>
          <cell r="D1173"/>
          <cell r="E1173"/>
          <cell r="F1173"/>
          <cell r="G1173"/>
          <cell r="H1173"/>
          <cell r="I1173"/>
          <cell r="J1173"/>
          <cell r="L1173"/>
        </row>
        <row r="1174">
          <cell r="A1174"/>
          <cell r="D1174"/>
          <cell r="E1174"/>
          <cell r="F1174"/>
          <cell r="G1174"/>
          <cell r="H1174"/>
          <cell r="I1174"/>
          <cell r="J1174"/>
          <cell r="L1174"/>
        </row>
        <row r="1175">
          <cell r="A1175"/>
          <cell r="D1175"/>
          <cell r="E1175"/>
          <cell r="F1175"/>
          <cell r="G1175"/>
          <cell r="H1175"/>
          <cell r="I1175"/>
          <cell r="J1175"/>
          <cell r="L1175"/>
        </row>
        <row r="1176">
          <cell r="A1176"/>
          <cell r="D1176"/>
          <cell r="E1176"/>
          <cell r="F1176"/>
          <cell r="G1176"/>
          <cell r="H1176"/>
          <cell r="I1176"/>
          <cell r="J1176"/>
          <cell r="L1176"/>
        </row>
        <row r="1177">
          <cell r="A1177"/>
          <cell r="D1177"/>
          <cell r="E1177"/>
          <cell r="F1177"/>
          <cell r="G1177"/>
          <cell r="H1177"/>
          <cell r="I1177"/>
          <cell r="J1177"/>
          <cell r="L1177"/>
        </row>
        <row r="1178">
          <cell r="A1178"/>
          <cell r="D1178"/>
          <cell r="E1178"/>
          <cell r="F1178"/>
          <cell r="G1178"/>
          <cell r="H1178"/>
          <cell r="I1178"/>
          <cell r="J1178"/>
          <cell r="L1178"/>
        </row>
        <row r="1179">
          <cell r="A1179"/>
          <cell r="D1179"/>
          <cell r="E1179"/>
          <cell r="F1179"/>
          <cell r="G1179"/>
          <cell r="H1179"/>
          <cell r="I1179"/>
          <cell r="J1179"/>
          <cell r="L1179"/>
        </row>
        <row r="1180">
          <cell r="A1180"/>
          <cell r="D1180"/>
          <cell r="E1180"/>
          <cell r="F1180"/>
          <cell r="G1180"/>
          <cell r="H1180"/>
          <cell r="I1180"/>
          <cell r="J1180"/>
          <cell r="L1180"/>
        </row>
        <row r="1181">
          <cell r="A1181"/>
          <cell r="D1181"/>
          <cell r="E1181"/>
          <cell r="F1181"/>
          <cell r="G1181"/>
          <cell r="H1181"/>
          <cell r="I1181"/>
          <cell r="J1181"/>
          <cell r="L1181"/>
        </row>
        <row r="1182">
          <cell r="A1182"/>
          <cell r="D1182"/>
          <cell r="E1182"/>
          <cell r="F1182"/>
          <cell r="G1182"/>
          <cell r="H1182"/>
          <cell r="I1182"/>
          <cell r="J1182"/>
          <cell r="L1182"/>
        </row>
        <row r="1183">
          <cell r="A1183"/>
          <cell r="D1183"/>
          <cell r="E1183"/>
          <cell r="F1183"/>
          <cell r="G1183"/>
          <cell r="H1183"/>
          <cell r="I1183"/>
          <cell r="J1183"/>
          <cell r="L1183"/>
        </row>
        <row r="1184">
          <cell r="A1184"/>
          <cell r="D1184"/>
          <cell r="E1184"/>
          <cell r="F1184"/>
          <cell r="G1184"/>
          <cell r="H1184"/>
          <cell r="I1184"/>
          <cell r="J1184"/>
          <cell r="L1184"/>
        </row>
        <row r="1185">
          <cell r="A1185"/>
          <cell r="D1185"/>
          <cell r="E1185"/>
          <cell r="F1185"/>
          <cell r="G1185"/>
          <cell r="H1185"/>
          <cell r="I1185"/>
          <cell r="J1185"/>
          <cell r="L1185"/>
        </row>
        <row r="1186">
          <cell r="A1186"/>
          <cell r="D1186"/>
          <cell r="E1186"/>
          <cell r="F1186"/>
          <cell r="G1186"/>
          <cell r="H1186"/>
          <cell r="I1186"/>
          <cell r="J1186"/>
          <cell r="L1186"/>
        </row>
        <row r="1187">
          <cell r="A1187"/>
          <cell r="D1187"/>
          <cell r="E1187"/>
          <cell r="F1187"/>
          <cell r="G1187"/>
          <cell r="H1187"/>
          <cell r="I1187"/>
          <cell r="J1187"/>
          <cell r="L1187"/>
        </row>
        <row r="1188">
          <cell r="A1188"/>
          <cell r="D1188"/>
          <cell r="E1188"/>
          <cell r="F1188"/>
          <cell r="G1188"/>
          <cell r="H1188"/>
          <cell r="I1188"/>
          <cell r="J1188"/>
          <cell r="L1188"/>
        </row>
        <row r="1189">
          <cell r="A1189"/>
          <cell r="D1189"/>
          <cell r="E1189"/>
          <cell r="F1189"/>
          <cell r="G1189"/>
          <cell r="H1189"/>
          <cell r="I1189"/>
          <cell r="J1189"/>
          <cell r="L1189"/>
        </row>
        <row r="1190">
          <cell r="A1190"/>
          <cell r="D1190"/>
          <cell r="E1190"/>
          <cell r="F1190"/>
          <cell r="G1190"/>
          <cell r="H1190"/>
          <cell r="I1190"/>
          <cell r="J1190"/>
          <cell r="L1190"/>
        </row>
        <row r="1191">
          <cell r="A1191"/>
          <cell r="D1191"/>
          <cell r="E1191"/>
          <cell r="F1191"/>
          <cell r="G1191"/>
          <cell r="H1191"/>
          <cell r="I1191"/>
          <cell r="J1191"/>
          <cell r="L1191"/>
        </row>
        <row r="1192">
          <cell r="A1192"/>
          <cell r="D1192"/>
          <cell r="E1192"/>
          <cell r="F1192"/>
          <cell r="G1192"/>
          <cell r="H1192"/>
          <cell r="I1192"/>
          <cell r="J1192"/>
          <cell r="L1192"/>
        </row>
        <row r="1193">
          <cell r="A1193"/>
          <cell r="D1193"/>
          <cell r="E1193"/>
          <cell r="F1193"/>
          <cell r="G1193"/>
          <cell r="H1193"/>
          <cell r="I1193"/>
          <cell r="J1193"/>
          <cell r="L1193"/>
        </row>
        <row r="1194">
          <cell r="A1194"/>
          <cell r="D1194"/>
          <cell r="E1194"/>
          <cell r="F1194"/>
          <cell r="G1194"/>
          <cell r="H1194"/>
          <cell r="I1194"/>
          <cell r="J1194"/>
          <cell r="L1194"/>
        </row>
        <row r="1195">
          <cell r="A1195"/>
          <cell r="D1195"/>
          <cell r="E1195"/>
          <cell r="F1195"/>
          <cell r="G1195"/>
          <cell r="H1195"/>
          <cell r="I1195"/>
          <cell r="J1195"/>
          <cell r="L1195"/>
        </row>
        <row r="1196">
          <cell r="A1196"/>
          <cell r="D1196"/>
          <cell r="E1196"/>
          <cell r="F1196"/>
          <cell r="G1196"/>
          <cell r="H1196"/>
          <cell r="I1196"/>
          <cell r="J1196"/>
          <cell r="L1196"/>
        </row>
        <row r="1197">
          <cell r="A1197"/>
          <cell r="D1197"/>
          <cell r="E1197"/>
          <cell r="F1197"/>
          <cell r="G1197"/>
          <cell r="H1197"/>
          <cell r="I1197"/>
          <cell r="J1197"/>
          <cell r="L1197"/>
        </row>
        <row r="1198">
          <cell r="A1198"/>
          <cell r="D1198"/>
          <cell r="E1198"/>
          <cell r="F1198"/>
          <cell r="G1198"/>
          <cell r="H1198"/>
          <cell r="I1198"/>
          <cell r="J1198"/>
          <cell r="L1198"/>
        </row>
        <row r="1199">
          <cell r="A1199"/>
          <cell r="D1199"/>
          <cell r="E1199"/>
          <cell r="F1199"/>
          <cell r="G1199"/>
          <cell r="H1199"/>
          <cell r="I1199"/>
          <cell r="J1199"/>
          <cell r="L1199"/>
        </row>
        <row r="1200">
          <cell r="A1200"/>
          <cell r="D1200"/>
          <cell r="E1200"/>
          <cell r="F1200"/>
          <cell r="G1200"/>
          <cell r="H1200"/>
          <cell r="I1200"/>
          <cell r="J1200"/>
          <cell r="L1200"/>
        </row>
        <row r="1201">
          <cell r="A1201"/>
          <cell r="D1201"/>
          <cell r="E1201"/>
          <cell r="F1201"/>
          <cell r="G1201"/>
          <cell r="H1201"/>
          <cell r="I1201"/>
          <cell r="J1201"/>
          <cell r="L1201"/>
        </row>
        <row r="1202">
          <cell r="A1202"/>
          <cell r="D1202"/>
          <cell r="E1202"/>
          <cell r="F1202"/>
          <cell r="G1202"/>
          <cell r="H1202"/>
          <cell r="I1202"/>
          <cell r="J1202"/>
          <cell r="L1202"/>
        </row>
        <row r="1203">
          <cell r="A1203"/>
          <cell r="D1203"/>
          <cell r="E1203"/>
          <cell r="F1203"/>
          <cell r="G1203"/>
          <cell r="H1203"/>
          <cell r="I1203"/>
          <cell r="J1203"/>
          <cell r="L1203"/>
        </row>
        <row r="1204">
          <cell r="A1204"/>
          <cell r="D1204"/>
          <cell r="E1204"/>
          <cell r="F1204"/>
          <cell r="G1204"/>
          <cell r="H1204"/>
          <cell r="I1204"/>
          <cell r="J1204"/>
          <cell r="L1204"/>
        </row>
        <row r="1205">
          <cell r="A1205"/>
          <cell r="D1205"/>
          <cell r="E1205"/>
          <cell r="F1205"/>
          <cell r="G1205"/>
          <cell r="H1205"/>
          <cell r="I1205"/>
          <cell r="J1205"/>
          <cell r="L1205"/>
        </row>
        <row r="1206">
          <cell r="A1206"/>
          <cell r="D1206"/>
          <cell r="E1206"/>
          <cell r="F1206"/>
          <cell r="G1206"/>
          <cell r="H1206"/>
          <cell r="I1206"/>
          <cell r="J1206"/>
          <cell r="L1206"/>
        </row>
        <row r="1207">
          <cell r="A1207"/>
          <cell r="D1207"/>
          <cell r="E1207"/>
          <cell r="F1207"/>
          <cell r="G1207"/>
          <cell r="H1207"/>
          <cell r="I1207"/>
          <cell r="J1207"/>
          <cell r="L1207"/>
        </row>
        <row r="1208">
          <cell r="A1208"/>
          <cell r="D1208"/>
          <cell r="E1208"/>
          <cell r="F1208"/>
          <cell r="G1208"/>
          <cell r="H1208"/>
          <cell r="I1208"/>
          <cell r="J1208"/>
          <cell r="L1208"/>
        </row>
        <row r="1209">
          <cell r="A1209"/>
          <cell r="D1209"/>
          <cell r="E1209"/>
          <cell r="F1209"/>
          <cell r="G1209"/>
          <cell r="H1209"/>
          <cell r="I1209"/>
          <cell r="J1209"/>
          <cell r="L1209"/>
        </row>
        <row r="1210">
          <cell r="A1210"/>
          <cell r="D1210"/>
          <cell r="E1210"/>
          <cell r="F1210"/>
          <cell r="G1210"/>
          <cell r="H1210"/>
          <cell r="I1210"/>
          <cell r="J1210"/>
          <cell r="L1210"/>
        </row>
        <row r="1211">
          <cell r="A1211"/>
          <cell r="D1211"/>
          <cell r="E1211"/>
          <cell r="F1211"/>
          <cell r="G1211"/>
          <cell r="H1211"/>
          <cell r="I1211"/>
          <cell r="J1211"/>
          <cell r="L1211"/>
        </row>
        <row r="1212">
          <cell r="A1212"/>
          <cell r="D1212"/>
          <cell r="E1212"/>
          <cell r="F1212"/>
          <cell r="G1212"/>
          <cell r="H1212"/>
          <cell r="I1212"/>
          <cell r="J1212"/>
          <cell r="L1212"/>
        </row>
        <row r="1213">
          <cell r="A1213"/>
          <cell r="D1213"/>
          <cell r="E1213"/>
          <cell r="F1213"/>
          <cell r="G1213"/>
          <cell r="H1213"/>
          <cell r="I1213"/>
          <cell r="J1213"/>
          <cell r="L1213"/>
        </row>
        <row r="1214">
          <cell r="A1214"/>
          <cell r="D1214"/>
          <cell r="E1214"/>
          <cell r="F1214"/>
          <cell r="G1214"/>
          <cell r="H1214"/>
          <cell r="I1214"/>
          <cell r="J1214"/>
          <cell r="L1214"/>
        </row>
        <row r="1215">
          <cell r="A1215"/>
          <cell r="D1215"/>
          <cell r="E1215"/>
          <cell r="F1215"/>
          <cell r="G1215"/>
          <cell r="H1215"/>
          <cell r="I1215"/>
          <cell r="J1215"/>
          <cell r="L1215"/>
        </row>
        <row r="1216">
          <cell r="A1216"/>
          <cell r="D1216"/>
          <cell r="E1216"/>
          <cell r="F1216"/>
          <cell r="G1216"/>
          <cell r="H1216"/>
          <cell r="I1216"/>
          <cell r="J1216"/>
          <cell r="L1216"/>
        </row>
        <row r="1217">
          <cell r="A1217"/>
          <cell r="D1217"/>
          <cell r="E1217"/>
          <cell r="F1217"/>
          <cell r="G1217"/>
          <cell r="H1217"/>
          <cell r="I1217"/>
          <cell r="J1217"/>
          <cell r="L1217"/>
        </row>
        <row r="1218">
          <cell r="A1218"/>
          <cell r="D1218"/>
          <cell r="E1218"/>
          <cell r="F1218"/>
          <cell r="G1218"/>
          <cell r="H1218"/>
          <cell r="I1218"/>
          <cell r="J1218"/>
          <cell r="L1218"/>
        </row>
        <row r="1219">
          <cell r="A1219"/>
          <cell r="D1219"/>
          <cell r="E1219"/>
          <cell r="F1219"/>
          <cell r="G1219"/>
          <cell r="H1219"/>
          <cell r="I1219"/>
          <cell r="J1219"/>
          <cell r="L1219"/>
        </row>
        <row r="1220">
          <cell r="A1220"/>
          <cell r="D1220"/>
          <cell r="E1220"/>
          <cell r="F1220"/>
          <cell r="G1220"/>
          <cell r="H1220"/>
          <cell r="I1220"/>
          <cell r="J1220"/>
          <cell r="L1220"/>
        </row>
        <row r="1221">
          <cell r="A1221"/>
          <cell r="D1221"/>
          <cell r="E1221"/>
          <cell r="F1221"/>
          <cell r="G1221"/>
          <cell r="H1221"/>
          <cell r="I1221"/>
          <cell r="J1221"/>
          <cell r="L1221"/>
        </row>
        <row r="1222">
          <cell r="A1222"/>
          <cell r="D1222"/>
          <cell r="E1222"/>
          <cell r="F1222"/>
          <cell r="G1222"/>
          <cell r="H1222"/>
          <cell r="I1222"/>
          <cell r="J1222"/>
          <cell r="L1222"/>
        </row>
        <row r="1223">
          <cell r="A1223"/>
          <cell r="D1223"/>
          <cell r="E1223"/>
          <cell r="F1223"/>
          <cell r="G1223"/>
          <cell r="H1223"/>
          <cell r="I1223"/>
          <cell r="J1223"/>
          <cell r="L1223"/>
        </row>
        <row r="1224">
          <cell r="A1224"/>
          <cell r="D1224"/>
          <cell r="E1224"/>
          <cell r="F1224"/>
          <cell r="G1224"/>
          <cell r="H1224"/>
          <cell r="I1224"/>
          <cell r="J1224"/>
          <cell r="L1224"/>
        </row>
        <row r="1225">
          <cell r="A1225"/>
          <cell r="D1225"/>
          <cell r="E1225"/>
          <cell r="F1225"/>
          <cell r="G1225"/>
          <cell r="H1225"/>
          <cell r="I1225"/>
          <cell r="J1225"/>
          <cell r="L1225"/>
        </row>
        <row r="1226">
          <cell r="A1226"/>
          <cell r="D1226"/>
          <cell r="E1226"/>
          <cell r="F1226"/>
          <cell r="G1226"/>
          <cell r="H1226"/>
          <cell r="I1226"/>
          <cell r="J1226"/>
          <cell r="L1226"/>
        </row>
        <row r="1227">
          <cell r="A1227"/>
          <cell r="D1227"/>
          <cell r="E1227"/>
          <cell r="F1227"/>
          <cell r="G1227"/>
          <cell r="H1227"/>
          <cell r="I1227"/>
          <cell r="J1227"/>
          <cell r="L1227"/>
        </row>
        <row r="1228">
          <cell r="A1228"/>
          <cell r="D1228"/>
          <cell r="E1228"/>
          <cell r="F1228"/>
          <cell r="G1228"/>
          <cell r="H1228"/>
          <cell r="I1228"/>
          <cell r="J1228"/>
          <cell r="L1228"/>
        </row>
        <row r="1229">
          <cell r="A1229"/>
          <cell r="D1229"/>
          <cell r="E1229"/>
          <cell r="F1229"/>
          <cell r="G1229"/>
          <cell r="H1229"/>
          <cell r="I1229"/>
          <cell r="J1229"/>
          <cell r="L1229"/>
        </row>
        <row r="1230">
          <cell r="A1230"/>
          <cell r="D1230"/>
          <cell r="E1230"/>
          <cell r="F1230"/>
          <cell r="G1230"/>
          <cell r="H1230"/>
          <cell r="I1230"/>
          <cell r="J1230"/>
          <cell r="L1230"/>
        </row>
        <row r="1231">
          <cell r="A1231"/>
          <cell r="D1231"/>
          <cell r="E1231"/>
          <cell r="F1231"/>
          <cell r="G1231"/>
          <cell r="H1231"/>
          <cell r="I1231"/>
          <cell r="J1231"/>
          <cell r="L1231"/>
        </row>
        <row r="1232">
          <cell r="A1232"/>
          <cell r="D1232"/>
          <cell r="E1232"/>
          <cell r="F1232"/>
          <cell r="G1232"/>
          <cell r="H1232"/>
          <cell r="I1232"/>
          <cell r="J1232"/>
          <cell r="L1232"/>
        </row>
        <row r="1233">
          <cell r="A1233"/>
          <cell r="D1233"/>
          <cell r="E1233"/>
          <cell r="F1233"/>
          <cell r="G1233"/>
          <cell r="H1233"/>
          <cell r="I1233"/>
          <cell r="J1233"/>
          <cell r="L1233"/>
        </row>
        <row r="1234">
          <cell r="A1234"/>
          <cell r="D1234"/>
          <cell r="E1234"/>
          <cell r="F1234"/>
          <cell r="G1234"/>
          <cell r="H1234"/>
          <cell r="I1234"/>
          <cell r="J1234"/>
          <cell r="L1234"/>
        </row>
        <row r="1235">
          <cell r="A1235"/>
          <cell r="D1235"/>
          <cell r="E1235"/>
          <cell r="F1235"/>
          <cell r="G1235"/>
          <cell r="H1235"/>
          <cell r="I1235"/>
          <cell r="J1235"/>
          <cell r="L1235"/>
        </row>
        <row r="1236">
          <cell r="A1236"/>
          <cell r="D1236"/>
          <cell r="E1236"/>
          <cell r="F1236"/>
          <cell r="G1236"/>
          <cell r="H1236"/>
          <cell r="I1236"/>
          <cell r="J1236"/>
          <cell r="L1236"/>
        </row>
        <row r="1237">
          <cell r="A1237"/>
          <cell r="D1237"/>
          <cell r="E1237"/>
          <cell r="F1237"/>
          <cell r="G1237"/>
          <cell r="H1237"/>
          <cell r="I1237"/>
          <cell r="J1237"/>
          <cell r="L1237"/>
        </row>
        <row r="1238">
          <cell r="A1238"/>
          <cell r="D1238"/>
          <cell r="E1238"/>
          <cell r="F1238"/>
          <cell r="G1238"/>
          <cell r="H1238"/>
          <cell r="I1238"/>
          <cell r="J1238"/>
          <cell r="L1238"/>
        </row>
        <row r="1239">
          <cell r="A1239"/>
          <cell r="D1239"/>
          <cell r="E1239"/>
          <cell r="F1239"/>
          <cell r="G1239"/>
          <cell r="H1239"/>
          <cell r="I1239"/>
          <cell r="J1239"/>
          <cell r="L1239"/>
        </row>
        <row r="1240">
          <cell r="A1240"/>
          <cell r="D1240"/>
          <cell r="E1240"/>
          <cell r="F1240"/>
          <cell r="G1240"/>
          <cell r="H1240"/>
          <cell r="I1240"/>
          <cell r="J1240"/>
          <cell r="L1240"/>
        </row>
        <row r="1241">
          <cell r="A1241"/>
          <cell r="D1241"/>
          <cell r="E1241"/>
          <cell r="F1241"/>
          <cell r="G1241"/>
          <cell r="H1241"/>
          <cell r="I1241"/>
          <cell r="J1241"/>
          <cell r="L1241"/>
        </row>
        <row r="1242">
          <cell r="A1242"/>
          <cell r="D1242"/>
          <cell r="E1242"/>
          <cell r="F1242"/>
          <cell r="G1242"/>
          <cell r="H1242"/>
          <cell r="I1242"/>
          <cell r="J1242"/>
          <cell r="L1242"/>
        </row>
        <row r="1243">
          <cell r="A1243"/>
          <cell r="D1243"/>
          <cell r="E1243"/>
          <cell r="F1243"/>
          <cell r="G1243"/>
          <cell r="H1243"/>
          <cell r="I1243"/>
          <cell r="J1243"/>
          <cell r="L1243"/>
        </row>
        <row r="1244">
          <cell r="A1244"/>
          <cell r="D1244"/>
          <cell r="E1244"/>
          <cell r="F1244"/>
          <cell r="G1244"/>
          <cell r="H1244"/>
          <cell r="I1244"/>
          <cell r="J1244"/>
          <cell r="L1244"/>
        </row>
        <row r="1245">
          <cell r="A1245"/>
          <cell r="D1245"/>
          <cell r="E1245"/>
          <cell r="F1245"/>
          <cell r="G1245"/>
          <cell r="H1245"/>
          <cell r="I1245"/>
          <cell r="J1245"/>
          <cell r="L1245"/>
        </row>
        <row r="1246">
          <cell r="A1246"/>
          <cell r="D1246"/>
          <cell r="E1246"/>
          <cell r="F1246"/>
          <cell r="G1246"/>
          <cell r="H1246"/>
          <cell r="I1246"/>
          <cell r="J1246"/>
          <cell r="L1246"/>
        </row>
        <row r="1247">
          <cell r="A1247"/>
          <cell r="D1247"/>
          <cell r="E1247"/>
          <cell r="F1247"/>
          <cell r="G1247"/>
          <cell r="H1247"/>
          <cell r="I1247"/>
          <cell r="J1247"/>
          <cell r="L1247"/>
        </row>
        <row r="1248">
          <cell r="A1248"/>
          <cell r="D1248"/>
          <cell r="E1248"/>
          <cell r="F1248"/>
          <cell r="G1248"/>
          <cell r="H1248"/>
          <cell r="I1248"/>
          <cell r="J1248"/>
          <cell r="L1248"/>
        </row>
        <row r="1249">
          <cell r="A1249"/>
          <cell r="D1249"/>
          <cell r="E1249"/>
          <cell r="F1249"/>
          <cell r="G1249"/>
          <cell r="H1249"/>
          <cell r="I1249"/>
          <cell r="J1249"/>
          <cell r="L1249"/>
        </row>
        <row r="1250">
          <cell r="A1250"/>
          <cell r="D1250"/>
          <cell r="E1250"/>
          <cell r="F1250"/>
          <cell r="G1250"/>
          <cell r="H1250"/>
          <cell r="I1250"/>
          <cell r="J1250"/>
          <cell r="L1250"/>
        </row>
        <row r="1251">
          <cell r="A1251"/>
          <cell r="D1251"/>
          <cell r="E1251"/>
          <cell r="F1251"/>
          <cell r="G1251"/>
          <cell r="H1251"/>
          <cell r="I1251"/>
          <cell r="J1251"/>
          <cell r="L1251"/>
        </row>
        <row r="1252">
          <cell r="A1252"/>
          <cell r="D1252"/>
          <cell r="E1252"/>
          <cell r="F1252"/>
          <cell r="G1252"/>
          <cell r="H1252"/>
          <cell r="I1252"/>
          <cell r="J1252"/>
          <cell r="L1252"/>
        </row>
        <row r="1253">
          <cell r="A1253"/>
          <cell r="D1253"/>
          <cell r="E1253"/>
          <cell r="F1253"/>
          <cell r="G1253"/>
          <cell r="H1253"/>
          <cell r="I1253"/>
          <cell r="J1253"/>
          <cell r="L1253"/>
        </row>
        <row r="1254">
          <cell r="A1254"/>
          <cell r="D1254"/>
          <cell r="E1254"/>
          <cell r="F1254"/>
          <cell r="G1254"/>
          <cell r="H1254"/>
          <cell r="I1254"/>
          <cell r="J1254"/>
          <cell r="L1254"/>
        </row>
        <row r="1255">
          <cell r="A1255"/>
          <cell r="D1255"/>
          <cell r="E1255"/>
          <cell r="F1255"/>
          <cell r="G1255"/>
          <cell r="H1255"/>
          <cell r="I1255"/>
          <cell r="J1255"/>
          <cell r="L1255"/>
        </row>
        <row r="1256">
          <cell r="A1256"/>
          <cell r="D1256"/>
          <cell r="E1256"/>
          <cell r="F1256"/>
          <cell r="G1256"/>
          <cell r="H1256"/>
          <cell r="I1256"/>
          <cell r="J1256"/>
          <cell r="L1256"/>
        </row>
        <row r="1257">
          <cell r="A1257"/>
          <cell r="D1257"/>
          <cell r="E1257"/>
          <cell r="F1257"/>
          <cell r="G1257"/>
          <cell r="H1257"/>
          <cell r="I1257"/>
          <cell r="J1257"/>
          <cell r="L1257"/>
        </row>
        <row r="1258">
          <cell r="A1258"/>
          <cell r="D1258"/>
          <cell r="E1258"/>
          <cell r="F1258"/>
          <cell r="G1258"/>
          <cell r="H1258"/>
          <cell r="I1258"/>
          <cell r="J1258"/>
          <cell r="L1258"/>
        </row>
        <row r="1259">
          <cell r="A1259"/>
          <cell r="D1259"/>
          <cell r="E1259"/>
          <cell r="F1259"/>
          <cell r="G1259"/>
          <cell r="H1259"/>
          <cell r="I1259"/>
          <cell r="J1259"/>
          <cell r="L1259"/>
        </row>
        <row r="1260">
          <cell r="A1260"/>
          <cell r="D1260"/>
          <cell r="E1260"/>
          <cell r="F1260"/>
          <cell r="G1260"/>
          <cell r="H1260"/>
          <cell r="I1260"/>
          <cell r="J1260"/>
          <cell r="L1260"/>
        </row>
        <row r="1261">
          <cell r="A1261"/>
          <cell r="D1261"/>
          <cell r="E1261"/>
          <cell r="F1261"/>
          <cell r="G1261"/>
          <cell r="H1261"/>
          <cell r="I1261"/>
          <cell r="J1261"/>
          <cell r="L1261"/>
        </row>
        <row r="1262">
          <cell r="A1262"/>
          <cell r="D1262"/>
          <cell r="E1262"/>
          <cell r="F1262"/>
          <cell r="G1262"/>
          <cell r="H1262"/>
          <cell r="I1262"/>
          <cell r="J1262"/>
          <cell r="L1262"/>
        </row>
        <row r="1263">
          <cell r="A1263"/>
          <cell r="D1263"/>
          <cell r="E1263"/>
          <cell r="F1263"/>
          <cell r="G1263"/>
          <cell r="H1263"/>
          <cell r="I1263"/>
          <cell r="J1263"/>
          <cell r="L1263"/>
        </row>
        <row r="1264">
          <cell r="A1264"/>
          <cell r="D1264"/>
          <cell r="E1264"/>
          <cell r="F1264"/>
          <cell r="G1264"/>
          <cell r="H1264"/>
          <cell r="I1264"/>
          <cell r="J1264"/>
          <cell r="L1264"/>
        </row>
        <row r="1265">
          <cell r="A1265"/>
          <cell r="D1265"/>
          <cell r="E1265"/>
          <cell r="F1265"/>
          <cell r="G1265"/>
          <cell r="H1265"/>
          <cell r="I1265"/>
          <cell r="J1265"/>
          <cell r="L1265"/>
        </row>
        <row r="1266">
          <cell r="A1266"/>
          <cell r="D1266"/>
          <cell r="E1266"/>
          <cell r="F1266"/>
          <cell r="G1266"/>
          <cell r="H1266"/>
          <cell r="I1266"/>
          <cell r="J1266"/>
          <cell r="L1266"/>
        </row>
        <row r="1267">
          <cell r="A1267"/>
          <cell r="D1267"/>
          <cell r="E1267"/>
          <cell r="F1267"/>
          <cell r="G1267"/>
          <cell r="H1267"/>
          <cell r="I1267"/>
          <cell r="J1267"/>
          <cell r="L1267"/>
        </row>
        <row r="1268">
          <cell r="A1268"/>
          <cell r="D1268"/>
          <cell r="E1268"/>
          <cell r="F1268"/>
          <cell r="G1268"/>
          <cell r="H1268"/>
          <cell r="I1268"/>
          <cell r="J1268"/>
          <cell r="L1268"/>
        </row>
        <row r="1269">
          <cell r="A1269"/>
          <cell r="D1269"/>
          <cell r="E1269"/>
          <cell r="F1269"/>
          <cell r="G1269"/>
          <cell r="H1269"/>
          <cell r="I1269"/>
          <cell r="J1269"/>
          <cell r="L1269"/>
        </row>
        <row r="1270">
          <cell r="A1270"/>
          <cell r="D1270"/>
          <cell r="E1270"/>
          <cell r="F1270"/>
          <cell r="G1270"/>
          <cell r="H1270"/>
          <cell r="I1270"/>
          <cell r="J1270"/>
          <cell r="L1270"/>
        </row>
        <row r="1271">
          <cell r="A1271"/>
          <cell r="D1271"/>
          <cell r="E1271"/>
          <cell r="F1271"/>
          <cell r="G1271"/>
          <cell r="H1271"/>
          <cell r="I1271"/>
          <cell r="J1271"/>
          <cell r="L1271"/>
        </row>
        <row r="1272">
          <cell r="A1272"/>
          <cell r="D1272"/>
          <cell r="E1272"/>
          <cell r="F1272"/>
          <cell r="G1272"/>
          <cell r="H1272"/>
          <cell r="I1272"/>
          <cell r="J1272"/>
          <cell r="L1272"/>
        </row>
        <row r="1273">
          <cell r="A1273"/>
          <cell r="D1273"/>
          <cell r="E1273"/>
          <cell r="F1273"/>
          <cell r="G1273"/>
          <cell r="H1273"/>
          <cell r="I1273"/>
          <cell r="J1273"/>
          <cell r="L1273"/>
        </row>
        <row r="1274">
          <cell r="A1274"/>
          <cell r="D1274"/>
          <cell r="E1274"/>
          <cell r="F1274"/>
          <cell r="G1274"/>
          <cell r="H1274"/>
          <cell r="I1274"/>
          <cell r="J1274"/>
          <cell r="L1274"/>
        </row>
        <row r="1275">
          <cell r="A1275"/>
          <cell r="D1275"/>
          <cell r="E1275"/>
          <cell r="F1275"/>
          <cell r="G1275"/>
          <cell r="H1275"/>
          <cell r="I1275"/>
          <cell r="J1275"/>
          <cell r="L1275"/>
        </row>
        <row r="1276">
          <cell r="A1276"/>
          <cell r="D1276"/>
          <cell r="E1276"/>
          <cell r="F1276"/>
          <cell r="G1276"/>
          <cell r="H1276"/>
          <cell r="I1276"/>
          <cell r="J1276"/>
          <cell r="L1276"/>
        </row>
        <row r="1277">
          <cell r="A1277"/>
          <cell r="D1277"/>
          <cell r="E1277"/>
          <cell r="F1277"/>
          <cell r="G1277"/>
          <cell r="H1277"/>
          <cell r="I1277"/>
          <cell r="J1277"/>
          <cell r="L1277"/>
        </row>
        <row r="1278">
          <cell r="A1278"/>
          <cell r="D1278"/>
          <cell r="E1278"/>
          <cell r="F1278"/>
          <cell r="G1278"/>
          <cell r="H1278"/>
          <cell r="I1278"/>
          <cell r="J1278"/>
          <cell r="L1278"/>
        </row>
        <row r="1279">
          <cell r="A1279"/>
          <cell r="D1279"/>
          <cell r="E1279"/>
          <cell r="F1279"/>
          <cell r="G1279"/>
          <cell r="H1279"/>
          <cell r="I1279"/>
          <cell r="J1279"/>
          <cell r="L1279"/>
        </row>
        <row r="1280">
          <cell r="A1280"/>
          <cell r="D1280"/>
          <cell r="E1280"/>
          <cell r="F1280"/>
          <cell r="G1280"/>
          <cell r="H1280"/>
          <cell r="I1280"/>
          <cell r="J1280"/>
          <cell r="L1280"/>
        </row>
        <row r="1281">
          <cell r="A1281"/>
          <cell r="D1281"/>
          <cell r="E1281"/>
          <cell r="F1281"/>
          <cell r="G1281"/>
          <cell r="H1281"/>
          <cell r="I1281"/>
          <cell r="J1281"/>
          <cell r="L1281"/>
        </row>
        <row r="1282">
          <cell r="A1282"/>
          <cell r="D1282"/>
          <cell r="E1282"/>
          <cell r="F1282"/>
          <cell r="G1282"/>
          <cell r="H1282"/>
          <cell r="I1282"/>
          <cell r="J1282"/>
          <cell r="L1282"/>
        </row>
        <row r="1283">
          <cell r="A1283"/>
          <cell r="D1283"/>
          <cell r="E1283"/>
          <cell r="F1283"/>
          <cell r="G1283"/>
          <cell r="H1283"/>
          <cell r="I1283"/>
          <cell r="J1283"/>
          <cell r="L1283"/>
        </row>
        <row r="1284">
          <cell r="A1284"/>
          <cell r="D1284"/>
          <cell r="E1284"/>
          <cell r="F1284"/>
          <cell r="G1284"/>
          <cell r="H1284"/>
          <cell r="I1284"/>
          <cell r="J1284"/>
          <cell r="L1284"/>
        </row>
        <row r="1285">
          <cell r="A1285"/>
          <cell r="D1285"/>
          <cell r="E1285"/>
          <cell r="F1285"/>
          <cell r="G1285"/>
          <cell r="H1285"/>
          <cell r="I1285"/>
          <cell r="J1285"/>
          <cell r="L1285"/>
        </row>
        <row r="1286">
          <cell r="A1286"/>
          <cell r="D1286"/>
          <cell r="E1286"/>
          <cell r="F1286"/>
          <cell r="G1286"/>
          <cell r="H1286"/>
          <cell r="I1286"/>
          <cell r="J1286"/>
          <cell r="L1286"/>
        </row>
        <row r="1287">
          <cell r="A1287"/>
          <cell r="D1287"/>
          <cell r="E1287"/>
          <cell r="F1287"/>
          <cell r="G1287"/>
          <cell r="H1287"/>
          <cell r="I1287"/>
          <cell r="J1287"/>
          <cell r="L1287"/>
        </row>
        <row r="1288">
          <cell r="A1288"/>
          <cell r="D1288"/>
          <cell r="E1288"/>
          <cell r="F1288"/>
          <cell r="G1288"/>
          <cell r="H1288"/>
          <cell r="I1288"/>
          <cell r="J1288"/>
          <cell r="L1288"/>
        </row>
        <row r="1289">
          <cell r="A1289"/>
          <cell r="D1289"/>
          <cell r="E1289"/>
          <cell r="F1289"/>
          <cell r="G1289"/>
          <cell r="H1289"/>
          <cell r="I1289"/>
          <cell r="J1289"/>
          <cell r="L1289"/>
        </row>
        <row r="1290">
          <cell r="A1290"/>
          <cell r="D1290"/>
          <cell r="E1290"/>
          <cell r="F1290"/>
          <cell r="G1290"/>
          <cell r="H1290"/>
          <cell r="I1290"/>
          <cell r="J1290"/>
          <cell r="L1290"/>
        </row>
        <row r="1291">
          <cell r="A1291"/>
          <cell r="D1291"/>
          <cell r="E1291"/>
          <cell r="F1291"/>
          <cell r="G1291"/>
          <cell r="H1291"/>
          <cell r="I1291"/>
          <cell r="J1291"/>
          <cell r="L1291"/>
        </row>
        <row r="1292">
          <cell r="A1292"/>
          <cell r="D1292"/>
          <cell r="E1292"/>
          <cell r="F1292"/>
          <cell r="G1292"/>
          <cell r="H1292"/>
          <cell r="I1292"/>
          <cell r="J1292"/>
          <cell r="L1292"/>
        </row>
        <row r="1293">
          <cell r="A1293"/>
          <cell r="D1293"/>
          <cell r="E1293"/>
          <cell r="F1293"/>
          <cell r="G1293"/>
          <cell r="H1293"/>
          <cell r="I1293"/>
          <cell r="J1293"/>
          <cell r="L1293"/>
        </row>
        <row r="1294">
          <cell r="A1294"/>
          <cell r="D1294"/>
          <cell r="E1294"/>
          <cell r="F1294"/>
          <cell r="G1294"/>
          <cell r="H1294"/>
          <cell r="I1294"/>
          <cell r="J1294"/>
          <cell r="L1294"/>
        </row>
        <row r="1295">
          <cell r="A1295"/>
          <cell r="D1295"/>
          <cell r="E1295"/>
          <cell r="F1295"/>
          <cell r="G1295"/>
          <cell r="H1295"/>
          <cell r="I1295"/>
          <cell r="J1295"/>
          <cell r="L1295"/>
        </row>
        <row r="1296">
          <cell r="A1296"/>
          <cell r="D1296"/>
          <cell r="E1296"/>
          <cell r="F1296"/>
          <cell r="G1296"/>
          <cell r="H1296"/>
          <cell r="I1296"/>
          <cell r="J1296"/>
          <cell r="L1296"/>
        </row>
        <row r="1297">
          <cell r="A1297"/>
          <cell r="D1297"/>
          <cell r="E1297"/>
          <cell r="F1297"/>
          <cell r="G1297"/>
          <cell r="H1297"/>
          <cell r="I1297"/>
          <cell r="J1297"/>
          <cell r="L1297"/>
        </row>
        <row r="1298">
          <cell r="A1298"/>
          <cell r="D1298"/>
          <cell r="E1298"/>
          <cell r="F1298"/>
          <cell r="G1298"/>
          <cell r="H1298"/>
          <cell r="I1298"/>
          <cell r="J1298"/>
          <cell r="L1298"/>
        </row>
        <row r="1299">
          <cell r="A1299"/>
          <cell r="D1299"/>
          <cell r="E1299"/>
          <cell r="F1299"/>
          <cell r="G1299"/>
          <cell r="H1299"/>
          <cell r="I1299"/>
          <cell r="J1299"/>
          <cell r="L1299"/>
        </row>
        <row r="1300">
          <cell r="A1300"/>
          <cell r="D1300"/>
          <cell r="E1300"/>
          <cell r="F1300"/>
          <cell r="G1300"/>
          <cell r="H1300"/>
          <cell r="I1300"/>
          <cell r="J1300"/>
          <cell r="L1300"/>
        </row>
        <row r="1301">
          <cell r="A1301"/>
          <cell r="D1301"/>
          <cell r="E1301"/>
          <cell r="F1301"/>
          <cell r="G1301"/>
          <cell r="H1301"/>
          <cell r="I1301"/>
          <cell r="J1301"/>
          <cell r="L1301"/>
        </row>
        <row r="1302">
          <cell r="A1302"/>
          <cell r="D1302"/>
          <cell r="E1302"/>
          <cell r="F1302"/>
          <cell r="G1302"/>
          <cell r="H1302"/>
          <cell r="I1302"/>
          <cell r="J1302"/>
          <cell r="L1302"/>
        </row>
        <row r="1303">
          <cell r="A1303"/>
          <cell r="D1303"/>
          <cell r="E1303"/>
          <cell r="F1303"/>
          <cell r="G1303"/>
          <cell r="H1303"/>
          <cell r="I1303"/>
          <cell r="J1303"/>
          <cell r="L1303"/>
        </row>
        <row r="1304">
          <cell r="A1304"/>
          <cell r="D1304"/>
          <cell r="E1304"/>
          <cell r="F1304"/>
          <cell r="G1304"/>
          <cell r="H1304"/>
          <cell r="I1304"/>
          <cell r="J1304"/>
          <cell r="L1304"/>
        </row>
        <row r="1305">
          <cell r="A1305"/>
          <cell r="D1305"/>
          <cell r="E1305"/>
          <cell r="F1305"/>
          <cell r="G1305"/>
          <cell r="H1305"/>
          <cell r="I1305"/>
          <cell r="J1305"/>
          <cell r="L1305"/>
        </row>
        <row r="1306">
          <cell r="A1306"/>
          <cell r="D1306"/>
          <cell r="E1306"/>
          <cell r="F1306"/>
          <cell r="G1306"/>
          <cell r="H1306"/>
          <cell r="I1306"/>
          <cell r="J1306"/>
          <cell r="L1306"/>
        </row>
        <row r="1307">
          <cell r="A1307"/>
          <cell r="D1307"/>
          <cell r="E1307"/>
          <cell r="F1307"/>
          <cell r="G1307"/>
          <cell r="H1307"/>
          <cell r="I1307"/>
          <cell r="J1307"/>
          <cell r="L1307"/>
        </row>
        <row r="1308">
          <cell r="A1308"/>
          <cell r="D1308"/>
          <cell r="E1308"/>
          <cell r="F1308"/>
          <cell r="G1308"/>
          <cell r="H1308"/>
          <cell r="I1308"/>
          <cell r="J1308"/>
          <cell r="L1308"/>
        </row>
        <row r="1309">
          <cell r="A1309"/>
          <cell r="D1309"/>
          <cell r="E1309"/>
          <cell r="F1309"/>
          <cell r="G1309"/>
          <cell r="H1309"/>
          <cell r="I1309"/>
          <cell r="J1309"/>
          <cell r="L1309"/>
        </row>
        <row r="1310">
          <cell r="A1310"/>
          <cell r="D1310"/>
          <cell r="E1310"/>
          <cell r="F1310"/>
          <cell r="G1310"/>
          <cell r="H1310"/>
          <cell r="I1310"/>
          <cell r="J1310"/>
          <cell r="L1310"/>
        </row>
        <row r="1311">
          <cell r="A1311"/>
          <cell r="D1311"/>
          <cell r="E1311"/>
          <cell r="F1311"/>
          <cell r="G1311"/>
          <cell r="H1311"/>
          <cell r="I1311"/>
          <cell r="J1311"/>
          <cell r="L1311"/>
        </row>
        <row r="1312">
          <cell r="A1312"/>
          <cell r="D1312"/>
          <cell r="E1312"/>
          <cell r="F1312"/>
          <cell r="G1312"/>
          <cell r="H1312"/>
          <cell r="I1312"/>
          <cell r="J1312"/>
          <cell r="L1312"/>
        </row>
        <row r="1313">
          <cell r="A1313"/>
          <cell r="D1313"/>
          <cell r="E1313"/>
          <cell r="F1313"/>
          <cell r="G1313"/>
          <cell r="H1313"/>
          <cell r="I1313"/>
          <cell r="J1313"/>
          <cell r="L1313"/>
        </row>
        <row r="1314">
          <cell r="A1314"/>
          <cell r="D1314"/>
          <cell r="E1314"/>
          <cell r="F1314"/>
          <cell r="G1314"/>
          <cell r="H1314"/>
          <cell r="I1314"/>
          <cell r="J1314"/>
          <cell r="L1314"/>
        </row>
        <row r="1315">
          <cell r="A1315"/>
          <cell r="D1315"/>
          <cell r="E1315"/>
          <cell r="F1315"/>
          <cell r="G1315"/>
          <cell r="H1315"/>
          <cell r="I1315"/>
          <cell r="J1315"/>
          <cell r="L1315"/>
        </row>
        <row r="1316">
          <cell r="A1316"/>
          <cell r="D1316"/>
          <cell r="E1316"/>
          <cell r="F1316"/>
          <cell r="G1316"/>
          <cell r="H1316"/>
          <cell r="I1316"/>
          <cell r="J1316"/>
          <cell r="L1316"/>
        </row>
        <row r="1317">
          <cell r="A1317"/>
          <cell r="D1317"/>
          <cell r="E1317"/>
          <cell r="F1317"/>
          <cell r="G1317"/>
          <cell r="H1317"/>
          <cell r="I1317"/>
          <cell r="J1317"/>
          <cell r="L1317"/>
        </row>
        <row r="1318">
          <cell r="A1318"/>
          <cell r="D1318"/>
          <cell r="E1318"/>
          <cell r="F1318"/>
          <cell r="G1318"/>
          <cell r="H1318"/>
          <cell r="I1318"/>
          <cell r="J1318"/>
          <cell r="L1318"/>
        </row>
        <row r="1319">
          <cell r="A1319"/>
          <cell r="D1319"/>
          <cell r="E1319"/>
          <cell r="F1319"/>
          <cell r="G1319"/>
          <cell r="H1319"/>
          <cell r="I1319"/>
          <cell r="J1319"/>
          <cell r="L1319"/>
        </row>
        <row r="1320">
          <cell r="A1320"/>
          <cell r="D1320"/>
          <cell r="E1320"/>
          <cell r="F1320"/>
          <cell r="G1320"/>
          <cell r="H1320"/>
          <cell r="I1320"/>
          <cell r="J1320"/>
          <cell r="L1320"/>
        </row>
        <row r="1321">
          <cell r="A1321"/>
          <cell r="D1321"/>
          <cell r="E1321"/>
          <cell r="F1321"/>
          <cell r="G1321"/>
          <cell r="H1321"/>
          <cell r="I1321"/>
          <cell r="J1321"/>
          <cell r="L1321"/>
        </row>
        <row r="1322">
          <cell r="A1322"/>
          <cell r="D1322"/>
          <cell r="E1322"/>
          <cell r="F1322"/>
          <cell r="G1322"/>
          <cell r="H1322"/>
          <cell r="I1322"/>
          <cell r="J1322"/>
          <cell r="L1322"/>
        </row>
        <row r="1323">
          <cell r="A1323"/>
          <cell r="D1323"/>
          <cell r="E1323"/>
          <cell r="F1323"/>
          <cell r="G1323"/>
          <cell r="H1323"/>
          <cell r="I1323"/>
          <cell r="J1323"/>
          <cell r="L1323"/>
        </row>
        <row r="1324">
          <cell r="A1324"/>
          <cell r="D1324"/>
          <cell r="E1324"/>
          <cell r="F1324"/>
          <cell r="G1324"/>
          <cell r="H1324"/>
          <cell r="I1324"/>
          <cell r="J1324"/>
          <cell r="L1324"/>
        </row>
        <row r="1325">
          <cell r="A1325"/>
          <cell r="D1325"/>
          <cell r="E1325"/>
          <cell r="F1325"/>
          <cell r="G1325"/>
          <cell r="H1325"/>
          <cell r="I1325"/>
          <cell r="J1325"/>
          <cell r="L1325"/>
        </row>
        <row r="1326">
          <cell r="A1326"/>
          <cell r="D1326"/>
          <cell r="E1326"/>
          <cell r="F1326"/>
          <cell r="G1326"/>
          <cell r="H1326"/>
          <cell r="I1326"/>
          <cell r="J1326"/>
          <cell r="L1326"/>
        </row>
        <row r="1327">
          <cell r="A1327"/>
          <cell r="D1327"/>
          <cell r="E1327"/>
          <cell r="F1327"/>
          <cell r="G1327"/>
          <cell r="H1327"/>
          <cell r="I1327"/>
          <cell r="J1327"/>
          <cell r="L1327"/>
        </row>
        <row r="1328">
          <cell r="A1328"/>
          <cell r="D1328"/>
          <cell r="E1328"/>
          <cell r="F1328"/>
          <cell r="G1328"/>
          <cell r="H1328"/>
          <cell r="I1328"/>
          <cell r="J1328"/>
          <cell r="L1328"/>
        </row>
        <row r="1329">
          <cell r="A1329"/>
          <cell r="D1329"/>
          <cell r="E1329"/>
          <cell r="F1329"/>
          <cell r="G1329"/>
          <cell r="H1329"/>
          <cell r="I1329"/>
          <cell r="J1329"/>
          <cell r="L1329"/>
        </row>
        <row r="1330">
          <cell r="A1330"/>
          <cell r="D1330"/>
          <cell r="E1330"/>
          <cell r="F1330"/>
          <cell r="G1330"/>
          <cell r="H1330"/>
          <cell r="I1330"/>
          <cell r="J1330"/>
          <cell r="L1330"/>
        </row>
        <row r="1331">
          <cell r="A1331"/>
          <cell r="D1331"/>
          <cell r="E1331"/>
          <cell r="F1331"/>
          <cell r="G1331"/>
          <cell r="H1331"/>
          <cell r="I1331"/>
          <cell r="J1331"/>
          <cell r="L1331"/>
        </row>
        <row r="1332">
          <cell r="A1332"/>
          <cell r="D1332"/>
          <cell r="E1332"/>
          <cell r="F1332"/>
          <cell r="G1332"/>
          <cell r="H1332"/>
          <cell r="I1332"/>
          <cell r="J1332"/>
          <cell r="L1332"/>
        </row>
        <row r="1333">
          <cell r="A1333"/>
          <cell r="D1333"/>
          <cell r="E1333"/>
          <cell r="F1333"/>
          <cell r="G1333"/>
          <cell r="H1333"/>
          <cell r="I1333"/>
          <cell r="J1333"/>
          <cell r="L1333"/>
        </row>
        <row r="1334">
          <cell r="A1334"/>
          <cell r="D1334"/>
          <cell r="E1334"/>
          <cell r="F1334"/>
          <cell r="G1334"/>
          <cell r="H1334"/>
          <cell r="I1334"/>
          <cell r="J1334"/>
          <cell r="L1334"/>
        </row>
        <row r="1335">
          <cell r="A1335"/>
          <cell r="D1335"/>
          <cell r="E1335"/>
          <cell r="F1335"/>
          <cell r="G1335"/>
          <cell r="H1335"/>
          <cell r="I1335"/>
          <cell r="J1335"/>
          <cell r="L1335"/>
        </row>
        <row r="1336">
          <cell r="A1336"/>
          <cell r="D1336"/>
          <cell r="E1336"/>
          <cell r="F1336"/>
          <cell r="G1336"/>
          <cell r="H1336"/>
          <cell r="I1336"/>
          <cell r="J1336"/>
          <cell r="L1336"/>
        </row>
        <row r="1337">
          <cell r="A1337"/>
          <cell r="D1337"/>
          <cell r="E1337"/>
          <cell r="F1337"/>
          <cell r="G1337"/>
          <cell r="H1337"/>
          <cell r="I1337"/>
          <cell r="J1337"/>
          <cell r="L1337"/>
        </row>
        <row r="1338">
          <cell r="A1338"/>
          <cell r="D1338"/>
          <cell r="E1338"/>
          <cell r="F1338"/>
          <cell r="G1338"/>
          <cell r="H1338"/>
          <cell r="I1338"/>
          <cell r="J1338"/>
          <cell r="L1338"/>
        </row>
        <row r="1339">
          <cell r="A1339"/>
          <cell r="D1339"/>
          <cell r="E1339"/>
          <cell r="F1339"/>
          <cell r="G1339"/>
          <cell r="H1339"/>
          <cell r="I1339"/>
          <cell r="J1339"/>
          <cell r="L1339"/>
        </row>
        <row r="1340">
          <cell r="A1340"/>
          <cell r="D1340"/>
          <cell r="E1340"/>
          <cell r="F1340"/>
          <cell r="G1340"/>
          <cell r="H1340"/>
          <cell r="I1340"/>
          <cell r="J1340"/>
          <cell r="L1340"/>
        </row>
        <row r="1341">
          <cell r="A1341"/>
          <cell r="D1341"/>
          <cell r="E1341"/>
          <cell r="F1341"/>
          <cell r="G1341"/>
          <cell r="H1341"/>
          <cell r="I1341"/>
          <cell r="J1341"/>
          <cell r="L1341"/>
        </row>
        <row r="1342">
          <cell r="A1342"/>
          <cell r="D1342"/>
          <cell r="E1342"/>
          <cell r="F1342"/>
          <cell r="G1342"/>
          <cell r="H1342"/>
          <cell r="I1342"/>
          <cell r="J1342"/>
          <cell r="L1342"/>
        </row>
        <row r="1343">
          <cell r="A1343"/>
          <cell r="D1343"/>
          <cell r="E1343"/>
          <cell r="F1343"/>
          <cell r="G1343"/>
          <cell r="H1343"/>
          <cell r="I1343"/>
          <cell r="J1343"/>
          <cell r="L1343"/>
        </row>
        <row r="1344">
          <cell r="A1344"/>
          <cell r="D1344"/>
          <cell r="E1344"/>
          <cell r="F1344"/>
          <cell r="G1344"/>
          <cell r="H1344"/>
          <cell r="I1344"/>
          <cell r="J1344"/>
          <cell r="L1344"/>
        </row>
        <row r="1345">
          <cell r="A1345"/>
          <cell r="D1345"/>
          <cell r="E1345"/>
          <cell r="F1345"/>
          <cell r="G1345"/>
          <cell r="H1345"/>
          <cell r="I1345"/>
          <cell r="J1345"/>
          <cell r="L1345"/>
        </row>
        <row r="1346">
          <cell r="A1346"/>
          <cell r="D1346"/>
          <cell r="E1346"/>
          <cell r="F1346"/>
          <cell r="G1346"/>
          <cell r="H1346"/>
          <cell r="I1346"/>
          <cell r="J1346"/>
          <cell r="L1346"/>
        </row>
        <row r="1347">
          <cell r="A1347"/>
          <cell r="D1347"/>
          <cell r="E1347"/>
          <cell r="F1347"/>
          <cell r="G1347"/>
          <cell r="H1347"/>
          <cell r="I1347"/>
          <cell r="J1347"/>
          <cell r="L1347"/>
        </row>
        <row r="1348">
          <cell r="A1348"/>
          <cell r="D1348"/>
          <cell r="E1348"/>
          <cell r="F1348"/>
          <cell r="G1348"/>
          <cell r="H1348"/>
          <cell r="I1348"/>
          <cell r="J1348"/>
          <cell r="L1348"/>
        </row>
        <row r="1349">
          <cell r="A1349"/>
          <cell r="D1349"/>
          <cell r="E1349"/>
          <cell r="F1349"/>
          <cell r="G1349"/>
          <cell r="H1349"/>
          <cell r="I1349"/>
          <cell r="J1349"/>
          <cell r="L1349"/>
        </row>
        <row r="1350">
          <cell r="A1350"/>
          <cell r="D1350"/>
          <cell r="E1350"/>
          <cell r="F1350"/>
          <cell r="G1350"/>
          <cell r="H1350"/>
          <cell r="I1350"/>
          <cell r="J1350"/>
          <cell r="L1350"/>
        </row>
        <row r="1351">
          <cell r="A1351"/>
          <cell r="D1351"/>
          <cell r="E1351"/>
          <cell r="F1351"/>
          <cell r="G1351"/>
          <cell r="H1351"/>
          <cell r="I1351"/>
          <cell r="J1351"/>
          <cell r="L1351"/>
        </row>
        <row r="1352">
          <cell r="A1352"/>
          <cell r="D1352"/>
          <cell r="E1352"/>
          <cell r="F1352"/>
          <cell r="G1352"/>
          <cell r="H1352"/>
          <cell r="I1352"/>
          <cell r="J1352"/>
          <cell r="L1352"/>
        </row>
        <row r="1353">
          <cell r="A1353"/>
          <cell r="D1353"/>
          <cell r="E1353"/>
          <cell r="F1353"/>
          <cell r="G1353"/>
          <cell r="H1353"/>
          <cell r="I1353"/>
          <cell r="J1353"/>
          <cell r="L1353"/>
        </row>
        <row r="1354">
          <cell r="A1354"/>
          <cell r="D1354"/>
          <cell r="E1354"/>
          <cell r="F1354"/>
          <cell r="G1354"/>
          <cell r="H1354"/>
          <cell r="I1354"/>
          <cell r="J1354"/>
          <cell r="L1354"/>
        </row>
        <row r="1355">
          <cell r="A1355"/>
          <cell r="D1355"/>
          <cell r="E1355"/>
          <cell r="F1355"/>
          <cell r="G1355"/>
          <cell r="H1355"/>
          <cell r="I1355"/>
          <cell r="J1355"/>
          <cell r="L1355"/>
        </row>
        <row r="1356">
          <cell r="A1356"/>
          <cell r="D1356"/>
          <cell r="E1356"/>
          <cell r="F1356"/>
          <cell r="G1356"/>
          <cell r="H1356"/>
          <cell r="I1356"/>
          <cell r="J1356"/>
          <cell r="L1356"/>
        </row>
        <row r="1357">
          <cell r="A1357"/>
          <cell r="D1357"/>
          <cell r="E1357"/>
          <cell r="F1357"/>
          <cell r="G1357"/>
          <cell r="H1357"/>
          <cell r="I1357"/>
          <cell r="J1357"/>
          <cell r="L1357"/>
        </row>
        <row r="1358">
          <cell r="A1358"/>
          <cell r="D1358"/>
          <cell r="E1358"/>
          <cell r="F1358"/>
          <cell r="G1358"/>
          <cell r="H1358"/>
          <cell r="I1358"/>
          <cell r="J1358"/>
          <cell r="L1358"/>
        </row>
        <row r="1359">
          <cell r="A1359"/>
          <cell r="D1359"/>
          <cell r="E1359"/>
          <cell r="F1359"/>
          <cell r="G1359"/>
          <cell r="H1359"/>
          <cell r="I1359"/>
          <cell r="J1359"/>
          <cell r="L1359"/>
        </row>
        <row r="1360">
          <cell r="A1360"/>
          <cell r="D1360"/>
          <cell r="E1360"/>
          <cell r="F1360"/>
          <cell r="G1360"/>
          <cell r="H1360"/>
          <cell r="I1360"/>
          <cell r="J1360"/>
          <cell r="L1360"/>
        </row>
        <row r="1361">
          <cell r="A1361"/>
          <cell r="D1361"/>
          <cell r="E1361"/>
          <cell r="F1361"/>
          <cell r="G1361"/>
          <cell r="H1361"/>
          <cell r="I1361"/>
          <cell r="J1361"/>
          <cell r="L1361"/>
        </row>
        <row r="1362">
          <cell r="A1362"/>
          <cell r="D1362"/>
          <cell r="E1362"/>
          <cell r="F1362"/>
          <cell r="G1362"/>
          <cell r="H1362"/>
          <cell r="I1362"/>
          <cell r="J1362"/>
          <cell r="L1362"/>
        </row>
        <row r="1363">
          <cell r="A1363"/>
          <cell r="D1363"/>
          <cell r="E1363"/>
          <cell r="F1363"/>
          <cell r="G1363"/>
          <cell r="H1363"/>
          <cell r="I1363"/>
          <cell r="J1363"/>
          <cell r="L1363"/>
        </row>
        <row r="1364">
          <cell r="A1364"/>
          <cell r="D1364"/>
          <cell r="E1364"/>
          <cell r="F1364"/>
          <cell r="G1364"/>
          <cell r="H1364"/>
          <cell r="I1364"/>
          <cell r="J1364"/>
          <cell r="L1364"/>
        </row>
        <row r="1365">
          <cell r="A1365"/>
          <cell r="D1365"/>
          <cell r="E1365"/>
          <cell r="F1365"/>
          <cell r="G1365"/>
          <cell r="H1365"/>
          <cell r="I1365"/>
          <cell r="J1365"/>
          <cell r="L1365"/>
        </row>
        <row r="1366">
          <cell r="A1366"/>
          <cell r="D1366"/>
          <cell r="E1366"/>
          <cell r="F1366"/>
          <cell r="G1366"/>
          <cell r="H1366"/>
          <cell r="I1366"/>
          <cell r="J1366"/>
          <cell r="L1366"/>
        </row>
        <row r="1367">
          <cell r="A1367"/>
          <cell r="D1367"/>
          <cell r="E1367"/>
          <cell r="F1367"/>
          <cell r="G1367"/>
          <cell r="H1367"/>
          <cell r="I1367"/>
          <cell r="J1367"/>
          <cell r="L1367"/>
        </row>
        <row r="1368">
          <cell r="A1368"/>
          <cell r="D1368"/>
          <cell r="E1368"/>
          <cell r="F1368"/>
          <cell r="G1368"/>
          <cell r="H1368"/>
          <cell r="I1368"/>
          <cell r="J1368"/>
          <cell r="L1368"/>
        </row>
        <row r="1369">
          <cell r="A1369"/>
          <cell r="D1369"/>
          <cell r="E1369"/>
          <cell r="F1369"/>
          <cell r="G1369"/>
          <cell r="H1369"/>
          <cell r="I1369"/>
          <cell r="J1369"/>
          <cell r="L1369"/>
        </row>
        <row r="1370">
          <cell r="A1370"/>
          <cell r="D1370"/>
          <cell r="E1370"/>
          <cell r="F1370"/>
          <cell r="G1370"/>
          <cell r="H1370"/>
          <cell r="I1370"/>
          <cell r="J1370"/>
          <cell r="L1370"/>
        </row>
        <row r="1371">
          <cell r="A1371"/>
          <cell r="D1371"/>
          <cell r="E1371"/>
          <cell r="F1371"/>
          <cell r="G1371"/>
          <cell r="H1371"/>
          <cell r="I1371"/>
          <cell r="J1371"/>
          <cell r="L1371"/>
        </row>
        <row r="1372">
          <cell r="A1372"/>
          <cell r="D1372"/>
          <cell r="E1372"/>
          <cell r="F1372"/>
          <cell r="G1372"/>
          <cell r="H1372"/>
          <cell r="I1372"/>
          <cell r="J1372"/>
          <cell r="L1372"/>
        </row>
        <row r="1373">
          <cell r="A1373"/>
          <cell r="D1373"/>
          <cell r="E1373"/>
          <cell r="F1373"/>
          <cell r="G1373"/>
          <cell r="H1373"/>
          <cell r="I1373"/>
          <cell r="J1373"/>
          <cell r="L1373"/>
        </row>
        <row r="1374">
          <cell r="A1374"/>
          <cell r="D1374"/>
          <cell r="E1374"/>
          <cell r="F1374"/>
          <cell r="G1374"/>
          <cell r="H1374"/>
          <cell r="I1374"/>
          <cell r="J1374"/>
          <cell r="L1374"/>
        </row>
        <row r="1375">
          <cell r="A1375"/>
          <cell r="D1375"/>
          <cell r="E1375"/>
          <cell r="F1375"/>
          <cell r="G1375"/>
          <cell r="H1375"/>
          <cell r="I1375"/>
          <cell r="J1375"/>
          <cell r="L1375"/>
        </row>
        <row r="1376">
          <cell r="A1376"/>
          <cell r="D1376"/>
          <cell r="E1376"/>
          <cell r="F1376"/>
          <cell r="G1376"/>
          <cell r="H1376"/>
          <cell r="I1376"/>
          <cell r="J1376"/>
          <cell r="L1376"/>
        </row>
        <row r="1377">
          <cell r="A1377"/>
          <cell r="D1377"/>
          <cell r="E1377"/>
          <cell r="F1377"/>
          <cell r="G1377"/>
          <cell r="H1377"/>
          <cell r="I1377"/>
          <cell r="J1377"/>
          <cell r="L1377"/>
        </row>
        <row r="1378">
          <cell r="A1378"/>
          <cell r="D1378"/>
          <cell r="E1378"/>
          <cell r="F1378"/>
          <cell r="G1378"/>
          <cell r="H1378"/>
          <cell r="I1378"/>
          <cell r="J1378"/>
          <cell r="L1378"/>
        </row>
        <row r="1379">
          <cell r="A1379"/>
          <cell r="D1379"/>
          <cell r="E1379"/>
          <cell r="F1379"/>
          <cell r="G1379"/>
          <cell r="H1379"/>
          <cell r="I1379"/>
          <cell r="J1379"/>
          <cell r="L1379"/>
        </row>
        <row r="1380">
          <cell r="A1380"/>
          <cell r="D1380"/>
          <cell r="E1380"/>
          <cell r="F1380"/>
          <cell r="G1380"/>
          <cell r="H1380"/>
          <cell r="I1380"/>
          <cell r="J1380"/>
          <cell r="L1380"/>
        </row>
        <row r="1381">
          <cell r="A1381"/>
          <cell r="D1381"/>
          <cell r="E1381"/>
          <cell r="F1381"/>
          <cell r="G1381"/>
          <cell r="H1381"/>
          <cell r="I1381"/>
          <cell r="J1381"/>
          <cell r="L1381"/>
        </row>
        <row r="1382">
          <cell r="A1382"/>
          <cell r="D1382"/>
          <cell r="E1382"/>
          <cell r="F1382"/>
          <cell r="G1382"/>
          <cell r="H1382"/>
          <cell r="I1382"/>
          <cell r="J1382"/>
          <cell r="L1382"/>
        </row>
        <row r="1383">
          <cell r="A1383"/>
          <cell r="D1383"/>
          <cell r="E1383"/>
          <cell r="F1383"/>
          <cell r="G1383"/>
          <cell r="H1383"/>
          <cell r="I1383"/>
          <cell r="J1383"/>
          <cell r="L1383"/>
        </row>
        <row r="1384">
          <cell r="A1384"/>
          <cell r="D1384"/>
          <cell r="E1384"/>
          <cell r="F1384"/>
          <cell r="G1384"/>
          <cell r="H1384"/>
          <cell r="I1384"/>
          <cell r="J1384"/>
          <cell r="L1384"/>
        </row>
        <row r="1385">
          <cell r="A1385"/>
          <cell r="D1385"/>
          <cell r="E1385"/>
          <cell r="F1385"/>
          <cell r="G1385"/>
          <cell r="H1385"/>
          <cell r="I1385"/>
          <cell r="J1385"/>
          <cell r="L1385"/>
        </row>
        <row r="1386">
          <cell r="A1386"/>
          <cell r="D1386"/>
          <cell r="E1386"/>
          <cell r="F1386"/>
          <cell r="G1386"/>
          <cell r="H1386"/>
          <cell r="I1386"/>
          <cell r="J1386"/>
          <cell r="L1386"/>
        </row>
        <row r="1387">
          <cell r="A1387"/>
          <cell r="D1387"/>
          <cell r="E1387"/>
          <cell r="F1387"/>
          <cell r="G1387"/>
          <cell r="H1387"/>
          <cell r="I1387"/>
          <cell r="J1387"/>
          <cell r="L1387"/>
        </row>
        <row r="1388">
          <cell r="A1388"/>
          <cell r="D1388"/>
          <cell r="E1388"/>
          <cell r="F1388"/>
          <cell r="G1388"/>
          <cell r="H1388"/>
          <cell r="I1388"/>
          <cell r="J1388"/>
          <cell r="L1388"/>
        </row>
        <row r="1389">
          <cell r="A1389"/>
          <cell r="D1389"/>
          <cell r="E1389"/>
          <cell r="F1389"/>
          <cell r="G1389"/>
          <cell r="H1389"/>
          <cell r="I1389"/>
          <cell r="J1389"/>
          <cell r="L1389"/>
        </row>
        <row r="1390">
          <cell r="A1390"/>
          <cell r="D1390"/>
          <cell r="E1390"/>
          <cell r="F1390"/>
          <cell r="G1390"/>
          <cell r="H1390"/>
          <cell r="I1390"/>
          <cell r="J1390"/>
          <cell r="L1390"/>
        </row>
        <row r="1391">
          <cell r="A1391"/>
          <cell r="D1391"/>
          <cell r="E1391"/>
          <cell r="F1391"/>
          <cell r="G1391"/>
          <cell r="H1391"/>
          <cell r="I1391"/>
          <cell r="J1391"/>
          <cell r="L1391"/>
        </row>
        <row r="1392">
          <cell r="A1392"/>
          <cell r="D1392"/>
          <cell r="E1392"/>
          <cell r="F1392"/>
          <cell r="G1392"/>
          <cell r="H1392"/>
          <cell r="I1392"/>
          <cell r="J1392"/>
          <cell r="L1392"/>
        </row>
        <row r="1393">
          <cell r="A1393"/>
          <cell r="D1393"/>
          <cell r="E1393"/>
          <cell r="F1393"/>
          <cell r="G1393"/>
          <cell r="H1393"/>
          <cell r="I1393"/>
          <cell r="J1393"/>
          <cell r="L1393"/>
        </row>
        <row r="1394">
          <cell r="A1394"/>
          <cell r="D1394"/>
          <cell r="E1394"/>
          <cell r="F1394"/>
          <cell r="G1394"/>
          <cell r="H1394"/>
          <cell r="I1394"/>
          <cell r="J1394"/>
          <cell r="L1394"/>
        </row>
        <row r="1395">
          <cell r="A1395"/>
          <cell r="D1395"/>
          <cell r="E1395"/>
          <cell r="F1395"/>
          <cell r="G1395"/>
          <cell r="H1395"/>
          <cell r="I1395"/>
          <cell r="J1395"/>
          <cell r="L1395"/>
        </row>
        <row r="1396">
          <cell r="A1396"/>
          <cell r="D1396"/>
          <cell r="E1396"/>
          <cell r="F1396"/>
          <cell r="G1396"/>
          <cell r="H1396"/>
          <cell r="I1396"/>
          <cell r="J1396"/>
          <cell r="L1396"/>
        </row>
        <row r="1397">
          <cell r="A1397"/>
          <cell r="D1397"/>
          <cell r="E1397"/>
          <cell r="F1397"/>
          <cell r="G1397"/>
          <cell r="H1397"/>
          <cell r="I1397"/>
          <cell r="J1397"/>
          <cell r="L1397"/>
        </row>
        <row r="1398">
          <cell r="A1398"/>
          <cell r="D1398"/>
          <cell r="E1398"/>
          <cell r="F1398"/>
          <cell r="G1398"/>
          <cell r="H1398"/>
          <cell r="I1398"/>
          <cell r="J1398"/>
          <cell r="L1398"/>
        </row>
        <row r="1399">
          <cell r="A1399"/>
          <cell r="D1399"/>
          <cell r="E1399"/>
          <cell r="F1399"/>
          <cell r="G1399"/>
          <cell r="H1399"/>
          <cell r="I1399"/>
          <cell r="J1399"/>
          <cell r="L1399"/>
        </row>
        <row r="1400">
          <cell r="A1400"/>
          <cell r="D1400"/>
          <cell r="E1400"/>
          <cell r="F1400"/>
          <cell r="G1400"/>
          <cell r="H1400"/>
          <cell r="I1400"/>
          <cell r="J1400"/>
          <cell r="L1400"/>
        </row>
        <row r="1401">
          <cell r="A1401"/>
          <cell r="D1401"/>
          <cell r="E1401"/>
          <cell r="F1401"/>
          <cell r="G1401"/>
          <cell r="H1401"/>
          <cell r="I1401"/>
          <cell r="J1401"/>
          <cell r="L1401"/>
        </row>
        <row r="1402">
          <cell r="A1402"/>
          <cell r="D1402"/>
          <cell r="E1402"/>
          <cell r="F1402"/>
          <cell r="G1402"/>
          <cell r="H1402"/>
          <cell r="I1402"/>
          <cell r="J1402"/>
          <cell r="L1402"/>
        </row>
        <row r="1403">
          <cell r="A1403"/>
          <cell r="D1403"/>
          <cell r="E1403"/>
          <cell r="F1403"/>
          <cell r="G1403"/>
          <cell r="H1403"/>
          <cell r="I1403"/>
          <cell r="J1403"/>
          <cell r="L1403"/>
        </row>
        <row r="1404">
          <cell r="A1404"/>
          <cell r="D1404"/>
          <cell r="E1404"/>
          <cell r="F1404"/>
          <cell r="G1404"/>
          <cell r="H1404"/>
          <cell r="I1404"/>
          <cell r="J1404"/>
          <cell r="L1404"/>
        </row>
        <row r="1405">
          <cell r="A1405"/>
          <cell r="D1405"/>
          <cell r="E1405"/>
          <cell r="F1405"/>
          <cell r="G1405"/>
          <cell r="H1405"/>
          <cell r="I1405"/>
          <cell r="J1405"/>
          <cell r="L1405"/>
        </row>
        <row r="1406">
          <cell r="A1406"/>
          <cell r="D1406"/>
          <cell r="E1406"/>
          <cell r="F1406"/>
          <cell r="G1406"/>
          <cell r="H1406"/>
          <cell r="I1406"/>
          <cell r="J1406"/>
          <cell r="L1406"/>
        </row>
        <row r="1407">
          <cell r="A1407"/>
          <cell r="D1407"/>
          <cell r="E1407"/>
          <cell r="F1407"/>
          <cell r="G1407"/>
          <cell r="H1407"/>
          <cell r="I1407"/>
          <cell r="J1407"/>
          <cell r="L1407"/>
        </row>
        <row r="1408">
          <cell r="A1408"/>
          <cell r="D1408"/>
          <cell r="E1408"/>
          <cell r="F1408"/>
          <cell r="G1408"/>
          <cell r="H1408"/>
          <cell r="I1408"/>
          <cell r="J1408"/>
          <cell r="L1408"/>
        </row>
        <row r="1409">
          <cell r="A1409"/>
          <cell r="D1409"/>
          <cell r="E1409"/>
          <cell r="F1409"/>
          <cell r="G1409"/>
          <cell r="H1409"/>
          <cell r="I1409"/>
          <cell r="J1409"/>
          <cell r="L1409"/>
        </row>
        <row r="1410">
          <cell r="A1410"/>
          <cell r="D1410"/>
          <cell r="E1410"/>
          <cell r="F1410"/>
          <cell r="G1410"/>
          <cell r="H1410"/>
          <cell r="I1410"/>
          <cell r="J1410"/>
          <cell r="L1410"/>
        </row>
        <row r="1411">
          <cell r="A1411"/>
          <cell r="D1411"/>
          <cell r="E1411"/>
          <cell r="F1411"/>
          <cell r="G1411"/>
          <cell r="H1411"/>
          <cell r="I1411"/>
          <cell r="J1411"/>
          <cell r="L1411"/>
        </row>
        <row r="1412">
          <cell r="A1412"/>
          <cell r="D1412"/>
          <cell r="E1412"/>
          <cell r="F1412"/>
          <cell r="G1412"/>
          <cell r="H1412"/>
          <cell r="I1412"/>
          <cell r="J1412"/>
          <cell r="L1412"/>
        </row>
        <row r="1413">
          <cell r="A1413"/>
          <cell r="D1413"/>
          <cell r="E1413"/>
          <cell r="F1413"/>
          <cell r="G1413"/>
          <cell r="H1413"/>
          <cell r="I1413"/>
          <cell r="J1413"/>
          <cell r="L1413"/>
        </row>
        <row r="1414">
          <cell r="A1414"/>
          <cell r="D1414"/>
          <cell r="E1414"/>
          <cell r="F1414"/>
          <cell r="G1414"/>
          <cell r="H1414"/>
          <cell r="I1414"/>
          <cell r="J1414"/>
          <cell r="L1414"/>
        </row>
        <row r="1415">
          <cell r="A1415"/>
          <cell r="D1415"/>
          <cell r="E1415"/>
          <cell r="F1415"/>
          <cell r="G1415"/>
          <cell r="H1415"/>
          <cell r="I1415"/>
          <cell r="J1415"/>
          <cell r="L1415"/>
        </row>
        <row r="1416">
          <cell r="A1416"/>
          <cell r="D1416"/>
          <cell r="E1416"/>
          <cell r="F1416"/>
          <cell r="G1416"/>
          <cell r="H1416"/>
          <cell r="I1416"/>
          <cell r="J1416"/>
          <cell r="L1416"/>
        </row>
        <row r="1417">
          <cell r="A1417"/>
          <cell r="D1417"/>
          <cell r="E1417"/>
          <cell r="F1417"/>
          <cell r="G1417"/>
          <cell r="H1417"/>
          <cell r="I1417"/>
          <cell r="J1417"/>
          <cell r="L1417"/>
        </row>
        <row r="1418">
          <cell r="A1418"/>
          <cell r="D1418"/>
          <cell r="E1418"/>
          <cell r="F1418"/>
          <cell r="G1418"/>
          <cell r="H1418"/>
          <cell r="I1418"/>
          <cell r="J1418"/>
          <cell r="L1418"/>
        </row>
        <row r="1419">
          <cell r="A1419"/>
          <cell r="D1419"/>
          <cell r="E1419"/>
          <cell r="F1419"/>
          <cell r="G1419"/>
          <cell r="H1419"/>
          <cell r="I1419"/>
          <cell r="J1419"/>
          <cell r="L1419"/>
        </row>
        <row r="1420">
          <cell r="A1420"/>
          <cell r="D1420"/>
          <cell r="E1420"/>
          <cell r="F1420"/>
          <cell r="G1420"/>
          <cell r="H1420"/>
          <cell r="I1420"/>
          <cell r="J1420"/>
          <cell r="L1420"/>
        </row>
        <row r="1421">
          <cell r="A1421"/>
          <cell r="D1421"/>
          <cell r="E1421"/>
          <cell r="F1421"/>
          <cell r="G1421"/>
          <cell r="H1421"/>
          <cell r="I1421"/>
          <cell r="J1421"/>
          <cell r="L1421"/>
        </row>
        <row r="1422">
          <cell r="A1422"/>
          <cell r="D1422"/>
          <cell r="E1422"/>
          <cell r="F1422"/>
          <cell r="G1422"/>
          <cell r="H1422"/>
          <cell r="I1422"/>
          <cell r="J1422"/>
          <cell r="L1422"/>
        </row>
        <row r="1423">
          <cell r="A1423"/>
          <cell r="D1423"/>
          <cell r="E1423"/>
          <cell r="F1423"/>
          <cell r="G1423"/>
          <cell r="H1423"/>
          <cell r="I1423"/>
          <cell r="J1423"/>
          <cell r="L1423"/>
        </row>
        <row r="1424">
          <cell r="A1424"/>
          <cell r="D1424"/>
          <cell r="E1424"/>
          <cell r="F1424"/>
          <cell r="G1424"/>
          <cell r="H1424"/>
          <cell r="I1424"/>
          <cell r="J1424"/>
          <cell r="L1424"/>
        </row>
        <row r="1425">
          <cell r="A1425"/>
          <cell r="D1425"/>
          <cell r="E1425"/>
          <cell r="F1425"/>
          <cell r="G1425"/>
          <cell r="H1425"/>
          <cell r="I1425"/>
          <cell r="J1425"/>
          <cell r="L1425"/>
        </row>
        <row r="1426">
          <cell r="A1426"/>
          <cell r="D1426"/>
          <cell r="E1426"/>
          <cell r="F1426"/>
          <cell r="G1426"/>
          <cell r="H1426"/>
          <cell r="I1426"/>
          <cell r="J1426"/>
          <cell r="L1426"/>
        </row>
        <row r="1427">
          <cell r="A1427"/>
          <cell r="D1427"/>
          <cell r="E1427"/>
          <cell r="F1427"/>
          <cell r="G1427"/>
          <cell r="H1427"/>
          <cell r="I1427"/>
          <cell r="J1427"/>
          <cell r="L1427"/>
        </row>
        <row r="1428">
          <cell r="A1428"/>
          <cell r="D1428"/>
          <cell r="E1428"/>
          <cell r="F1428"/>
          <cell r="G1428"/>
          <cell r="H1428"/>
          <cell r="I1428"/>
          <cell r="J1428"/>
          <cell r="L1428"/>
        </row>
        <row r="1429">
          <cell r="A1429"/>
          <cell r="D1429"/>
          <cell r="E1429"/>
          <cell r="F1429"/>
          <cell r="G1429"/>
          <cell r="H1429"/>
          <cell r="I1429"/>
          <cell r="J1429"/>
          <cell r="L1429"/>
        </row>
        <row r="1430">
          <cell r="A1430"/>
          <cell r="D1430"/>
          <cell r="E1430"/>
          <cell r="F1430"/>
          <cell r="G1430"/>
          <cell r="H1430"/>
          <cell r="I1430"/>
          <cell r="J1430"/>
          <cell r="L1430"/>
        </row>
        <row r="1431">
          <cell r="A1431"/>
          <cell r="D1431"/>
          <cell r="E1431"/>
          <cell r="F1431"/>
          <cell r="G1431"/>
          <cell r="H1431"/>
          <cell r="I1431"/>
          <cell r="J1431"/>
          <cell r="L1431"/>
        </row>
        <row r="1432">
          <cell r="A1432"/>
          <cell r="D1432"/>
          <cell r="E1432"/>
          <cell r="F1432"/>
          <cell r="G1432"/>
          <cell r="H1432"/>
          <cell r="I1432"/>
          <cell r="J1432"/>
          <cell r="L1432"/>
        </row>
        <row r="1433">
          <cell r="A1433"/>
          <cell r="D1433"/>
          <cell r="E1433"/>
          <cell r="F1433"/>
          <cell r="G1433"/>
          <cell r="H1433"/>
          <cell r="I1433"/>
          <cell r="J1433"/>
          <cell r="L1433"/>
        </row>
        <row r="1434">
          <cell r="A1434"/>
          <cell r="D1434"/>
          <cell r="E1434"/>
          <cell r="F1434"/>
          <cell r="G1434"/>
          <cell r="H1434"/>
          <cell r="I1434"/>
          <cell r="J1434"/>
          <cell r="L1434"/>
        </row>
        <row r="1435">
          <cell r="A1435"/>
          <cell r="D1435"/>
          <cell r="E1435"/>
          <cell r="F1435"/>
          <cell r="G1435"/>
          <cell r="H1435"/>
          <cell r="I1435"/>
          <cell r="J1435"/>
          <cell r="L1435"/>
        </row>
        <row r="1436">
          <cell r="A1436"/>
          <cell r="D1436"/>
          <cell r="E1436"/>
          <cell r="F1436"/>
          <cell r="G1436"/>
          <cell r="H1436"/>
          <cell r="I1436"/>
          <cell r="J1436"/>
          <cell r="L1436"/>
        </row>
        <row r="1437">
          <cell r="A1437"/>
          <cell r="D1437"/>
          <cell r="E1437"/>
          <cell r="F1437"/>
          <cell r="G1437"/>
          <cell r="H1437"/>
          <cell r="I1437"/>
          <cell r="J1437"/>
          <cell r="L1437"/>
        </row>
        <row r="1438">
          <cell r="A1438"/>
          <cell r="D1438"/>
          <cell r="E1438"/>
          <cell r="F1438"/>
          <cell r="G1438"/>
          <cell r="H1438"/>
          <cell r="I1438"/>
          <cell r="J1438"/>
          <cell r="L1438"/>
        </row>
        <row r="1439">
          <cell r="A1439"/>
          <cell r="D1439"/>
          <cell r="E1439"/>
          <cell r="F1439"/>
          <cell r="G1439"/>
          <cell r="H1439"/>
          <cell r="I1439"/>
          <cell r="J1439"/>
          <cell r="L1439"/>
        </row>
        <row r="1440">
          <cell r="A1440"/>
          <cell r="D1440"/>
          <cell r="E1440"/>
          <cell r="F1440"/>
          <cell r="G1440"/>
          <cell r="H1440"/>
          <cell r="I1440"/>
          <cell r="J1440"/>
          <cell r="L1440"/>
        </row>
        <row r="1441">
          <cell r="A1441"/>
          <cell r="D1441"/>
          <cell r="E1441"/>
          <cell r="F1441"/>
          <cell r="G1441"/>
          <cell r="H1441"/>
          <cell r="I1441"/>
          <cell r="J1441"/>
          <cell r="L1441"/>
        </row>
        <row r="1442">
          <cell r="A1442"/>
          <cell r="D1442"/>
          <cell r="E1442"/>
          <cell r="F1442"/>
          <cell r="G1442"/>
          <cell r="H1442"/>
          <cell r="I1442"/>
          <cell r="J1442"/>
          <cell r="L1442"/>
        </row>
        <row r="1443">
          <cell r="A1443"/>
          <cell r="D1443"/>
          <cell r="E1443"/>
          <cell r="F1443"/>
          <cell r="G1443"/>
          <cell r="H1443"/>
          <cell r="I1443"/>
          <cell r="J1443"/>
          <cell r="L1443"/>
        </row>
        <row r="1444">
          <cell r="A1444"/>
          <cell r="D1444"/>
          <cell r="E1444"/>
          <cell r="F1444"/>
          <cell r="G1444"/>
          <cell r="H1444"/>
          <cell r="I1444"/>
          <cell r="J1444"/>
          <cell r="L1444"/>
        </row>
        <row r="1445">
          <cell r="A1445"/>
          <cell r="D1445"/>
          <cell r="E1445"/>
          <cell r="F1445"/>
          <cell r="G1445"/>
          <cell r="H1445"/>
          <cell r="I1445"/>
          <cell r="J1445"/>
          <cell r="L1445"/>
        </row>
        <row r="1446">
          <cell r="A1446"/>
          <cell r="D1446"/>
          <cell r="E1446"/>
          <cell r="F1446"/>
          <cell r="G1446"/>
          <cell r="H1446"/>
          <cell r="I1446"/>
          <cell r="J1446"/>
          <cell r="L1446"/>
        </row>
        <row r="1447">
          <cell r="A1447"/>
          <cell r="D1447"/>
          <cell r="E1447"/>
          <cell r="F1447"/>
          <cell r="G1447"/>
          <cell r="H1447"/>
          <cell r="I1447"/>
          <cell r="J1447"/>
          <cell r="L1447"/>
        </row>
        <row r="1448">
          <cell r="A1448"/>
          <cell r="D1448"/>
          <cell r="E1448"/>
          <cell r="F1448"/>
          <cell r="G1448"/>
          <cell r="H1448"/>
          <cell r="I1448"/>
          <cell r="J1448"/>
          <cell r="L1448"/>
        </row>
        <row r="1449">
          <cell r="A1449"/>
          <cell r="D1449"/>
          <cell r="E1449"/>
          <cell r="F1449"/>
          <cell r="G1449"/>
          <cell r="H1449"/>
          <cell r="I1449"/>
          <cell r="J1449"/>
          <cell r="L1449"/>
        </row>
        <row r="1450">
          <cell r="A1450"/>
          <cell r="D1450"/>
          <cell r="E1450"/>
          <cell r="F1450"/>
          <cell r="G1450"/>
          <cell r="H1450"/>
          <cell r="I1450"/>
          <cell r="J1450"/>
          <cell r="L1450"/>
        </row>
        <row r="1451">
          <cell r="A1451"/>
          <cell r="D1451"/>
          <cell r="E1451"/>
          <cell r="F1451"/>
          <cell r="G1451"/>
          <cell r="H1451"/>
          <cell r="I1451"/>
          <cell r="J1451"/>
          <cell r="L1451"/>
        </row>
        <row r="1452">
          <cell r="A1452"/>
          <cell r="D1452"/>
          <cell r="E1452"/>
          <cell r="F1452"/>
          <cell r="G1452"/>
          <cell r="H1452"/>
          <cell r="I1452"/>
          <cell r="J1452"/>
          <cell r="L1452"/>
        </row>
        <row r="1453">
          <cell r="A1453"/>
          <cell r="D1453"/>
          <cell r="E1453"/>
          <cell r="F1453"/>
          <cell r="G1453"/>
          <cell r="H1453"/>
          <cell r="I1453"/>
          <cell r="J1453"/>
          <cell r="L1453"/>
        </row>
        <row r="1454">
          <cell r="A1454"/>
          <cell r="D1454"/>
          <cell r="E1454"/>
          <cell r="F1454"/>
          <cell r="G1454"/>
          <cell r="H1454"/>
          <cell r="I1454"/>
          <cell r="J1454"/>
          <cell r="L1454"/>
        </row>
        <row r="1455">
          <cell r="A1455"/>
          <cell r="D1455"/>
          <cell r="E1455"/>
          <cell r="F1455"/>
          <cell r="G1455"/>
          <cell r="H1455"/>
          <cell r="I1455"/>
          <cell r="J1455"/>
          <cell r="L1455"/>
        </row>
        <row r="1456">
          <cell r="A1456"/>
          <cell r="D1456"/>
          <cell r="E1456"/>
          <cell r="F1456"/>
          <cell r="G1456"/>
          <cell r="H1456"/>
          <cell r="I1456"/>
          <cell r="J1456"/>
          <cell r="L1456"/>
        </row>
        <row r="1457">
          <cell r="A1457"/>
          <cell r="D1457"/>
          <cell r="E1457"/>
          <cell r="F1457"/>
          <cell r="G1457"/>
          <cell r="H1457"/>
          <cell r="I1457"/>
          <cell r="J1457"/>
          <cell r="L1457"/>
        </row>
        <row r="1458">
          <cell r="A1458"/>
          <cell r="D1458"/>
          <cell r="E1458"/>
          <cell r="F1458"/>
          <cell r="G1458"/>
          <cell r="H1458"/>
          <cell r="I1458"/>
          <cell r="J1458"/>
          <cell r="L1458"/>
        </row>
        <row r="1459">
          <cell r="A1459"/>
          <cell r="D1459"/>
          <cell r="E1459"/>
          <cell r="F1459"/>
          <cell r="G1459"/>
          <cell r="H1459"/>
          <cell r="I1459"/>
          <cell r="J1459"/>
          <cell r="L1459"/>
        </row>
        <row r="1460">
          <cell r="A1460"/>
          <cell r="D1460"/>
          <cell r="E1460"/>
          <cell r="F1460"/>
          <cell r="G1460"/>
          <cell r="H1460"/>
          <cell r="I1460"/>
          <cell r="J1460"/>
          <cell r="L1460"/>
        </row>
        <row r="1461">
          <cell r="A1461"/>
          <cell r="D1461"/>
          <cell r="E1461"/>
          <cell r="F1461"/>
          <cell r="G1461"/>
          <cell r="H1461"/>
          <cell r="I1461"/>
          <cell r="J1461"/>
          <cell r="L1461"/>
        </row>
        <row r="1462">
          <cell r="A1462"/>
          <cell r="D1462"/>
          <cell r="E1462"/>
          <cell r="F1462"/>
          <cell r="G1462"/>
          <cell r="H1462"/>
          <cell r="I1462"/>
          <cell r="J1462"/>
          <cell r="L1462"/>
        </row>
        <row r="1463">
          <cell r="A1463"/>
          <cell r="D1463"/>
          <cell r="E1463"/>
          <cell r="F1463"/>
          <cell r="G1463"/>
          <cell r="H1463"/>
          <cell r="I1463"/>
          <cell r="J1463"/>
          <cell r="L1463"/>
        </row>
        <row r="1464">
          <cell r="A1464"/>
          <cell r="D1464"/>
          <cell r="E1464"/>
          <cell r="F1464"/>
          <cell r="G1464"/>
          <cell r="H1464"/>
          <cell r="I1464"/>
          <cell r="J1464"/>
          <cell r="L1464"/>
        </row>
        <row r="1465">
          <cell r="A1465"/>
          <cell r="D1465"/>
          <cell r="E1465"/>
          <cell r="F1465"/>
          <cell r="G1465"/>
          <cell r="H1465"/>
          <cell r="I1465"/>
          <cell r="J1465"/>
          <cell r="L1465"/>
        </row>
        <row r="1466">
          <cell r="A1466"/>
          <cell r="D1466"/>
          <cell r="E1466"/>
          <cell r="F1466"/>
          <cell r="G1466"/>
          <cell r="H1466"/>
          <cell r="I1466"/>
          <cell r="J1466"/>
          <cell r="L1466"/>
        </row>
        <row r="1467">
          <cell r="A1467"/>
          <cell r="D1467"/>
          <cell r="E1467"/>
          <cell r="F1467"/>
          <cell r="G1467"/>
          <cell r="H1467"/>
          <cell r="I1467"/>
          <cell r="J1467"/>
          <cell r="L1467"/>
        </row>
        <row r="1468">
          <cell r="A1468"/>
          <cell r="D1468"/>
          <cell r="E1468"/>
          <cell r="F1468"/>
          <cell r="G1468"/>
          <cell r="H1468"/>
          <cell r="I1468"/>
          <cell r="J1468"/>
          <cell r="L1468"/>
        </row>
        <row r="1469">
          <cell r="A1469"/>
          <cell r="D1469"/>
          <cell r="E1469"/>
          <cell r="F1469"/>
          <cell r="G1469"/>
          <cell r="H1469"/>
          <cell r="I1469"/>
          <cell r="J1469"/>
          <cell r="L1469"/>
        </row>
        <row r="1470">
          <cell r="A1470"/>
          <cell r="D1470"/>
          <cell r="E1470"/>
          <cell r="F1470"/>
          <cell r="G1470"/>
          <cell r="H1470"/>
          <cell r="I1470"/>
          <cell r="J1470"/>
          <cell r="L1470"/>
        </row>
        <row r="1471">
          <cell r="A1471"/>
          <cell r="D1471"/>
          <cell r="E1471"/>
          <cell r="F1471"/>
          <cell r="G1471"/>
          <cell r="H1471"/>
          <cell r="I1471"/>
          <cell r="J1471"/>
          <cell r="L1471"/>
        </row>
        <row r="1472">
          <cell r="A1472"/>
          <cell r="D1472"/>
          <cell r="E1472"/>
          <cell r="F1472"/>
          <cell r="G1472"/>
          <cell r="H1472"/>
          <cell r="I1472"/>
          <cell r="J1472"/>
          <cell r="L1472"/>
        </row>
        <row r="1473">
          <cell r="A1473"/>
          <cell r="D1473"/>
          <cell r="E1473"/>
          <cell r="F1473"/>
          <cell r="G1473"/>
          <cell r="H1473"/>
          <cell r="I1473"/>
          <cell r="J1473"/>
          <cell r="L1473"/>
        </row>
        <row r="1474">
          <cell r="A1474"/>
          <cell r="D1474"/>
          <cell r="E1474"/>
          <cell r="F1474"/>
          <cell r="G1474"/>
          <cell r="H1474"/>
          <cell r="I1474"/>
          <cell r="J1474"/>
          <cell r="L1474"/>
        </row>
        <row r="1475">
          <cell r="A1475"/>
          <cell r="D1475"/>
          <cell r="E1475"/>
          <cell r="F1475"/>
          <cell r="G1475"/>
          <cell r="H1475"/>
          <cell r="I1475"/>
          <cell r="J1475"/>
          <cell r="L1475"/>
        </row>
        <row r="1476">
          <cell r="A1476"/>
          <cell r="D1476"/>
          <cell r="E1476"/>
          <cell r="F1476"/>
          <cell r="G1476"/>
          <cell r="H1476"/>
          <cell r="I1476"/>
          <cell r="J1476"/>
          <cell r="L1476"/>
        </row>
        <row r="1477">
          <cell r="A1477"/>
          <cell r="D1477"/>
          <cell r="E1477"/>
          <cell r="F1477"/>
          <cell r="G1477"/>
          <cell r="H1477"/>
          <cell r="I1477"/>
          <cell r="J1477"/>
          <cell r="L1477"/>
        </row>
        <row r="1478">
          <cell r="A1478"/>
          <cell r="D1478"/>
          <cell r="E1478"/>
          <cell r="F1478"/>
          <cell r="G1478"/>
          <cell r="H1478"/>
          <cell r="I1478"/>
          <cell r="J1478"/>
          <cell r="L1478"/>
        </row>
        <row r="1479">
          <cell r="A1479"/>
          <cell r="D1479"/>
          <cell r="E1479"/>
          <cell r="F1479"/>
          <cell r="G1479"/>
          <cell r="H1479"/>
          <cell r="I1479"/>
          <cell r="J1479"/>
          <cell r="L1479"/>
        </row>
        <row r="1480">
          <cell r="A1480"/>
          <cell r="D1480"/>
          <cell r="E1480"/>
          <cell r="F1480"/>
          <cell r="G1480"/>
          <cell r="H1480"/>
          <cell r="I1480"/>
          <cell r="J1480"/>
          <cell r="L1480"/>
        </row>
        <row r="1481">
          <cell r="A1481"/>
          <cell r="D1481"/>
          <cell r="E1481"/>
          <cell r="F1481"/>
          <cell r="G1481"/>
          <cell r="H1481"/>
          <cell r="I1481"/>
          <cell r="J1481"/>
          <cell r="L1481"/>
        </row>
        <row r="1482">
          <cell r="A1482"/>
          <cell r="D1482"/>
          <cell r="E1482"/>
          <cell r="F1482"/>
          <cell r="G1482"/>
          <cell r="H1482"/>
          <cell r="I1482"/>
          <cell r="J1482"/>
          <cell r="L1482"/>
        </row>
        <row r="1483">
          <cell r="A1483"/>
          <cell r="D1483"/>
          <cell r="E1483"/>
          <cell r="F1483"/>
          <cell r="G1483"/>
          <cell r="H1483"/>
          <cell r="I1483"/>
          <cell r="J1483"/>
          <cell r="L1483"/>
        </row>
        <row r="1484">
          <cell r="A1484"/>
          <cell r="D1484"/>
          <cell r="E1484"/>
          <cell r="F1484"/>
          <cell r="G1484"/>
          <cell r="H1484"/>
          <cell r="I1484"/>
          <cell r="J1484"/>
          <cell r="L1484"/>
        </row>
        <row r="1485">
          <cell r="A1485"/>
          <cell r="D1485"/>
          <cell r="E1485"/>
          <cell r="F1485"/>
          <cell r="G1485"/>
          <cell r="H1485"/>
          <cell r="I1485"/>
          <cell r="J1485"/>
          <cell r="L1485"/>
        </row>
        <row r="1486">
          <cell r="A1486"/>
          <cell r="D1486"/>
          <cell r="E1486"/>
          <cell r="F1486"/>
          <cell r="G1486"/>
          <cell r="H1486"/>
          <cell r="I1486"/>
          <cell r="J1486"/>
          <cell r="L1486"/>
        </row>
        <row r="1487">
          <cell r="A1487"/>
          <cell r="D1487"/>
          <cell r="E1487"/>
          <cell r="F1487"/>
          <cell r="G1487"/>
          <cell r="H1487"/>
          <cell r="I1487"/>
          <cell r="J1487"/>
          <cell r="L1487"/>
        </row>
        <row r="1488">
          <cell r="A1488"/>
          <cell r="D1488"/>
          <cell r="E1488"/>
          <cell r="F1488"/>
          <cell r="G1488"/>
          <cell r="H1488"/>
          <cell r="I1488"/>
          <cell r="J1488"/>
          <cell r="L1488"/>
        </row>
        <row r="1489">
          <cell r="A1489"/>
          <cell r="D1489"/>
          <cell r="E1489"/>
          <cell r="F1489"/>
          <cell r="G1489"/>
          <cell r="H1489"/>
          <cell r="I1489"/>
          <cell r="J1489"/>
          <cell r="L1489"/>
        </row>
        <row r="1490">
          <cell r="A1490"/>
          <cell r="D1490"/>
          <cell r="E1490"/>
          <cell r="F1490"/>
          <cell r="G1490"/>
          <cell r="H1490"/>
          <cell r="I1490"/>
          <cell r="J1490"/>
          <cell r="L1490"/>
        </row>
        <row r="1491">
          <cell r="A1491"/>
          <cell r="D1491"/>
          <cell r="E1491"/>
          <cell r="F1491"/>
          <cell r="G1491"/>
          <cell r="H1491"/>
          <cell r="I1491"/>
          <cell r="J1491"/>
          <cell r="L1491"/>
        </row>
        <row r="1492">
          <cell r="A1492"/>
          <cell r="D1492"/>
          <cell r="E1492"/>
          <cell r="F1492"/>
          <cell r="G1492"/>
          <cell r="H1492"/>
          <cell r="I1492"/>
          <cell r="J1492"/>
          <cell r="L1492"/>
        </row>
        <row r="1493">
          <cell r="A1493"/>
          <cell r="D1493"/>
          <cell r="E1493"/>
          <cell r="F1493"/>
          <cell r="G1493"/>
          <cell r="H1493"/>
          <cell r="I1493"/>
          <cell r="J1493"/>
          <cell r="L1493"/>
        </row>
        <row r="1494">
          <cell r="A1494"/>
          <cell r="D1494"/>
          <cell r="E1494"/>
          <cell r="F1494"/>
          <cell r="G1494"/>
          <cell r="H1494"/>
          <cell r="I1494"/>
          <cell r="J1494"/>
          <cell r="L1494"/>
        </row>
        <row r="1495">
          <cell r="A1495"/>
          <cell r="D1495"/>
          <cell r="E1495"/>
          <cell r="F1495"/>
          <cell r="G1495"/>
          <cell r="H1495"/>
          <cell r="I1495"/>
          <cell r="J1495"/>
          <cell r="L1495"/>
        </row>
        <row r="1496">
          <cell r="A1496"/>
          <cell r="D1496"/>
          <cell r="E1496"/>
          <cell r="F1496"/>
          <cell r="G1496"/>
          <cell r="H1496"/>
          <cell r="I1496"/>
          <cell r="J1496"/>
          <cell r="L1496"/>
        </row>
        <row r="1497">
          <cell r="A1497"/>
          <cell r="D1497"/>
          <cell r="E1497"/>
          <cell r="F1497"/>
          <cell r="G1497"/>
          <cell r="H1497"/>
          <cell r="I1497"/>
          <cell r="J1497"/>
          <cell r="L1497"/>
        </row>
        <row r="1498">
          <cell r="A1498"/>
          <cell r="D1498"/>
          <cell r="E1498"/>
          <cell r="F1498"/>
          <cell r="G1498"/>
          <cell r="H1498"/>
          <cell r="I1498"/>
          <cell r="J1498"/>
          <cell r="L1498"/>
        </row>
        <row r="1499">
          <cell r="A1499"/>
          <cell r="D1499"/>
          <cell r="E1499"/>
          <cell r="F1499"/>
          <cell r="G1499"/>
          <cell r="H1499"/>
          <cell r="I1499"/>
          <cell r="J1499"/>
          <cell r="L1499"/>
        </row>
        <row r="1500">
          <cell r="A1500"/>
          <cell r="D1500"/>
          <cell r="E1500"/>
          <cell r="F1500"/>
          <cell r="G1500"/>
          <cell r="H1500"/>
          <cell r="I1500"/>
          <cell r="J1500"/>
          <cell r="L1500"/>
        </row>
        <row r="1501">
          <cell r="A1501"/>
          <cell r="D1501"/>
          <cell r="E1501"/>
          <cell r="F1501"/>
          <cell r="G1501"/>
          <cell r="H1501"/>
          <cell r="I1501"/>
          <cell r="J1501"/>
          <cell r="L1501"/>
        </row>
        <row r="1502">
          <cell r="A1502"/>
          <cell r="D1502"/>
          <cell r="E1502"/>
          <cell r="F1502"/>
          <cell r="G1502"/>
          <cell r="H1502"/>
          <cell r="I1502"/>
          <cell r="J1502"/>
          <cell r="L1502"/>
        </row>
        <row r="1503">
          <cell r="A1503"/>
          <cell r="D1503"/>
          <cell r="E1503"/>
          <cell r="F1503"/>
          <cell r="G1503"/>
          <cell r="H1503"/>
          <cell r="I1503"/>
          <cell r="J1503"/>
          <cell r="L1503"/>
        </row>
        <row r="1504">
          <cell r="A1504"/>
          <cell r="D1504"/>
          <cell r="E1504"/>
          <cell r="F1504"/>
          <cell r="G1504"/>
          <cell r="H1504"/>
          <cell r="I1504"/>
          <cell r="J1504"/>
          <cell r="L1504"/>
        </row>
        <row r="1505">
          <cell r="A1505"/>
          <cell r="D1505"/>
          <cell r="E1505"/>
          <cell r="F1505"/>
          <cell r="G1505"/>
          <cell r="H1505"/>
          <cell r="I1505"/>
          <cell r="J1505"/>
          <cell r="L1505"/>
        </row>
        <row r="1506">
          <cell r="A1506"/>
          <cell r="D1506"/>
          <cell r="E1506"/>
          <cell r="F1506"/>
          <cell r="G1506"/>
          <cell r="H1506"/>
          <cell r="I1506"/>
          <cell r="J1506"/>
          <cell r="L1506"/>
        </row>
        <row r="1507">
          <cell r="A1507"/>
          <cell r="D1507"/>
          <cell r="E1507"/>
          <cell r="F1507"/>
          <cell r="G1507"/>
          <cell r="H1507"/>
          <cell r="I1507"/>
          <cell r="J1507"/>
          <cell r="L1507"/>
        </row>
        <row r="1508">
          <cell r="A1508"/>
          <cell r="D1508"/>
          <cell r="E1508"/>
          <cell r="F1508"/>
          <cell r="G1508"/>
          <cell r="H1508"/>
          <cell r="I1508"/>
          <cell r="J1508"/>
          <cell r="L1508"/>
        </row>
        <row r="1509">
          <cell r="A1509"/>
          <cell r="D1509"/>
          <cell r="E1509"/>
          <cell r="F1509"/>
          <cell r="G1509"/>
          <cell r="H1509"/>
          <cell r="I1509"/>
          <cell r="J1509"/>
          <cell r="L1509"/>
        </row>
        <row r="1510">
          <cell r="A1510"/>
          <cell r="D1510"/>
          <cell r="E1510"/>
          <cell r="F1510"/>
          <cell r="G1510"/>
          <cell r="H1510"/>
          <cell r="I1510"/>
          <cell r="J1510"/>
          <cell r="L1510"/>
        </row>
        <row r="1511">
          <cell r="A1511"/>
          <cell r="D1511"/>
          <cell r="E1511"/>
          <cell r="F1511"/>
          <cell r="G1511"/>
          <cell r="H1511"/>
          <cell r="I1511"/>
          <cell r="J1511"/>
          <cell r="L1511"/>
        </row>
        <row r="1512">
          <cell r="A1512"/>
          <cell r="D1512"/>
          <cell r="E1512"/>
          <cell r="F1512"/>
          <cell r="G1512"/>
          <cell r="H1512"/>
          <cell r="I1512"/>
          <cell r="J1512"/>
          <cell r="L1512"/>
        </row>
        <row r="1513">
          <cell r="A1513"/>
          <cell r="D1513"/>
          <cell r="E1513"/>
          <cell r="F1513"/>
          <cell r="G1513"/>
          <cell r="H1513"/>
          <cell r="I1513"/>
          <cell r="J1513"/>
          <cell r="L1513"/>
        </row>
        <row r="1514">
          <cell r="A1514"/>
          <cell r="D1514"/>
          <cell r="E1514"/>
          <cell r="F1514"/>
          <cell r="G1514"/>
          <cell r="H1514"/>
          <cell r="I1514"/>
          <cell r="J1514"/>
          <cell r="L1514"/>
        </row>
        <row r="1515">
          <cell r="A1515"/>
          <cell r="D1515"/>
          <cell r="E1515"/>
          <cell r="F1515"/>
          <cell r="G1515"/>
          <cell r="H1515"/>
          <cell r="I1515"/>
          <cell r="J1515"/>
          <cell r="L1515"/>
        </row>
        <row r="1516">
          <cell r="A1516"/>
          <cell r="D1516"/>
          <cell r="E1516"/>
          <cell r="F1516"/>
          <cell r="G1516"/>
          <cell r="H1516"/>
          <cell r="I1516"/>
          <cell r="J1516"/>
          <cell r="L1516"/>
        </row>
        <row r="1517">
          <cell r="A1517"/>
          <cell r="D1517"/>
          <cell r="E1517"/>
          <cell r="F1517"/>
          <cell r="G1517"/>
          <cell r="H1517"/>
          <cell r="I1517"/>
          <cell r="J1517"/>
          <cell r="L1517"/>
        </row>
        <row r="1518">
          <cell r="A1518"/>
          <cell r="D1518"/>
          <cell r="E1518"/>
          <cell r="F1518"/>
          <cell r="G1518"/>
          <cell r="H1518"/>
          <cell r="I1518"/>
          <cell r="J1518"/>
          <cell r="L1518"/>
        </row>
        <row r="1519">
          <cell r="A1519"/>
          <cell r="D1519"/>
          <cell r="E1519"/>
          <cell r="F1519"/>
          <cell r="G1519"/>
          <cell r="H1519"/>
          <cell r="I1519"/>
          <cell r="J1519"/>
          <cell r="L1519"/>
        </row>
        <row r="1520">
          <cell r="A1520"/>
          <cell r="D1520"/>
          <cell r="E1520"/>
          <cell r="F1520"/>
          <cell r="G1520"/>
          <cell r="H1520"/>
          <cell r="I1520"/>
          <cell r="J1520"/>
          <cell r="L1520"/>
        </row>
        <row r="1521">
          <cell r="A1521"/>
          <cell r="D1521"/>
          <cell r="E1521"/>
          <cell r="F1521"/>
          <cell r="G1521"/>
          <cell r="H1521"/>
          <cell r="I1521"/>
          <cell r="J1521"/>
          <cell r="L1521"/>
        </row>
        <row r="1522">
          <cell r="A1522"/>
          <cell r="D1522"/>
          <cell r="E1522"/>
          <cell r="F1522"/>
          <cell r="G1522"/>
          <cell r="H1522"/>
          <cell r="I1522"/>
          <cell r="J1522"/>
          <cell r="L1522"/>
        </row>
        <row r="1523">
          <cell r="A1523"/>
          <cell r="D1523"/>
          <cell r="E1523"/>
          <cell r="F1523"/>
          <cell r="G1523"/>
          <cell r="H1523"/>
          <cell r="I1523"/>
          <cell r="J1523"/>
          <cell r="L1523"/>
        </row>
        <row r="1524">
          <cell r="A1524"/>
          <cell r="D1524"/>
          <cell r="E1524"/>
          <cell r="F1524"/>
          <cell r="G1524"/>
          <cell r="H1524"/>
          <cell r="I1524"/>
          <cell r="J1524"/>
          <cell r="L1524"/>
        </row>
        <row r="1525">
          <cell r="A1525"/>
          <cell r="D1525"/>
          <cell r="E1525"/>
          <cell r="F1525"/>
          <cell r="G1525"/>
          <cell r="H1525"/>
          <cell r="I1525"/>
          <cell r="J1525"/>
          <cell r="L1525"/>
        </row>
        <row r="1526">
          <cell r="A1526"/>
          <cell r="D1526"/>
          <cell r="E1526"/>
          <cell r="F1526"/>
          <cell r="G1526"/>
          <cell r="H1526"/>
          <cell r="I1526"/>
          <cell r="J1526"/>
          <cell r="L1526"/>
        </row>
        <row r="1527">
          <cell r="A1527"/>
          <cell r="D1527"/>
          <cell r="E1527"/>
          <cell r="F1527"/>
          <cell r="G1527"/>
          <cell r="H1527"/>
          <cell r="I1527"/>
          <cell r="J1527"/>
          <cell r="L1527"/>
        </row>
        <row r="1528">
          <cell r="A1528"/>
          <cell r="D1528"/>
          <cell r="E1528"/>
          <cell r="F1528"/>
          <cell r="G1528"/>
          <cell r="H1528"/>
          <cell r="I1528"/>
          <cell r="J1528"/>
          <cell r="L1528"/>
        </row>
        <row r="1529">
          <cell r="A1529"/>
          <cell r="D1529"/>
          <cell r="E1529"/>
          <cell r="F1529"/>
          <cell r="G1529"/>
          <cell r="H1529"/>
          <cell r="I1529"/>
          <cell r="J1529"/>
          <cell r="L1529"/>
        </row>
        <row r="1530">
          <cell r="A1530"/>
          <cell r="D1530"/>
          <cell r="E1530"/>
          <cell r="F1530"/>
          <cell r="G1530"/>
          <cell r="H1530"/>
          <cell r="I1530"/>
          <cell r="J1530"/>
          <cell r="L1530"/>
        </row>
        <row r="1531">
          <cell r="A1531"/>
          <cell r="D1531"/>
          <cell r="E1531"/>
          <cell r="F1531"/>
          <cell r="G1531"/>
          <cell r="H1531"/>
          <cell r="I1531"/>
          <cell r="J1531"/>
          <cell r="L1531"/>
        </row>
        <row r="1532">
          <cell r="A1532"/>
          <cell r="D1532"/>
          <cell r="E1532"/>
          <cell r="F1532"/>
          <cell r="G1532"/>
          <cell r="H1532"/>
          <cell r="I1532"/>
          <cell r="J1532"/>
          <cell r="L1532"/>
        </row>
        <row r="1533">
          <cell r="A1533"/>
          <cell r="D1533"/>
          <cell r="E1533"/>
          <cell r="F1533"/>
          <cell r="G1533"/>
          <cell r="H1533"/>
          <cell r="I1533"/>
          <cell r="J1533"/>
          <cell r="L1533"/>
        </row>
        <row r="1534">
          <cell r="A1534"/>
          <cell r="D1534"/>
          <cell r="E1534"/>
          <cell r="F1534"/>
          <cell r="G1534"/>
          <cell r="H1534"/>
          <cell r="I1534"/>
          <cell r="J1534"/>
          <cell r="L1534"/>
        </row>
        <row r="1535">
          <cell r="A1535"/>
          <cell r="D1535"/>
          <cell r="E1535"/>
          <cell r="F1535"/>
          <cell r="G1535"/>
          <cell r="H1535"/>
          <cell r="I1535"/>
          <cell r="J1535"/>
          <cell r="L1535"/>
        </row>
        <row r="1536">
          <cell r="A1536"/>
          <cell r="D1536"/>
          <cell r="E1536"/>
          <cell r="F1536"/>
          <cell r="G1536"/>
          <cell r="H1536"/>
          <cell r="I1536"/>
          <cell r="J1536"/>
          <cell r="L1536"/>
        </row>
        <row r="1537">
          <cell r="A1537"/>
          <cell r="D1537"/>
          <cell r="E1537"/>
          <cell r="F1537"/>
          <cell r="G1537"/>
          <cell r="H1537"/>
          <cell r="I1537"/>
          <cell r="J1537"/>
          <cell r="L1537"/>
        </row>
        <row r="1538">
          <cell r="A1538"/>
          <cell r="D1538"/>
          <cell r="E1538"/>
          <cell r="F1538"/>
          <cell r="G1538"/>
          <cell r="H1538"/>
          <cell r="I1538"/>
          <cell r="J1538"/>
          <cell r="L1538"/>
        </row>
        <row r="1539">
          <cell r="A1539"/>
          <cell r="D1539"/>
          <cell r="E1539"/>
          <cell r="F1539"/>
          <cell r="G1539"/>
          <cell r="H1539"/>
          <cell r="I1539"/>
          <cell r="J1539"/>
          <cell r="L1539"/>
        </row>
        <row r="1540">
          <cell r="A1540"/>
          <cell r="D1540"/>
          <cell r="E1540"/>
          <cell r="F1540"/>
          <cell r="G1540"/>
          <cell r="H1540"/>
          <cell r="I1540"/>
          <cell r="J1540"/>
          <cell r="L1540"/>
        </row>
        <row r="1541">
          <cell r="A1541"/>
          <cell r="D1541"/>
          <cell r="E1541"/>
          <cell r="F1541"/>
          <cell r="G1541"/>
          <cell r="H1541"/>
          <cell r="I1541"/>
          <cell r="J1541"/>
          <cell r="L1541"/>
        </row>
        <row r="1542">
          <cell r="A1542"/>
          <cell r="D1542"/>
          <cell r="E1542"/>
          <cell r="F1542"/>
          <cell r="G1542"/>
          <cell r="H1542"/>
          <cell r="I1542"/>
          <cell r="J1542"/>
          <cell r="L1542"/>
        </row>
        <row r="1543">
          <cell r="A1543"/>
          <cell r="D1543"/>
          <cell r="E1543"/>
          <cell r="F1543"/>
          <cell r="G1543"/>
          <cell r="H1543"/>
          <cell r="I1543"/>
          <cell r="J1543"/>
          <cell r="L1543"/>
        </row>
        <row r="1544">
          <cell r="A1544"/>
          <cell r="D1544"/>
          <cell r="E1544"/>
          <cell r="F1544"/>
          <cell r="G1544"/>
          <cell r="H1544"/>
          <cell r="I1544"/>
          <cell r="J1544"/>
          <cell r="L1544"/>
        </row>
        <row r="1545">
          <cell r="A1545"/>
          <cell r="D1545"/>
          <cell r="E1545"/>
          <cell r="F1545"/>
          <cell r="G1545"/>
          <cell r="H1545"/>
          <cell r="I1545"/>
          <cell r="J1545"/>
          <cell r="L1545"/>
        </row>
        <row r="1546">
          <cell r="A1546"/>
          <cell r="D1546"/>
          <cell r="E1546"/>
          <cell r="F1546"/>
          <cell r="G1546"/>
          <cell r="H1546"/>
          <cell r="I1546"/>
          <cell r="J1546"/>
          <cell r="L1546"/>
        </row>
        <row r="1547">
          <cell r="A1547"/>
          <cell r="D1547"/>
          <cell r="E1547"/>
          <cell r="F1547"/>
          <cell r="G1547"/>
          <cell r="H1547"/>
          <cell r="I1547"/>
          <cell r="J1547"/>
          <cell r="L1547"/>
        </row>
        <row r="1548">
          <cell r="A1548"/>
          <cell r="D1548"/>
          <cell r="E1548"/>
          <cell r="F1548"/>
          <cell r="G1548"/>
          <cell r="H1548"/>
          <cell r="I1548"/>
          <cell r="J1548"/>
          <cell r="L1548"/>
        </row>
        <row r="1549">
          <cell r="A1549"/>
          <cell r="D1549"/>
          <cell r="E1549"/>
          <cell r="F1549"/>
          <cell r="G1549"/>
          <cell r="H1549"/>
          <cell r="I1549"/>
          <cell r="J1549"/>
          <cell r="L1549"/>
        </row>
        <row r="1550">
          <cell r="A1550"/>
          <cell r="D1550"/>
          <cell r="E1550"/>
          <cell r="F1550"/>
          <cell r="G1550"/>
          <cell r="H1550"/>
          <cell r="I1550"/>
          <cell r="J1550"/>
          <cell r="L1550"/>
        </row>
        <row r="1551">
          <cell r="A1551"/>
          <cell r="D1551"/>
          <cell r="E1551"/>
          <cell r="F1551"/>
          <cell r="G1551"/>
          <cell r="H1551"/>
          <cell r="I1551"/>
          <cell r="J1551"/>
          <cell r="L1551"/>
        </row>
        <row r="1552">
          <cell r="A1552"/>
          <cell r="D1552"/>
          <cell r="E1552"/>
          <cell r="F1552"/>
          <cell r="G1552"/>
          <cell r="H1552"/>
          <cell r="I1552"/>
          <cell r="J1552"/>
          <cell r="L1552"/>
        </row>
        <row r="1553">
          <cell r="A1553"/>
          <cell r="D1553"/>
          <cell r="E1553"/>
          <cell r="F1553"/>
          <cell r="G1553"/>
          <cell r="H1553"/>
          <cell r="I1553"/>
          <cell r="J1553"/>
          <cell r="L1553"/>
        </row>
        <row r="1554">
          <cell r="A1554"/>
          <cell r="D1554"/>
          <cell r="E1554"/>
          <cell r="F1554"/>
          <cell r="G1554"/>
          <cell r="H1554"/>
          <cell r="I1554"/>
          <cell r="J1554"/>
          <cell r="L1554"/>
        </row>
        <row r="1555">
          <cell r="A1555"/>
          <cell r="D1555"/>
          <cell r="E1555"/>
          <cell r="F1555"/>
          <cell r="G1555"/>
          <cell r="H1555"/>
          <cell r="I1555"/>
          <cell r="J1555"/>
          <cell r="L1555"/>
        </row>
        <row r="1556">
          <cell r="A1556"/>
          <cell r="D1556"/>
          <cell r="E1556"/>
          <cell r="F1556"/>
          <cell r="G1556"/>
          <cell r="H1556"/>
          <cell r="I1556"/>
          <cell r="J1556"/>
          <cell r="L1556"/>
        </row>
        <row r="1557">
          <cell r="A1557"/>
          <cell r="D1557"/>
          <cell r="E1557"/>
          <cell r="F1557"/>
          <cell r="G1557"/>
          <cell r="H1557"/>
          <cell r="I1557"/>
          <cell r="J1557"/>
          <cell r="L1557"/>
        </row>
        <row r="1558">
          <cell r="A1558"/>
          <cell r="D1558"/>
          <cell r="E1558"/>
          <cell r="F1558"/>
          <cell r="G1558"/>
          <cell r="H1558"/>
          <cell r="I1558"/>
          <cell r="J1558"/>
          <cell r="L1558"/>
        </row>
        <row r="1559">
          <cell r="A1559"/>
          <cell r="D1559"/>
          <cell r="E1559"/>
          <cell r="F1559"/>
          <cell r="G1559"/>
          <cell r="H1559"/>
          <cell r="I1559"/>
          <cell r="J1559"/>
          <cell r="L1559"/>
        </row>
        <row r="1560">
          <cell r="A1560"/>
          <cell r="D1560"/>
          <cell r="E1560"/>
          <cell r="F1560"/>
          <cell r="G1560"/>
          <cell r="H1560"/>
          <cell r="I1560"/>
          <cell r="J1560"/>
          <cell r="L1560"/>
        </row>
        <row r="1561">
          <cell r="A1561"/>
          <cell r="D1561"/>
          <cell r="E1561"/>
          <cell r="F1561"/>
          <cell r="G1561"/>
          <cell r="H1561"/>
          <cell r="I1561"/>
          <cell r="J1561"/>
          <cell r="L1561"/>
        </row>
        <row r="1562">
          <cell r="A1562"/>
          <cell r="D1562"/>
          <cell r="E1562"/>
          <cell r="F1562"/>
          <cell r="G1562"/>
          <cell r="H1562"/>
          <cell r="I1562"/>
          <cell r="J1562"/>
          <cell r="L1562"/>
        </row>
        <row r="1563">
          <cell r="A1563"/>
          <cell r="D1563"/>
          <cell r="E1563"/>
          <cell r="F1563"/>
          <cell r="G1563"/>
          <cell r="H1563"/>
          <cell r="I1563"/>
          <cell r="J1563"/>
          <cell r="L1563"/>
        </row>
        <row r="1564">
          <cell r="A1564"/>
          <cell r="D1564"/>
          <cell r="E1564"/>
          <cell r="F1564"/>
          <cell r="G1564"/>
          <cell r="H1564"/>
          <cell r="I1564"/>
          <cell r="J1564"/>
          <cell r="L1564"/>
        </row>
        <row r="1565">
          <cell r="A1565"/>
          <cell r="D1565"/>
          <cell r="E1565"/>
          <cell r="F1565"/>
          <cell r="G1565"/>
          <cell r="H1565"/>
          <cell r="I1565"/>
          <cell r="J1565"/>
          <cell r="L1565"/>
        </row>
        <row r="1566">
          <cell r="A1566"/>
          <cell r="D1566"/>
          <cell r="E1566"/>
          <cell r="F1566"/>
          <cell r="G1566"/>
          <cell r="H1566"/>
          <cell r="I1566"/>
          <cell r="J1566"/>
          <cell r="L1566"/>
        </row>
        <row r="1567">
          <cell r="A1567"/>
          <cell r="D1567"/>
          <cell r="E1567"/>
          <cell r="F1567"/>
          <cell r="G1567"/>
          <cell r="H1567"/>
          <cell r="I1567"/>
          <cell r="J1567"/>
          <cell r="L1567"/>
        </row>
        <row r="1568">
          <cell r="A1568"/>
          <cell r="D1568"/>
          <cell r="E1568"/>
          <cell r="F1568"/>
          <cell r="G1568"/>
          <cell r="H1568"/>
          <cell r="I1568"/>
          <cell r="J1568"/>
          <cell r="L1568"/>
        </row>
        <row r="1569">
          <cell r="A1569"/>
          <cell r="D1569"/>
          <cell r="E1569"/>
          <cell r="F1569"/>
          <cell r="G1569"/>
          <cell r="H1569"/>
          <cell r="I1569"/>
          <cell r="J1569"/>
          <cell r="L1569"/>
        </row>
        <row r="1570">
          <cell r="A1570"/>
          <cell r="D1570"/>
          <cell r="E1570"/>
          <cell r="F1570"/>
          <cell r="G1570"/>
          <cell r="H1570"/>
          <cell r="I1570"/>
          <cell r="J1570"/>
          <cell r="L1570"/>
        </row>
        <row r="1571">
          <cell r="A1571"/>
          <cell r="D1571"/>
          <cell r="E1571"/>
          <cell r="F1571"/>
          <cell r="G1571"/>
          <cell r="H1571"/>
          <cell r="I1571"/>
          <cell r="J1571"/>
          <cell r="L1571"/>
        </row>
        <row r="1572">
          <cell r="A1572"/>
          <cell r="D1572"/>
          <cell r="E1572"/>
          <cell r="F1572"/>
          <cell r="G1572"/>
          <cell r="H1572"/>
          <cell r="I1572"/>
          <cell r="J1572"/>
          <cell r="L1572"/>
        </row>
        <row r="1573">
          <cell r="A1573"/>
          <cell r="D1573"/>
          <cell r="E1573"/>
          <cell r="F1573"/>
          <cell r="G1573"/>
          <cell r="H1573"/>
          <cell r="I1573"/>
          <cell r="J1573"/>
          <cell r="L1573"/>
        </row>
        <row r="1574">
          <cell r="A1574"/>
          <cell r="D1574"/>
          <cell r="E1574"/>
          <cell r="F1574"/>
          <cell r="G1574"/>
          <cell r="H1574"/>
          <cell r="I1574"/>
          <cell r="J1574"/>
          <cell r="L1574"/>
        </row>
        <row r="1575">
          <cell r="A1575"/>
          <cell r="D1575"/>
          <cell r="E1575"/>
          <cell r="F1575"/>
          <cell r="G1575"/>
          <cell r="H1575"/>
          <cell r="I1575"/>
          <cell r="J1575"/>
          <cell r="L1575"/>
        </row>
        <row r="1576">
          <cell r="A1576"/>
          <cell r="D1576"/>
          <cell r="E1576"/>
          <cell r="F1576"/>
          <cell r="G1576"/>
          <cell r="H1576"/>
          <cell r="I1576"/>
          <cell r="J1576"/>
          <cell r="L1576"/>
        </row>
        <row r="1577">
          <cell r="A1577"/>
          <cell r="D1577"/>
          <cell r="E1577"/>
          <cell r="F1577"/>
          <cell r="G1577"/>
          <cell r="H1577"/>
          <cell r="I1577"/>
          <cell r="J1577"/>
          <cell r="L1577"/>
        </row>
        <row r="1578">
          <cell r="A1578"/>
          <cell r="D1578"/>
          <cell r="E1578"/>
          <cell r="F1578"/>
          <cell r="G1578"/>
          <cell r="H1578"/>
          <cell r="I1578"/>
          <cell r="J1578"/>
          <cell r="L1578"/>
        </row>
        <row r="1579">
          <cell r="A1579"/>
          <cell r="D1579"/>
          <cell r="E1579"/>
          <cell r="F1579"/>
          <cell r="G1579"/>
          <cell r="H1579"/>
          <cell r="I1579"/>
          <cell r="J1579"/>
          <cell r="L1579"/>
        </row>
        <row r="1580">
          <cell r="A1580"/>
          <cell r="D1580"/>
          <cell r="E1580"/>
          <cell r="F1580"/>
          <cell r="G1580"/>
          <cell r="H1580"/>
          <cell r="I1580"/>
          <cell r="J1580"/>
          <cell r="L1580"/>
        </row>
        <row r="1581">
          <cell r="A1581"/>
          <cell r="D1581"/>
          <cell r="E1581"/>
          <cell r="F1581"/>
          <cell r="G1581"/>
          <cell r="H1581"/>
          <cell r="I1581"/>
          <cell r="J1581"/>
          <cell r="L1581"/>
        </row>
        <row r="1582">
          <cell r="A1582"/>
          <cell r="D1582"/>
          <cell r="E1582"/>
          <cell r="F1582"/>
          <cell r="G1582"/>
          <cell r="H1582"/>
          <cell r="I1582"/>
          <cell r="J1582"/>
          <cell r="L1582"/>
        </row>
        <row r="1583">
          <cell r="A1583"/>
          <cell r="D1583"/>
          <cell r="E1583"/>
          <cell r="F1583"/>
          <cell r="G1583"/>
          <cell r="H1583"/>
          <cell r="I1583"/>
          <cell r="J1583"/>
          <cell r="L1583"/>
        </row>
        <row r="1584">
          <cell r="A1584"/>
          <cell r="D1584"/>
          <cell r="E1584"/>
          <cell r="F1584"/>
          <cell r="G1584"/>
          <cell r="H1584"/>
          <cell r="I1584"/>
          <cell r="J1584"/>
          <cell r="L1584"/>
        </row>
        <row r="1585">
          <cell r="A1585"/>
          <cell r="D1585"/>
          <cell r="E1585"/>
          <cell r="F1585"/>
          <cell r="G1585"/>
          <cell r="H1585"/>
          <cell r="I1585"/>
          <cell r="J1585"/>
          <cell r="L1585"/>
        </row>
        <row r="1586">
          <cell r="A1586"/>
          <cell r="D1586"/>
          <cell r="E1586"/>
          <cell r="F1586"/>
          <cell r="G1586"/>
          <cell r="H1586"/>
          <cell r="I1586"/>
          <cell r="J1586"/>
          <cell r="L1586"/>
        </row>
        <row r="1587">
          <cell r="A1587"/>
          <cell r="D1587"/>
          <cell r="E1587"/>
          <cell r="F1587"/>
          <cell r="G1587"/>
          <cell r="H1587"/>
          <cell r="I1587"/>
          <cell r="J1587"/>
          <cell r="L1587"/>
        </row>
        <row r="1588">
          <cell r="A1588"/>
          <cell r="D1588"/>
          <cell r="E1588"/>
          <cell r="F1588"/>
          <cell r="G1588"/>
          <cell r="H1588"/>
          <cell r="I1588"/>
          <cell r="J1588"/>
          <cell r="L1588"/>
        </row>
        <row r="1589">
          <cell r="A1589"/>
          <cell r="D1589"/>
          <cell r="E1589"/>
          <cell r="F1589"/>
          <cell r="G1589"/>
          <cell r="H1589"/>
          <cell r="I1589"/>
          <cell r="J1589"/>
          <cell r="L1589"/>
        </row>
        <row r="1590">
          <cell r="A1590"/>
          <cell r="D1590"/>
          <cell r="E1590"/>
          <cell r="F1590"/>
          <cell r="G1590"/>
          <cell r="H1590"/>
          <cell r="I1590"/>
          <cell r="J1590"/>
          <cell r="L1590"/>
        </row>
        <row r="1591">
          <cell r="A1591"/>
          <cell r="D1591"/>
          <cell r="E1591"/>
          <cell r="F1591"/>
          <cell r="G1591"/>
          <cell r="H1591"/>
          <cell r="I1591"/>
          <cell r="J1591"/>
          <cell r="L1591"/>
        </row>
        <row r="1592">
          <cell r="A1592"/>
          <cell r="D1592"/>
          <cell r="E1592"/>
          <cell r="F1592"/>
          <cell r="G1592"/>
          <cell r="H1592"/>
          <cell r="I1592"/>
          <cell r="J1592"/>
          <cell r="L1592"/>
        </row>
        <row r="1593">
          <cell r="A1593"/>
          <cell r="D1593"/>
          <cell r="E1593"/>
          <cell r="F1593"/>
          <cell r="G1593"/>
          <cell r="H1593"/>
          <cell r="I1593"/>
          <cell r="J1593"/>
          <cell r="L1593"/>
        </row>
        <row r="1594">
          <cell r="A1594"/>
          <cell r="D1594"/>
          <cell r="E1594"/>
          <cell r="F1594"/>
          <cell r="G1594"/>
          <cell r="H1594"/>
          <cell r="I1594"/>
          <cell r="J1594"/>
          <cell r="L1594"/>
        </row>
        <row r="1595">
          <cell r="A1595"/>
          <cell r="D1595"/>
          <cell r="E1595"/>
          <cell r="F1595"/>
          <cell r="G1595"/>
          <cell r="H1595"/>
          <cell r="I1595"/>
          <cell r="J1595"/>
          <cell r="L1595"/>
        </row>
        <row r="1596">
          <cell r="A1596"/>
          <cell r="D1596"/>
          <cell r="E1596"/>
          <cell r="F1596"/>
          <cell r="G1596"/>
          <cell r="H1596"/>
          <cell r="I1596"/>
          <cell r="J1596"/>
          <cell r="L1596"/>
        </row>
        <row r="1597">
          <cell r="A1597"/>
          <cell r="D1597"/>
          <cell r="E1597"/>
          <cell r="F1597"/>
          <cell r="G1597"/>
          <cell r="H1597"/>
          <cell r="I1597"/>
          <cell r="J1597"/>
          <cell r="L1597"/>
        </row>
        <row r="1598">
          <cell r="A1598"/>
          <cell r="D1598"/>
          <cell r="E1598"/>
          <cell r="F1598"/>
          <cell r="G1598"/>
          <cell r="H1598"/>
          <cell r="I1598"/>
          <cell r="J1598"/>
          <cell r="L1598"/>
        </row>
        <row r="1599">
          <cell r="A1599"/>
          <cell r="D1599"/>
          <cell r="E1599"/>
          <cell r="F1599"/>
          <cell r="G1599"/>
          <cell r="H1599"/>
          <cell r="I1599"/>
          <cell r="J1599"/>
          <cell r="L1599"/>
        </row>
        <row r="1600">
          <cell r="A1600"/>
          <cell r="D1600"/>
          <cell r="E1600"/>
          <cell r="F1600"/>
          <cell r="G1600"/>
          <cell r="H1600"/>
          <cell r="I1600"/>
          <cell r="J1600"/>
          <cell r="L1600"/>
        </row>
        <row r="1601">
          <cell r="A1601"/>
          <cell r="D1601"/>
          <cell r="E1601"/>
          <cell r="F1601"/>
          <cell r="G1601"/>
          <cell r="H1601"/>
          <cell r="I1601"/>
          <cell r="J1601"/>
          <cell r="L1601"/>
        </row>
        <row r="1602">
          <cell r="A1602"/>
          <cell r="D1602"/>
          <cell r="E1602"/>
          <cell r="F1602"/>
          <cell r="G1602"/>
          <cell r="H1602"/>
          <cell r="I1602"/>
          <cell r="J1602"/>
          <cell r="L1602"/>
        </row>
        <row r="1603">
          <cell r="A1603"/>
          <cell r="D1603"/>
          <cell r="E1603"/>
          <cell r="F1603"/>
          <cell r="G1603"/>
          <cell r="H1603"/>
          <cell r="I1603"/>
          <cell r="J1603"/>
          <cell r="L1603"/>
        </row>
        <row r="1604">
          <cell r="A1604"/>
          <cell r="D1604"/>
          <cell r="E1604"/>
          <cell r="F1604"/>
          <cell r="G1604"/>
          <cell r="H1604"/>
          <cell r="I1604"/>
          <cell r="J1604"/>
          <cell r="L1604"/>
        </row>
        <row r="1605">
          <cell r="A1605"/>
          <cell r="D1605"/>
          <cell r="E1605"/>
          <cell r="F1605"/>
          <cell r="G1605"/>
          <cell r="H1605"/>
          <cell r="I1605"/>
          <cell r="J1605"/>
          <cell r="L1605"/>
        </row>
        <row r="1606">
          <cell r="A1606"/>
          <cell r="D1606"/>
          <cell r="E1606"/>
          <cell r="F1606"/>
          <cell r="G1606"/>
          <cell r="H1606"/>
          <cell r="I1606"/>
          <cell r="J1606"/>
          <cell r="L1606"/>
        </row>
        <row r="1607">
          <cell r="A1607"/>
          <cell r="D1607"/>
          <cell r="E1607"/>
          <cell r="F1607"/>
          <cell r="G1607"/>
          <cell r="H1607"/>
          <cell r="I1607"/>
          <cell r="J1607"/>
          <cell r="L1607"/>
        </row>
        <row r="1608">
          <cell r="A1608"/>
          <cell r="D1608"/>
          <cell r="E1608"/>
          <cell r="F1608"/>
          <cell r="G1608"/>
          <cell r="H1608"/>
          <cell r="I1608"/>
          <cell r="J1608"/>
          <cell r="L1608"/>
        </row>
        <row r="1609">
          <cell r="A1609"/>
          <cell r="D1609"/>
          <cell r="E1609"/>
          <cell r="F1609"/>
          <cell r="G1609"/>
          <cell r="H1609"/>
          <cell r="I1609"/>
          <cell r="J1609"/>
          <cell r="L1609"/>
        </row>
        <row r="1610">
          <cell r="A1610"/>
          <cell r="D1610"/>
          <cell r="E1610"/>
          <cell r="F1610"/>
          <cell r="G1610"/>
          <cell r="H1610"/>
          <cell r="I1610"/>
          <cell r="J1610"/>
          <cell r="L1610"/>
        </row>
        <row r="1611">
          <cell r="A1611"/>
          <cell r="D1611"/>
          <cell r="E1611"/>
          <cell r="F1611"/>
          <cell r="G1611"/>
          <cell r="H1611"/>
          <cell r="I1611"/>
          <cell r="J1611"/>
          <cell r="L1611"/>
        </row>
        <row r="1612">
          <cell r="A1612"/>
          <cell r="D1612"/>
          <cell r="E1612"/>
          <cell r="F1612"/>
          <cell r="G1612"/>
          <cell r="H1612"/>
          <cell r="I1612"/>
          <cell r="J1612"/>
          <cell r="L1612"/>
        </row>
        <row r="1613">
          <cell r="A1613"/>
          <cell r="D1613"/>
          <cell r="E1613"/>
          <cell r="F1613"/>
          <cell r="G1613"/>
          <cell r="H1613"/>
          <cell r="I1613"/>
          <cell r="J1613"/>
          <cell r="L1613"/>
        </row>
        <row r="1614">
          <cell r="A1614"/>
          <cell r="D1614"/>
          <cell r="E1614"/>
          <cell r="F1614"/>
          <cell r="G1614"/>
          <cell r="H1614"/>
          <cell r="I1614"/>
          <cell r="J1614"/>
          <cell r="L1614"/>
        </row>
        <row r="1615">
          <cell r="A1615"/>
          <cell r="D1615"/>
          <cell r="E1615"/>
          <cell r="F1615"/>
          <cell r="G1615"/>
          <cell r="H1615"/>
          <cell r="I1615"/>
          <cell r="J1615"/>
          <cell r="L1615"/>
        </row>
        <row r="1616">
          <cell r="A1616"/>
          <cell r="D1616"/>
          <cell r="E1616"/>
          <cell r="F1616"/>
          <cell r="G1616"/>
          <cell r="H1616"/>
          <cell r="I1616"/>
          <cell r="J1616"/>
          <cell r="L1616"/>
        </row>
        <row r="1617">
          <cell r="A1617"/>
          <cell r="D1617"/>
          <cell r="E1617"/>
          <cell r="F1617"/>
          <cell r="G1617"/>
          <cell r="H1617"/>
          <cell r="I1617"/>
          <cell r="J1617"/>
          <cell r="L1617"/>
        </row>
        <row r="1618">
          <cell r="A1618"/>
          <cell r="D1618"/>
          <cell r="E1618"/>
          <cell r="F1618"/>
          <cell r="G1618"/>
          <cell r="H1618"/>
          <cell r="I1618"/>
          <cell r="J1618"/>
          <cell r="L1618"/>
        </row>
        <row r="1619">
          <cell r="A1619"/>
          <cell r="D1619"/>
          <cell r="E1619"/>
          <cell r="F1619"/>
          <cell r="G1619"/>
          <cell r="H1619"/>
          <cell r="I1619"/>
          <cell r="J1619"/>
          <cell r="L1619"/>
        </row>
        <row r="1620">
          <cell r="A1620"/>
          <cell r="D1620"/>
          <cell r="E1620"/>
          <cell r="F1620"/>
          <cell r="G1620"/>
          <cell r="H1620"/>
          <cell r="I1620"/>
          <cell r="J1620"/>
          <cell r="L1620"/>
        </row>
        <row r="1621">
          <cell r="A1621"/>
          <cell r="D1621"/>
          <cell r="E1621"/>
          <cell r="F1621"/>
          <cell r="G1621"/>
          <cell r="H1621"/>
          <cell r="I1621"/>
          <cell r="J1621"/>
          <cell r="L1621"/>
        </row>
        <row r="1622">
          <cell r="A1622"/>
          <cell r="D1622"/>
          <cell r="E1622"/>
          <cell r="F1622"/>
          <cell r="G1622"/>
          <cell r="H1622"/>
          <cell r="I1622"/>
          <cell r="J1622"/>
          <cell r="L1622"/>
        </row>
        <row r="1623">
          <cell r="A1623"/>
          <cell r="D1623"/>
          <cell r="E1623"/>
          <cell r="F1623"/>
          <cell r="G1623"/>
          <cell r="H1623"/>
          <cell r="I1623"/>
          <cell r="J1623"/>
          <cell r="L1623"/>
        </row>
        <row r="1624">
          <cell r="A1624"/>
          <cell r="D1624"/>
          <cell r="E1624"/>
          <cell r="F1624"/>
          <cell r="G1624"/>
          <cell r="H1624"/>
          <cell r="I1624"/>
          <cell r="J1624"/>
          <cell r="L1624"/>
        </row>
        <row r="1625">
          <cell r="A1625"/>
          <cell r="D1625"/>
          <cell r="E1625"/>
          <cell r="F1625"/>
          <cell r="G1625"/>
          <cell r="H1625"/>
          <cell r="I1625"/>
          <cell r="J1625"/>
          <cell r="L1625"/>
        </row>
        <row r="1626">
          <cell r="A1626"/>
          <cell r="D1626"/>
          <cell r="E1626"/>
          <cell r="F1626"/>
          <cell r="G1626"/>
          <cell r="H1626"/>
          <cell r="I1626"/>
          <cell r="J1626"/>
          <cell r="L1626"/>
        </row>
        <row r="1627">
          <cell r="A1627"/>
          <cell r="D1627"/>
          <cell r="E1627"/>
          <cell r="F1627"/>
          <cell r="G1627"/>
          <cell r="H1627"/>
          <cell r="I1627"/>
          <cell r="J1627"/>
          <cell r="L1627"/>
        </row>
        <row r="1628">
          <cell r="A1628"/>
          <cell r="D1628"/>
          <cell r="E1628"/>
          <cell r="F1628"/>
          <cell r="G1628"/>
          <cell r="H1628"/>
          <cell r="I1628"/>
          <cell r="J1628"/>
          <cell r="L1628"/>
        </row>
        <row r="1629">
          <cell r="A1629"/>
          <cell r="D1629"/>
          <cell r="E1629"/>
          <cell r="F1629"/>
          <cell r="G1629"/>
          <cell r="H1629"/>
          <cell r="I1629"/>
          <cell r="J1629"/>
          <cell r="L1629"/>
        </row>
        <row r="1630">
          <cell r="A1630"/>
          <cell r="D1630"/>
          <cell r="E1630"/>
          <cell r="F1630"/>
          <cell r="G1630"/>
          <cell r="H1630"/>
          <cell r="I1630"/>
          <cell r="J1630"/>
          <cell r="L1630"/>
        </row>
        <row r="1631">
          <cell r="A1631"/>
          <cell r="D1631"/>
          <cell r="E1631"/>
          <cell r="F1631"/>
          <cell r="G1631"/>
          <cell r="H1631"/>
          <cell r="I1631"/>
          <cell r="J1631"/>
          <cell r="L1631"/>
        </row>
        <row r="1632">
          <cell r="A1632"/>
          <cell r="D1632"/>
          <cell r="E1632"/>
          <cell r="F1632"/>
          <cell r="G1632"/>
          <cell r="H1632"/>
          <cell r="I1632"/>
          <cell r="J1632"/>
          <cell r="L1632"/>
        </row>
        <row r="1633">
          <cell r="A1633"/>
          <cell r="D1633"/>
          <cell r="E1633"/>
          <cell r="F1633"/>
          <cell r="G1633"/>
          <cell r="H1633"/>
          <cell r="I1633"/>
          <cell r="J1633"/>
          <cell r="L1633"/>
        </row>
        <row r="1634">
          <cell r="A1634"/>
          <cell r="D1634"/>
          <cell r="E1634"/>
          <cell r="F1634"/>
          <cell r="G1634"/>
          <cell r="H1634"/>
          <cell r="I1634"/>
          <cell r="J1634"/>
          <cell r="L1634"/>
        </row>
        <row r="1635">
          <cell r="A1635"/>
          <cell r="D1635"/>
          <cell r="E1635"/>
          <cell r="F1635"/>
          <cell r="G1635"/>
          <cell r="H1635"/>
          <cell r="I1635"/>
          <cell r="J1635"/>
          <cell r="L1635"/>
        </row>
        <row r="1636">
          <cell r="A1636"/>
          <cell r="D1636"/>
          <cell r="E1636"/>
          <cell r="F1636"/>
          <cell r="G1636"/>
          <cell r="H1636"/>
          <cell r="I1636"/>
          <cell r="J1636"/>
          <cell r="L1636"/>
        </row>
        <row r="1637">
          <cell r="A1637"/>
          <cell r="D1637"/>
          <cell r="E1637"/>
          <cell r="F1637"/>
          <cell r="G1637"/>
          <cell r="H1637"/>
          <cell r="I1637"/>
          <cell r="J1637"/>
          <cell r="L1637"/>
        </row>
        <row r="1638">
          <cell r="A1638"/>
          <cell r="D1638"/>
          <cell r="E1638"/>
          <cell r="F1638"/>
          <cell r="G1638"/>
          <cell r="H1638"/>
          <cell r="I1638"/>
          <cell r="J1638"/>
          <cell r="L1638"/>
        </row>
        <row r="1639">
          <cell r="A1639"/>
          <cell r="D1639"/>
          <cell r="E1639"/>
          <cell r="F1639"/>
          <cell r="G1639"/>
          <cell r="H1639"/>
          <cell r="I1639"/>
          <cell r="J1639"/>
          <cell r="L1639"/>
        </row>
        <row r="1640">
          <cell r="A1640"/>
          <cell r="D1640"/>
          <cell r="E1640"/>
          <cell r="F1640"/>
          <cell r="G1640"/>
          <cell r="H1640"/>
          <cell r="I1640"/>
          <cell r="J1640"/>
          <cell r="L1640"/>
        </row>
        <row r="1641">
          <cell r="A1641"/>
          <cell r="D1641"/>
          <cell r="E1641"/>
          <cell r="F1641"/>
          <cell r="G1641"/>
          <cell r="H1641"/>
          <cell r="I1641"/>
          <cell r="J1641"/>
          <cell r="L1641"/>
        </row>
        <row r="1642">
          <cell r="A1642"/>
          <cell r="D1642"/>
          <cell r="E1642"/>
          <cell r="F1642"/>
          <cell r="G1642"/>
          <cell r="H1642"/>
          <cell r="I1642"/>
          <cell r="J1642"/>
          <cell r="L1642"/>
        </row>
        <row r="1643">
          <cell r="A1643"/>
          <cell r="D1643"/>
          <cell r="E1643"/>
          <cell r="F1643"/>
          <cell r="G1643"/>
          <cell r="H1643"/>
          <cell r="I1643"/>
          <cell r="J1643"/>
          <cell r="L1643"/>
        </row>
        <row r="1644">
          <cell r="A1644"/>
          <cell r="D1644"/>
          <cell r="E1644"/>
          <cell r="F1644"/>
          <cell r="G1644"/>
          <cell r="H1644"/>
          <cell r="I1644"/>
          <cell r="J1644"/>
          <cell r="L1644"/>
        </row>
        <row r="1645">
          <cell r="A1645"/>
          <cell r="D1645"/>
          <cell r="E1645"/>
          <cell r="F1645"/>
          <cell r="G1645"/>
          <cell r="H1645"/>
          <cell r="I1645"/>
          <cell r="J1645"/>
          <cell r="L1645"/>
        </row>
        <row r="1646">
          <cell r="A1646"/>
          <cell r="D1646"/>
          <cell r="E1646"/>
          <cell r="F1646"/>
          <cell r="G1646"/>
          <cell r="H1646"/>
          <cell r="I1646"/>
          <cell r="J1646"/>
          <cell r="L1646"/>
        </row>
        <row r="1647">
          <cell r="A1647"/>
          <cell r="D1647"/>
          <cell r="E1647"/>
          <cell r="F1647"/>
          <cell r="G1647"/>
          <cell r="H1647"/>
          <cell r="I1647"/>
          <cell r="J1647"/>
          <cell r="L1647"/>
        </row>
        <row r="1648">
          <cell r="A1648"/>
          <cell r="D1648"/>
          <cell r="E1648"/>
          <cell r="F1648"/>
          <cell r="G1648"/>
          <cell r="H1648"/>
          <cell r="I1648"/>
          <cell r="J1648"/>
          <cell r="L1648"/>
        </row>
        <row r="1649">
          <cell r="A1649"/>
          <cell r="D1649"/>
          <cell r="E1649"/>
          <cell r="F1649"/>
          <cell r="G1649"/>
          <cell r="H1649"/>
          <cell r="I1649"/>
          <cell r="J1649"/>
          <cell r="L1649"/>
        </row>
        <row r="1650">
          <cell r="A1650"/>
          <cell r="D1650"/>
          <cell r="E1650"/>
          <cell r="F1650"/>
          <cell r="G1650"/>
          <cell r="H1650"/>
          <cell r="I1650"/>
          <cell r="J1650"/>
          <cell r="L1650"/>
        </row>
        <row r="1651">
          <cell r="A1651"/>
          <cell r="D1651"/>
          <cell r="E1651"/>
          <cell r="F1651"/>
          <cell r="G1651"/>
          <cell r="H1651"/>
          <cell r="I1651"/>
          <cell r="J1651"/>
          <cell r="L1651"/>
        </row>
        <row r="1652">
          <cell r="A1652"/>
          <cell r="D1652"/>
          <cell r="E1652"/>
          <cell r="F1652"/>
          <cell r="G1652"/>
          <cell r="H1652"/>
          <cell r="I1652"/>
          <cell r="J1652"/>
          <cell r="L1652"/>
        </row>
        <row r="1653">
          <cell r="A1653"/>
          <cell r="D1653"/>
          <cell r="E1653"/>
          <cell r="F1653"/>
          <cell r="G1653"/>
          <cell r="H1653"/>
          <cell r="I1653"/>
          <cell r="J1653"/>
          <cell r="L1653"/>
        </row>
        <row r="1654">
          <cell r="A1654"/>
          <cell r="D1654"/>
          <cell r="E1654"/>
          <cell r="F1654"/>
          <cell r="G1654"/>
          <cell r="H1654"/>
          <cell r="I1654"/>
          <cell r="J1654"/>
          <cell r="L1654"/>
        </row>
        <row r="1655">
          <cell r="A1655"/>
          <cell r="D1655"/>
          <cell r="E1655"/>
          <cell r="F1655"/>
          <cell r="G1655"/>
          <cell r="H1655"/>
          <cell r="I1655"/>
          <cell r="J1655"/>
          <cell r="L1655"/>
        </row>
        <row r="1656">
          <cell r="A1656"/>
          <cell r="D1656"/>
          <cell r="E1656"/>
          <cell r="F1656"/>
          <cell r="G1656"/>
          <cell r="H1656"/>
          <cell r="I1656"/>
          <cell r="J1656"/>
          <cell r="L1656"/>
        </row>
        <row r="1657">
          <cell r="A1657"/>
          <cell r="D1657"/>
          <cell r="E1657"/>
          <cell r="F1657"/>
          <cell r="G1657"/>
          <cell r="H1657"/>
          <cell r="I1657"/>
          <cell r="J1657"/>
          <cell r="L1657"/>
        </row>
        <row r="1658">
          <cell r="A1658"/>
          <cell r="D1658"/>
          <cell r="E1658"/>
          <cell r="F1658"/>
          <cell r="G1658"/>
          <cell r="H1658"/>
          <cell r="I1658"/>
          <cell r="J1658"/>
          <cell r="L1658"/>
        </row>
        <row r="1659">
          <cell r="A1659"/>
          <cell r="D1659"/>
          <cell r="E1659"/>
          <cell r="F1659"/>
          <cell r="G1659"/>
          <cell r="H1659"/>
          <cell r="I1659"/>
          <cell r="J1659"/>
          <cell r="L1659"/>
        </row>
        <row r="1660">
          <cell r="A1660"/>
          <cell r="D1660"/>
          <cell r="E1660"/>
          <cell r="F1660"/>
          <cell r="G1660"/>
          <cell r="H1660"/>
          <cell r="I1660"/>
          <cell r="J1660"/>
          <cell r="L1660"/>
        </row>
        <row r="1661">
          <cell r="A1661"/>
          <cell r="D1661"/>
          <cell r="E1661"/>
          <cell r="F1661"/>
          <cell r="G1661"/>
          <cell r="H1661"/>
          <cell r="I1661"/>
          <cell r="J1661"/>
          <cell r="L1661"/>
        </row>
        <row r="1662">
          <cell r="A1662"/>
          <cell r="D1662"/>
          <cell r="E1662"/>
          <cell r="F1662"/>
          <cell r="G1662"/>
          <cell r="H1662"/>
          <cell r="I1662"/>
          <cell r="J1662"/>
          <cell r="L1662"/>
        </row>
        <row r="1663">
          <cell r="A1663"/>
          <cell r="D1663"/>
          <cell r="E1663"/>
          <cell r="F1663"/>
          <cell r="G1663"/>
          <cell r="H1663"/>
          <cell r="I1663"/>
          <cell r="J1663"/>
          <cell r="L1663"/>
        </row>
        <row r="1664">
          <cell r="A1664"/>
          <cell r="D1664"/>
          <cell r="E1664"/>
          <cell r="F1664"/>
          <cell r="G1664"/>
          <cell r="H1664"/>
          <cell r="I1664"/>
          <cell r="J1664"/>
          <cell r="L1664"/>
        </row>
        <row r="1665">
          <cell r="A1665"/>
          <cell r="D1665"/>
          <cell r="E1665"/>
          <cell r="F1665"/>
          <cell r="G1665"/>
          <cell r="H1665"/>
          <cell r="I1665"/>
          <cell r="J1665"/>
          <cell r="L1665"/>
        </row>
        <row r="1666">
          <cell r="A1666"/>
          <cell r="D1666"/>
          <cell r="E1666"/>
          <cell r="F1666"/>
          <cell r="G1666"/>
          <cell r="H1666"/>
          <cell r="I1666"/>
          <cell r="J1666"/>
          <cell r="L1666"/>
        </row>
        <row r="1667">
          <cell r="A1667"/>
          <cell r="D1667"/>
          <cell r="E1667"/>
          <cell r="F1667"/>
          <cell r="G1667"/>
          <cell r="H1667"/>
          <cell r="I1667"/>
          <cell r="J1667"/>
          <cell r="L1667"/>
        </row>
        <row r="1668">
          <cell r="A1668"/>
          <cell r="D1668"/>
          <cell r="E1668"/>
          <cell r="F1668"/>
          <cell r="G1668"/>
          <cell r="H1668"/>
          <cell r="I1668"/>
          <cell r="J1668"/>
          <cell r="L1668"/>
        </row>
        <row r="1669">
          <cell r="A1669"/>
          <cell r="D1669"/>
          <cell r="E1669"/>
          <cell r="F1669"/>
          <cell r="G1669"/>
          <cell r="H1669"/>
          <cell r="I1669"/>
          <cell r="J1669"/>
          <cell r="L1669"/>
        </row>
        <row r="1670">
          <cell r="A1670"/>
          <cell r="D1670"/>
          <cell r="E1670"/>
          <cell r="F1670"/>
          <cell r="G1670"/>
          <cell r="H1670"/>
          <cell r="I1670"/>
          <cell r="J1670"/>
          <cell r="L1670"/>
        </row>
        <row r="1671">
          <cell r="A1671"/>
          <cell r="D1671"/>
          <cell r="E1671"/>
          <cell r="F1671"/>
          <cell r="G1671"/>
          <cell r="H1671"/>
          <cell r="I1671"/>
          <cell r="J1671"/>
          <cell r="L1671"/>
        </row>
        <row r="1672">
          <cell r="A1672"/>
          <cell r="D1672"/>
          <cell r="E1672"/>
          <cell r="F1672"/>
          <cell r="G1672"/>
          <cell r="H1672"/>
          <cell r="I1672"/>
          <cell r="J1672"/>
          <cell r="L1672"/>
        </row>
        <row r="1673">
          <cell r="A1673"/>
          <cell r="D1673"/>
          <cell r="E1673"/>
          <cell r="F1673"/>
          <cell r="G1673"/>
          <cell r="H1673"/>
          <cell r="I1673"/>
          <cell r="J1673"/>
          <cell r="L1673"/>
        </row>
        <row r="1674">
          <cell r="A1674"/>
          <cell r="D1674"/>
          <cell r="E1674"/>
          <cell r="F1674"/>
          <cell r="G1674"/>
          <cell r="H1674"/>
          <cell r="I1674"/>
          <cell r="J1674"/>
          <cell r="L1674"/>
        </row>
        <row r="1675">
          <cell r="A1675"/>
          <cell r="D1675"/>
          <cell r="E1675"/>
          <cell r="F1675"/>
          <cell r="G1675"/>
          <cell r="H1675"/>
          <cell r="I1675"/>
          <cell r="J1675"/>
          <cell r="L1675"/>
        </row>
        <row r="1676">
          <cell r="A1676"/>
          <cell r="D1676"/>
          <cell r="E1676"/>
          <cell r="F1676"/>
          <cell r="G1676"/>
          <cell r="H1676"/>
          <cell r="I1676"/>
          <cell r="J1676"/>
          <cell r="L1676"/>
        </row>
        <row r="1677">
          <cell r="A1677"/>
          <cell r="D1677"/>
          <cell r="E1677"/>
          <cell r="F1677"/>
          <cell r="G1677"/>
          <cell r="H1677"/>
          <cell r="I1677"/>
          <cell r="J1677"/>
          <cell r="L1677"/>
        </row>
        <row r="1678">
          <cell r="A1678"/>
          <cell r="D1678"/>
          <cell r="E1678"/>
          <cell r="F1678"/>
          <cell r="G1678"/>
          <cell r="H1678"/>
          <cell r="I1678"/>
          <cell r="J1678"/>
          <cell r="L1678"/>
        </row>
        <row r="1679">
          <cell r="A1679"/>
          <cell r="D1679"/>
          <cell r="E1679"/>
          <cell r="F1679"/>
          <cell r="G1679"/>
          <cell r="H1679"/>
          <cell r="I1679"/>
          <cell r="J1679"/>
          <cell r="L1679"/>
        </row>
        <row r="1680">
          <cell r="A1680"/>
          <cell r="D1680"/>
          <cell r="E1680"/>
          <cell r="F1680"/>
          <cell r="G1680"/>
          <cell r="H1680"/>
          <cell r="I1680"/>
          <cell r="J1680"/>
          <cell r="L1680"/>
        </row>
        <row r="1681">
          <cell r="A1681"/>
          <cell r="D1681"/>
          <cell r="E1681"/>
          <cell r="F1681"/>
          <cell r="G1681"/>
          <cell r="H1681"/>
          <cell r="I1681"/>
          <cell r="J1681"/>
          <cell r="L1681"/>
        </row>
        <row r="1682">
          <cell r="A1682"/>
          <cell r="D1682"/>
          <cell r="E1682"/>
          <cell r="F1682"/>
          <cell r="G1682"/>
          <cell r="H1682"/>
          <cell r="I1682"/>
          <cell r="J1682"/>
          <cell r="L1682"/>
        </row>
        <row r="1683">
          <cell r="A1683"/>
          <cell r="D1683"/>
          <cell r="E1683"/>
          <cell r="F1683"/>
          <cell r="G1683"/>
          <cell r="H1683"/>
          <cell r="I1683"/>
          <cell r="J1683"/>
          <cell r="L1683"/>
        </row>
        <row r="1684">
          <cell r="A1684"/>
          <cell r="D1684"/>
          <cell r="E1684"/>
          <cell r="F1684"/>
          <cell r="G1684"/>
          <cell r="H1684"/>
          <cell r="I1684"/>
          <cell r="J1684"/>
          <cell r="L1684"/>
        </row>
        <row r="1685">
          <cell r="A1685"/>
          <cell r="D1685"/>
          <cell r="E1685"/>
          <cell r="F1685"/>
          <cell r="G1685"/>
          <cell r="H1685"/>
          <cell r="I1685"/>
          <cell r="J1685"/>
          <cell r="L1685"/>
        </row>
        <row r="1686">
          <cell r="A1686"/>
          <cell r="D1686"/>
          <cell r="E1686"/>
          <cell r="F1686"/>
          <cell r="G1686"/>
          <cell r="H1686"/>
          <cell r="I1686"/>
          <cell r="J1686"/>
          <cell r="L1686"/>
        </row>
        <row r="1687">
          <cell r="A1687"/>
          <cell r="D1687"/>
          <cell r="E1687"/>
          <cell r="F1687"/>
          <cell r="G1687"/>
          <cell r="H1687"/>
          <cell r="I1687"/>
          <cell r="J1687"/>
          <cell r="L1687"/>
        </row>
        <row r="1688">
          <cell r="A1688"/>
          <cell r="D1688"/>
          <cell r="E1688"/>
          <cell r="F1688"/>
          <cell r="G1688"/>
          <cell r="H1688"/>
          <cell r="I1688"/>
          <cell r="J1688"/>
          <cell r="L1688"/>
        </row>
        <row r="1689">
          <cell r="A1689"/>
          <cell r="D1689"/>
          <cell r="E1689"/>
          <cell r="F1689"/>
          <cell r="G1689"/>
          <cell r="H1689"/>
          <cell r="I1689"/>
          <cell r="J1689"/>
          <cell r="L1689"/>
        </row>
        <row r="1690">
          <cell r="A1690"/>
          <cell r="D1690"/>
          <cell r="E1690"/>
          <cell r="F1690"/>
          <cell r="G1690"/>
          <cell r="H1690"/>
          <cell r="I1690"/>
          <cell r="J1690"/>
          <cell r="L1690"/>
        </row>
        <row r="1691">
          <cell r="A1691"/>
          <cell r="D1691"/>
          <cell r="E1691"/>
          <cell r="F1691"/>
          <cell r="G1691"/>
          <cell r="H1691"/>
          <cell r="I1691"/>
          <cell r="J1691"/>
          <cell r="L1691"/>
        </row>
        <row r="1692">
          <cell r="A1692"/>
          <cell r="D1692"/>
          <cell r="E1692"/>
          <cell r="F1692"/>
          <cell r="G1692"/>
          <cell r="H1692"/>
          <cell r="I1692"/>
          <cell r="J1692"/>
          <cell r="L1692"/>
        </row>
        <row r="1693">
          <cell r="A1693"/>
          <cell r="D1693"/>
          <cell r="E1693"/>
          <cell r="F1693"/>
          <cell r="G1693"/>
          <cell r="H1693"/>
          <cell r="I1693"/>
          <cell r="J1693"/>
          <cell r="L1693"/>
        </row>
        <row r="1694">
          <cell r="A1694"/>
          <cell r="D1694"/>
          <cell r="E1694"/>
          <cell r="F1694"/>
          <cell r="G1694"/>
          <cell r="H1694"/>
          <cell r="I1694"/>
          <cell r="J1694"/>
          <cell r="L1694"/>
        </row>
        <row r="1695">
          <cell r="A1695"/>
          <cell r="D1695"/>
          <cell r="E1695"/>
          <cell r="F1695"/>
          <cell r="G1695"/>
          <cell r="H1695"/>
          <cell r="I1695"/>
          <cell r="J1695"/>
          <cell r="L1695"/>
        </row>
        <row r="1696">
          <cell r="A1696"/>
          <cell r="D1696"/>
          <cell r="E1696"/>
          <cell r="F1696"/>
          <cell r="G1696"/>
          <cell r="H1696"/>
          <cell r="I1696"/>
          <cell r="J1696"/>
          <cell r="L1696"/>
        </row>
        <row r="1697">
          <cell r="A1697"/>
          <cell r="D1697"/>
          <cell r="E1697"/>
          <cell r="F1697"/>
          <cell r="G1697"/>
          <cell r="H1697"/>
          <cell r="I1697"/>
          <cell r="J1697"/>
          <cell r="L1697"/>
        </row>
        <row r="1698">
          <cell r="A1698"/>
          <cell r="D1698"/>
          <cell r="E1698"/>
          <cell r="F1698"/>
          <cell r="G1698"/>
          <cell r="H1698"/>
          <cell r="I1698"/>
          <cell r="J1698"/>
          <cell r="L1698"/>
        </row>
        <row r="1699">
          <cell r="A1699"/>
          <cell r="D1699"/>
          <cell r="E1699"/>
          <cell r="F1699"/>
          <cell r="G1699"/>
          <cell r="H1699"/>
          <cell r="I1699"/>
          <cell r="J1699"/>
          <cell r="L1699"/>
        </row>
        <row r="1700">
          <cell r="A1700"/>
          <cell r="D1700"/>
          <cell r="E1700"/>
          <cell r="F1700"/>
          <cell r="G1700"/>
          <cell r="H1700"/>
          <cell r="I1700"/>
          <cell r="J1700"/>
          <cell r="L1700"/>
        </row>
        <row r="1701">
          <cell r="A1701"/>
          <cell r="D1701"/>
          <cell r="E1701"/>
          <cell r="F1701"/>
          <cell r="G1701"/>
          <cell r="H1701"/>
          <cell r="I1701"/>
          <cell r="J1701"/>
          <cell r="L1701"/>
        </row>
        <row r="1702">
          <cell r="A1702"/>
          <cell r="D1702"/>
          <cell r="E1702"/>
          <cell r="F1702"/>
          <cell r="G1702"/>
          <cell r="H1702"/>
          <cell r="I1702"/>
          <cell r="J1702"/>
          <cell r="L1702"/>
        </row>
        <row r="1703">
          <cell r="A1703"/>
          <cell r="D1703"/>
          <cell r="E1703"/>
          <cell r="F1703"/>
          <cell r="G1703"/>
          <cell r="H1703"/>
          <cell r="I1703"/>
          <cell r="J1703"/>
          <cell r="L1703"/>
        </row>
        <row r="1704">
          <cell r="A1704"/>
          <cell r="D1704"/>
          <cell r="E1704"/>
          <cell r="F1704"/>
          <cell r="G1704"/>
          <cell r="H1704"/>
          <cell r="I1704"/>
          <cell r="J1704"/>
          <cell r="L1704"/>
        </row>
        <row r="1705">
          <cell r="A1705"/>
          <cell r="D1705"/>
          <cell r="E1705"/>
          <cell r="F1705"/>
          <cell r="G1705"/>
          <cell r="H1705"/>
          <cell r="I1705"/>
          <cell r="J1705"/>
          <cell r="L1705"/>
        </row>
        <row r="1706">
          <cell r="A1706"/>
          <cell r="D1706"/>
          <cell r="E1706"/>
          <cell r="F1706"/>
          <cell r="G1706"/>
          <cell r="H1706"/>
          <cell r="I1706"/>
          <cell r="J1706"/>
          <cell r="L1706"/>
        </row>
        <row r="1707">
          <cell r="A1707"/>
          <cell r="D1707"/>
          <cell r="E1707"/>
          <cell r="F1707"/>
          <cell r="G1707"/>
          <cell r="H1707"/>
          <cell r="I1707"/>
          <cell r="J1707"/>
          <cell r="L1707"/>
        </row>
        <row r="1708">
          <cell r="A1708"/>
          <cell r="D1708"/>
          <cell r="E1708"/>
          <cell r="F1708"/>
          <cell r="G1708"/>
          <cell r="H1708"/>
          <cell r="I1708"/>
          <cell r="J1708"/>
          <cell r="L1708"/>
        </row>
        <row r="1709">
          <cell r="A1709"/>
          <cell r="D1709"/>
          <cell r="E1709"/>
          <cell r="F1709"/>
          <cell r="G1709"/>
          <cell r="H1709"/>
          <cell r="I1709"/>
          <cell r="J1709"/>
          <cell r="L1709"/>
        </row>
        <row r="1710">
          <cell r="A1710"/>
          <cell r="D1710"/>
          <cell r="E1710"/>
          <cell r="F1710"/>
          <cell r="G1710"/>
          <cell r="H1710"/>
          <cell r="I1710"/>
          <cell r="J1710"/>
          <cell r="L1710"/>
        </row>
        <row r="1711">
          <cell r="A1711"/>
          <cell r="D1711"/>
          <cell r="E1711"/>
          <cell r="F1711"/>
          <cell r="G1711"/>
          <cell r="H1711"/>
          <cell r="I1711"/>
          <cell r="J1711"/>
          <cell r="L1711"/>
        </row>
        <row r="1712">
          <cell r="A1712"/>
          <cell r="D1712"/>
          <cell r="E1712"/>
          <cell r="F1712"/>
          <cell r="G1712"/>
          <cell r="H1712"/>
          <cell r="I1712"/>
          <cell r="J1712"/>
          <cell r="L1712"/>
        </row>
        <row r="1713">
          <cell r="A1713"/>
          <cell r="D1713"/>
          <cell r="E1713"/>
          <cell r="F1713"/>
          <cell r="G1713"/>
          <cell r="H1713"/>
          <cell r="I1713"/>
          <cell r="J1713"/>
          <cell r="L1713"/>
        </row>
        <row r="1714">
          <cell r="A1714"/>
          <cell r="D1714"/>
          <cell r="E1714"/>
          <cell r="F1714"/>
          <cell r="G1714"/>
          <cell r="H1714"/>
          <cell r="I1714"/>
          <cell r="J1714"/>
          <cell r="L1714"/>
        </row>
        <row r="1715">
          <cell r="A1715"/>
          <cell r="D1715"/>
          <cell r="E1715"/>
          <cell r="F1715"/>
          <cell r="G1715"/>
          <cell r="H1715"/>
          <cell r="I1715"/>
          <cell r="J1715"/>
          <cell r="L1715"/>
        </row>
        <row r="1716">
          <cell r="A1716"/>
          <cell r="D1716"/>
          <cell r="E1716"/>
          <cell r="F1716"/>
          <cell r="G1716"/>
          <cell r="H1716"/>
          <cell r="I1716"/>
          <cell r="J1716"/>
          <cell r="L1716"/>
        </row>
        <row r="1717">
          <cell r="A1717"/>
          <cell r="D1717"/>
          <cell r="E1717"/>
          <cell r="F1717"/>
          <cell r="G1717"/>
          <cell r="H1717"/>
          <cell r="I1717"/>
          <cell r="J1717"/>
          <cell r="L1717"/>
        </row>
        <row r="1718">
          <cell r="A1718"/>
          <cell r="D1718"/>
          <cell r="E1718"/>
          <cell r="F1718"/>
          <cell r="G1718"/>
          <cell r="H1718"/>
          <cell r="I1718"/>
          <cell r="J1718"/>
          <cell r="L1718"/>
        </row>
        <row r="1719">
          <cell r="A1719"/>
          <cell r="D1719"/>
          <cell r="E1719"/>
          <cell r="F1719"/>
          <cell r="G1719"/>
          <cell r="H1719"/>
          <cell r="I1719"/>
          <cell r="J1719"/>
          <cell r="L1719"/>
        </row>
        <row r="1720">
          <cell r="A1720"/>
          <cell r="D1720"/>
          <cell r="E1720"/>
          <cell r="F1720"/>
          <cell r="G1720"/>
          <cell r="H1720"/>
          <cell r="I1720"/>
          <cell r="J1720"/>
          <cell r="L1720"/>
        </row>
        <row r="1721">
          <cell r="A1721"/>
          <cell r="D1721"/>
          <cell r="E1721"/>
          <cell r="F1721"/>
          <cell r="G1721"/>
          <cell r="H1721"/>
          <cell r="I1721"/>
          <cell r="J1721"/>
          <cell r="L1721"/>
        </row>
        <row r="1722">
          <cell r="A1722"/>
          <cell r="D1722"/>
          <cell r="E1722"/>
          <cell r="F1722"/>
          <cell r="G1722"/>
          <cell r="H1722"/>
          <cell r="I1722"/>
          <cell r="J1722"/>
          <cell r="L1722"/>
        </row>
        <row r="1723">
          <cell r="A1723"/>
          <cell r="D1723"/>
          <cell r="E1723"/>
          <cell r="F1723"/>
          <cell r="G1723"/>
          <cell r="H1723"/>
          <cell r="I1723"/>
          <cell r="J1723"/>
          <cell r="L1723"/>
        </row>
        <row r="1724">
          <cell r="A1724"/>
          <cell r="D1724"/>
          <cell r="E1724"/>
          <cell r="F1724"/>
          <cell r="G1724"/>
          <cell r="H1724"/>
          <cell r="I1724"/>
          <cell r="J1724"/>
          <cell r="L1724"/>
        </row>
        <row r="1725">
          <cell r="A1725"/>
          <cell r="D1725"/>
          <cell r="E1725"/>
          <cell r="F1725"/>
          <cell r="G1725"/>
          <cell r="H1725"/>
          <cell r="I1725"/>
          <cell r="J1725"/>
          <cell r="L1725"/>
        </row>
        <row r="1726">
          <cell r="A1726"/>
          <cell r="D1726"/>
          <cell r="E1726"/>
          <cell r="F1726"/>
          <cell r="G1726"/>
          <cell r="H1726"/>
          <cell r="I1726"/>
          <cell r="J1726"/>
          <cell r="L1726"/>
        </row>
        <row r="1727">
          <cell r="A1727"/>
          <cell r="D1727"/>
          <cell r="E1727"/>
          <cell r="F1727"/>
          <cell r="G1727"/>
          <cell r="H1727"/>
          <cell r="I1727"/>
          <cell r="J1727"/>
          <cell r="L1727"/>
        </row>
        <row r="1728">
          <cell r="A1728"/>
          <cell r="D1728"/>
          <cell r="E1728"/>
          <cell r="F1728"/>
          <cell r="G1728"/>
          <cell r="H1728"/>
          <cell r="I1728"/>
          <cell r="J1728"/>
          <cell r="L1728"/>
        </row>
        <row r="1729">
          <cell r="A1729"/>
          <cell r="D1729"/>
          <cell r="E1729"/>
          <cell r="F1729"/>
          <cell r="G1729"/>
          <cell r="H1729"/>
          <cell r="I1729"/>
          <cell r="J1729"/>
          <cell r="L1729"/>
        </row>
        <row r="1730">
          <cell r="A1730"/>
          <cell r="D1730"/>
          <cell r="E1730"/>
          <cell r="F1730"/>
          <cell r="G1730"/>
          <cell r="H1730"/>
          <cell r="I1730"/>
          <cell r="J1730"/>
          <cell r="L1730"/>
        </row>
        <row r="1731">
          <cell r="A1731"/>
          <cell r="D1731"/>
          <cell r="E1731"/>
          <cell r="F1731"/>
          <cell r="G1731"/>
          <cell r="H1731"/>
          <cell r="I1731"/>
          <cell r="J1731"/>
          <cell r="L1731"/>
        </row>
        <row r="1732">
          <cell r="A1732"/>
          <cell r="D1732"/>
          <cell r="E1732"/>
          <cell r="F1732"/>
          <cell r="G1732"/>
          <cell r="H1732"/>
          <cell r="I1732"/>
          <cell r="J1732"/>
          <cell r="L1732"/>
        </row>
        <row r="1733">
          <cell r="A1733"/>
          <cell r="D1733"/>
          <cell r="E1733"/>
          <cell r="F1733"/>
          <cell r="G1733"/>
          <cell r="H1733"/>
          <cell r="I1733"/>
          <cell r="J1733"/>
          <cell r="L1733"/>
        </row>
        <row r="1734">
          <cell r="A1734"/>
          <cell r="D1734"/>
          <cell r="E1734"/>
          <cell r="F1734"/>
          <cell r="G1734"/>
          <cell r="H1734"/>
          <cell r="I1734"/>
          <cell r="J1734"/>
          <cell r="L1734"/>
        </row>
        <row r="1735">
          <cell r="A1735"/>
          <cell r="D1735"/>
          <cell r="E1735"/>
          <cell r="F1735"/>
          <cell r="G1735"/>
          <cell r="H1735"/>
          <cell r="I1735"/>
          <cell r="J1735"/>
          <cell r="L1735"/>
        </row>
        <row r="1736">
          <cell r="A1736"/>
          <cell r="D1736"/>
          <cell r="E1736"/>
          <cell r="F1736"/>
          <cell r="G1736"/>
          <cell r="H1736"/>
          <cell r="I1736"/>
          <cell r="J1736"/>
          <cell r="L1736"/>
        </row>
        <row r="1737">
          <cell r="A1737"/>
          <cell r="D1737"/>
          <cell r="E1737"/>
          <cell r="F1737"/>
          <cell r="G1737"/>
          <cell r="H1737"/>
          <cell r="I1737"/>
          <cell r="J1737"/>
          <cell r="L1737"/>
        </row>
        <row r="1738">
          <cell r="A1738"/>
          <cell r="D1738"/>
          <cell r="E1738"/>
          <cell r="F1738"/>
          <cell r="G1738"/>
          <cell r="H1738"/>
          <cell r="I1738"/>
          <cell r="J1738"/>
          <cell r="L1738"/>
        </row>
        <row r="1739">
          <cell r="A1739"/>
          <cell r="D1739"/>
          <cell r="E1739"/>
          <cell r="F1739"/>
          <cell r="G1739"/>
          <cell r="H1739"/>
          <cell r="I1739"/>
          <cell r="J1739"/>
          <cell r="L1739"/>
        </row>
        <row r="1740">
          <cell r="A1740"/>
          <cell r="D1740"/>
          <cell r="E1740"/>
          <cell r="F1740"/>
          <cell r="G1740"/>
          <cell r="H1740"/>
          <cell r="I1740"/>
          <cell r="J1740"/>
          <cell r="L1740"/>
        </row>
        <row r="1741">
          <cell r="A1741"/>
          <cell r="D1741"/>
          <cell r="E1741"/>
          <cell r="F1741"/>
          <cell r="G1741"/>
          <cell r="H1741"/>
          <cell r="I1741"/>
          <cell r="J1741"/>
          <cell r="L1741"/>
        </row>
        <row r="1742">
          <cell r="A1742"/>
          <cell r="D1742"/>
          <cell r="E1742"/>
          <cell r="F1742"/>
          <cell r="G1742"/>
          <cell r="H1742"/>
          <cell r="I1742"/>
          <cell r="J1742"/>
          <cell r="L1742"/>
        </row>
        <row r="1743">
          <cell r="A1743"/>
          <cell r="D1743"/>
          <cell r="E1743"/>
          <cell r="F1743"/>
          <cell r="G1743"/>
          <cell r="H1743"/>
          <cell r="I1743"/>
          <cell r="J1743"/>
          <cell r="L1743"/>
        </row>
        <row r="1744">
          <cell r="A1744"/>
          <cell r="D1744"/>
          <cell r="E1744"/>
          <cell r="F1744"/>
          <cell r="G1744"/>
          <cell r="H1744"/>
          <cell r="I1744"/>
          <cell r="J1744"/>
          <cell r="L1744"/>
        </row>
        <row r="1745">
          <cell r="A1745"/>
          <cell r="D1745"/>
          <cell r="E1745"/>
          <cell r="F1745"/>
          <cell r="G1745"/>
          <cell r="H1745"/>
          <cell r="I1745"/>
          <cell r="J1745"/>
          <cell r="L1745"/>
        </row>
        <row r="1746">
          <cell r="A1746"/>
          <cell r="D1746"/>
          <cell r="E1746"/>
          <cell r="F1746"/>
          <cell r="G1746"/>
          <cell r="H1746"/>
          <cell r="I1746"/>
          <cell r="J1746"/>
          <cell r="L1746"/>
        </row>
        <row r="1747">
          <cell r="A1747"/>
          <cell r="D1747"/>
          <cell r="E1747"/>
          <cell r="F1747"/>
          <cell r="G1747"/>
          <cell r="H1747"/>
          <cell r="I1747"/>
          <cell r="J1747"/>
          <cell r="L1747"/>
        </row>
        <row r="1748">
          <cell r="A1748"/>
          <cell r="D1748"/>
          <cell r="E1748"/>
          <cell r="F1748"/>
          <cell r="G1748"/>
          <cell r="H1748"/>
          <cell r="I1748"/>
          <cell r="J1748"/>
          <cell r="L1748"/>
        </row>
        <row r="1749">
          <cell r="A1749"/>
          <cell r="D1749"/>
          <cell r="E1749"/>
          <cell r="F1749"/>
          <cell r="G1749"/>
          <cell r="H1749"/>
          <cell r="I1749"/>
          <cell r="J1749"/>
          <cell r="L1749"/>
        </row>
        <row r="1750">
          <cell r="A1750"/>
          <cell r="D1750"/>
          <cell r="E1750"/>
          <cell r="F1750"/>
          <cell r="G1750"/>
          <cell r="H1750"/>
          <cell r="I1750"/>
          <cell r="J1750"/>
          <cell r="L1750"/>
        </row>
        <row r="1751">
          <cell r="A1751"/>
          <cell r="D1751"/>
          <cell r="E1751"/>
          <cell r="F1751"/>
          <cell r="G1751"/>
          <cell r="H1751"/>
          <cell r="I1751"/>
          <cell r="J1751"/>
          <cell r="L1751"/>
        </row>
        <row r="1752">
          <cell r="A1752"/>
          <cell r="D1752"/>
          <cell r="E1752"/>
          <cell r="F1752"/>
          <cell r="G1752"/>
          <cell r="H1752"/>
          <cell r="I1752"/>
          <cell r="J1752"/>
          <cell r="L1752"/>
        </row>
        <row r="1753">
          <cell r="A1753"/>
          <cell r="D1753"/>
          <cell r="E1753"/>
          <cell r="F1753"/>
          <cell r="G1753"/>
          <cell r="H1753"/>
          <cell r="I1753"/>
          <cell r="J1753"/>
          <cell r="L1753"/>
        </row>
        <row r="1754">
          <cell r="A1754"/>
          <cell r="D1754"/>
          <cell r="E1754"/>
          <cell r="F1754"/>
          <cell r="G1754"/>
          <cell r="H1754"/>
          <cell r="I1754"/>
          <cell r="J1754"/>
          <cell r="L1754"/>
        </row>
        <row r="1755">
          <cell r="A1755"/>
          <cell r="D1755"/>
          <cell r="E1755"/>
          <cell r="F1755"/>
          <cell r="G1755"/>
          <cell r="H1755"/>
          <cell r="I1755"/>
          <cell r="J1755"/>
          <cell r="L1755"/>
        </row>
        <row r="1756">
          <cell r="A1756"/>
          <cell r="D1756"/>
          <cell r="E1756"/>
          <cell r="F1756"/>
          <cell r="G1756"/>
          <cell r="H1756"/>
          <cell r="I1756"/>
          <cell r="J1756"/>
          <cell r="L1756"/>
        </row>
        <row r="1757">
          <cell r="A1757"/>
          <cell r="D1757"/>
          <cell r="E1757"/>
          <cell r="F1757"/>
          <cell r="G1757"/>
          <cell r="H1757"/>
          <cell r="I1757"/>
          <cell r="J1757"/>
          <cell r="L1757"/>
        </row>
        <row r="1758">
          <cell r="A1758"/>
          <cell r="D1758"/>
          <cell r="E1758"/>
          <cell r="F1758"/>
          <cell r="G1758"/>
          <cell r="H1758"/>
          <cell r="I1758"/>
          <cell r="J1758"/>
          <cell r="L1758"/>
        </row>
        <row r="1759">
          <cell r="A1759"/>
          <cell r="D1759"/>
          <cell r="E1759"/>
          <cell r="F1759"/>
          <cell r="G1759"/>
          <cell r="H1759"/>
          <cell r="I1759"/>
          <cell r="J1759"/>
          <cell r="L1759"/>
        </row>
        <row r="1760">
          <cell r="A1760"/>
          <cell r="D1760"/>
          <cell r="E1760"/>
          <cell r="F1760"/>
          <cell r="G1760"/>
          <cell r="H1760"/>
          <cell r="I1760"/>
          <cell r="J1760"/>
          <cell r="L1760"/>
        </row>
        <row r="1761">
          <cell r="A1761"/>
          <cell r="D1761"/>
          <cell r="E1761"/>
          <cell r="F1761"/>
          <cell r="G1761"/>
          <cell r="H1761"/>
          <cell r="I1761"/>
          <cell r="J1761"/>
          <cell r="L1761"/>
        </row>
        <row r="1762">
          <cell r="A1762"/>
          <cell r="D1762"/>
          <cell r="E1762"/>
          <cell r="F1762"/>
          <cell r="G1762"/>
          <cell r="H1762"/>
          <cell r="I1762"/>
          <cell r="J1762"/>
          <cell r="L1762"/>
        </row>
        <row r="1763">
          <cell r="A1763"/>
          <cell r="D1763"/>
          <cell r="E1763"/>
          <cell r="F1763"/>
          <cell r="G1763"/>
          <cell r="H1763"/>
          <cell r="I1763"/>
          <cell r="J1763"/>
          <cell r="L1763"/>
        </row>
        <row r="1764">
          <cell r="A1764"/>
          <cell r="D1764"/>
          <cell r="E1764"/>
          <cell r="F1764"/>
          <cell r="G1764"/>
          <cell r="H1764"/>
          <cell r="I1764"/>
          <cell r="J1764"/>
          <cell r="L1764"/>
        </row>
        <row r="1765">
          <cell r="A1765"/>
          <cell r="D1765"/>
          <cell r="E1765"/>
          <cell r="F1765"/>
          <cell r="G1765"/>
          <cell r="H1765"/>
          <cell r="I1765"/>
          <cell r="J1765"/>
          <cell r="L1765"/>
        </row>
        <row r="1766">
          <cell r="A1766"/>
          <cell r="D1766"/>
          <cell r="E1766"/>
          <cell r="F1766"/>
          <cell r="G1766"/>
          <cell r="H1766"/>
          <cell r="I1766"/>
          <cell r="J1766"/>
          <cell r="L1766"/>
        </row>
        <row r="1767">
          <cell r="A1767"/>
          <cell r="D1767"/>
          <cell r="E1767"/>
          <cell r="F1767"/>
          <cell r="G1767"/>
          <cell r="H1767"/>
          <cell r="I1767"/>
          <cell r="J1767"/>
          <cell r="L1767"/>
        </row>
        <row r="1768">
          <cell r="A1768"/>
          <cell r="D1768"/>
          <cell r="E1768"/>
          <cell r="F1768"/>
          <cell r="G1768"/>
          <cell r="H1768"/>
          <cell r="I1768"/>
          <cell r="J1768"/>
          <cell r="L1768"/>
        </row>
        <row r="1769">
          <cell r="A1769"/>
          <cell r="D1769"/>
          <cell r="E1769"/>
          <cell r="F1769"/>
          <cell r="G1769"/>
          <cell r="H1769"/>
          <cell r="I1769"/>
          <cell r="J1769"/>
          <cell r="L1769"/>
        </row>
        <row r="1770">
          <cell r="A1770"/>
          <cell r="D1770"/>
          <cell r="E1770"/>
          <cell r="F1770"/>
          <cell r="G1770"/>
          <cell r="H1770"/>
          <cell r="I1770"/>
          <cell r="J1770"/>
          <cell r="L1770"/>
        </row>
        <row r="1771">
          <cell r="A1771"/>
          <cell r="D1771"/>
          <cell r="E1771"/>
          <cell r="F1771"/>
          <cell r="G1771"/>
          <cell r="H1771"/>
          <cell r="I1771"/>
          <cell r="J1771"/>
          <cell r="L1771"/>
        </row>
        <row r="1772">
          <cell r="A1772"/>
          <cell r="D1772"/>
          <cell r="E1772"/>
          <cell r="F1772"/>
          <cell r="G1772"/>
          <cell r="H1772"/>
          <cell r="I1772"/>
          <cell r="J1772"/>
          <cell r="L1772"/>
        </row>
        <row r="1773">
          <cell r="A1773"/>
          <cell r="D1773"/>
          <cell r="E1773"/>
          <cell r="F1773"/>
          <cell r="G1773"/>
          <cell r="H1773"/>
          <cell r="I1773"/>
          <cell r="J1773"/>
          <cell r="L1773"/>
        </row>
        <row r="1774">
          <cell r="A1774"/>
          <cell r="D1774"/>
          <cell r="E1774"/>
          <cell r="F1774"/>
          <cell r="G1774"/>
          <cell r="H1774"/>
          <cell r="I1774"/>
          <cell r="J1774"/>
          <cell r="L1774"/>
        </row>
        <row r="1775">
          <cell r="A1775"/>
          <cell r="D1775"/>
          <cell r="E1775"/>
          <cell r="F1775"/>
          <cell r="G1775"/>
          <cell r="H1775"/>
          <cell r="I1775"/>
          <cell r="J1775"/>
          <cell r="L1775"/>
        </row>
        <row r="1776">
          <cell r="A1776"/>
          <cell r="D1776"/>
          <cell r="E1776"/>
          <cell r="F1776"/>
          <cell r="G1776"/>
          <cell r="H1776"/>
          <cell r="I1776"/>
          <cell r="J1776"/>
          <cell r="L1776"/>
        </row>
        <row r="1777">
          <cell r="A1777"/>
          <cell r="D1777"/>
          <cell r="E1777"/>
          <cell r="F1777"/>
          <cell r="G1777"/>
          <cell r="H1777"/>
          <cell r="I1777"/>
          <cell r="J1777"/>
          <cell r="L1777"/>
        </row>
        <row r="1778">
          <cell r="A1778"/>
          <cell r="D1778"/>
          <cell r="E1778"/>
          <cell r="F1778"/>
          <cell r="G1778"/>
          <cell r="H1778"/>
          <cell r="I1778"/>
          <cell r="J1778"/>
          <cell r="L1778"/>
        </row>
        <row r="1779">
          <cell r="A1779"/>
          <cell r="D1779"/>
          <cell r="E1779"/>
          <cell r="F1779"/>
          <cell r="G1779"/>
          <cell r="H1779"/>
          <cell r="I1779"/>
          <cell r="J1779"/>
          <cell r="L1779"/>
        </row>
        <row r="1780">
          <cell r="A1780"/>
          <cell r="D1780"/>
          <cell r="E1780"/>
          <cell r="F1780"/>
          <cell r="G1780"/>
          <cell r="H1780"/>
          <cell r="I1780"/>
          <cell r="J1780"/>
          <cell r="L1780"/>
        </row>
        <row r="1781">
          <cell r="A1781"/>
          <cell r="D1781"/>
          <cell r="E1781"/>
          <cell r="F1781"/>
          <cell r="G1781"/>
          <cell r="H1781"/>
          <cell r="I1781"/>
          <cell r="J1781"/>
          <cell r="L1781"/>
        </row>
        <row r="1782">
          <cell r="A1782"/>
          <cell r="D1782"/>
          <cell r="E1782"/>
          <cell r="F1782"/>
          <cell r="G1782"/>
          <cell r="H1782"/>
          <cell r="I1782"/>
          <cell r="J1782"/>
          <cell r="L1782"/>
        </row>
        <row r="1783">
          <cell r="A1783"/>
          <cell r="D1783"/>
          <cell r="E1783"/>
          <cell r="F1783"/>
          <cell r="G1783"/>
          <cell r="H1783"/>
          <cell r="I1783"/>
          <cell r="J1783"/>
          <cell r="L1783"/>
        </row>
        <row r="1784">
          <cell r="A1784"/>
          <cell r="D1784"/>
          <cell r="E1784"/>
          <cell r="F1784"/>
          <cell r="G1784"/>
          <cell r="H1784"/>
          <cell r="I1784"/>
          <cell r="J1784"/>
          <cell r="L1784"/>
        </row>
        <row r="1785">
          <cell r="A1785"/>
          <cell r="D1785"/>
          <cell r="E1785"/>
          <cell r="F1785"/>
          <cell r="G1785"/>
          <cell r="H1785"/>
          <cell r="I1785"/>
          <cell r="J1785"/>
          <cell r="L1785"/>
        </row>
        <row r="1786">
          <cell r="A1786"/>
          <cell r="D1786"/>
          <cell r="E1786"/>
          <cell r="F1786"/>
          <cell r="G1786"/>
          <cell r="H1786"/>
          <cell r="I1786"/>
          <cell r="J1786"/>
          <cell r="L1786"/>
        </row>
        <row r="1787">
          <cell r="A1787"/>
          <cell r="D1787"/>
          <cell r="E1787"/>
          <cell r="F1787"/>
          <cell r="G1787"/>
          <cell r="H1787"/>
          <cell r="I1787"/>
          <cell r="J1787"/>
          <cell r="L1787"/>
        </row>
        <row r="1788">
          <cell r="A1788"/>
          <cell r="D1788"/>
          <cell r="E1788"/>
          <cell r="F1788"/>
          <cell r="G1788"/>
          <cell r="H1788"/>
          <cell r="I1788"/>
          <cell r="J1788"/>
          <cell r="L1788"/>
        </row>
        <row r="1789">
          <cell r="A1789"/>
          <cell r="D1789"/>
          <cell r="E1789"/>
          <cell r="F1789"/>
          <cell r="G1789"/>
          <cell r="H1789"/>
          <cell r="I1789"/>
          <cell r="J1789"/>
          <cell r="L1789"/>
        </row>
        <row r="1790">
          <cell r="A1790"/>
          <cell r="D1790"/>
          <cell r="E1790"/>
          <cell r="F1790"/>
          <cell r="G1790"/>
          <cell r="H1790"/>
          <cell r="I1790"/>
          <cell r="J1790"/>
          <cell r="L1790"/>
        </row>
        <row r="1791">
          <cell r="A1791"/>
          <cell r="D1791"/>
          <cell r="E1791"/>
          <cell r="F1791"/>
          <cell r="G1791"/>
          <cell r="H1791"/>
          <cell r="I1791"/>
          <cell r="J1791"/>
          <cell r="L1791"/>
        </row>
        <row r="1792">
          <cell r="A1792"/>
          <cell r="D1792"/>
          <cell r="E1792"/>
          <cell r="F1792"/>
          <cell r="G1792"/>
          <cell r="H1792"/>
          <cell r="I1792"/>
          <cell r="J1792"/>
          <cell r="L1792"/>
        </row>
        <row r="1793">
          <cell r="A1793"/>
          <cell r="D1793"/>
          <cell r="E1793"/>
          <cell r="F1793"/>
          <cell r="G1793"/>
          <cell r="H1793"/>
          <cell r="I1793"/>
          <cell r="J1793"/>
          <cell r="L1793"/>
        </row>
        <row r="1794">
          <cell r="A1794"/>
          <cell r="D1794"/>
          <cell r="E1794"/>
          <cell r="F1794"/>
          <cell r="G1794"/>
          <cell r="H1794"/>
          <cell r="I1794"/>
          <cell r="J1794"/>
          <cell r="L1794"/>
        </row>
        <row r="1795">
          <cell r="A1795"/>
          <cell r="D1795"/>
          <cell r="E1795"/>
          <cell r="F1795"/>
          <cell r="G1795"/>
          <cell r="H1795"/>
          <cell r="I1795"/>
          <cell r="J1795"/>
          <cell r="L1795"/>
        </row>
        <row r="1796">
          <cell r="A1796"/>
          <cell r="D1796"/>
          <cell r="E1796"/>
          <cell r="F1796"/>
          <cell r="G1796"/>
          <cell r="H1796"/>
          <cell r="I1796"/>
          <cell r="J1796"/>
          <cell r="L1796"/>
        </row>
        <row r="1797">
          <cell r="A1797"/>
          <cell r="D1797"/>
          <cell r="E1797"/>
          <cell r="F1797"/>
          <cell r="G1797"/>
          <cell r="H1797"/>
          <cell r="I1797"/>
          <cell r="J1797"/>
          <cell r="L1797"/>
        </row>
        <row r="1798">
          <cell r="A1798"/>
          <cell r="D1798"/>
          <cell r="E1798"/>
          <cell r="F1798"/>
          <cell r="G1798"/>
          <cell r="H1798"/>
          <cell r="I1798"/>
          <cell r="J1798"/>
          <cell r="L1798"/>
        </row>
        <row r="1799">
          <cell r="A1799"/>
          <cell r="D1799"/>
          <cell r="E1799"/>
          <cell r="F1799"/>
          <cell r="G1799"/>
          <cell r="H1799"/>
          <cell r="I1799"/>
          <cell r="J1799"/>
          <cell r="L1799"/>
        </row>
        <row r="1800">
          <cell r="A1800"/>
          <cell r="D1800"/>
          <cell r="E1800"/>
          <cell r="F1800"/>
          <cell r="G1800"/>
          <cell r="H1800"/>
          <cell r="I1800"/>
          <cell r="J1800"/>
          <cell r="L1800"/>
        </row>
        <row r="1801">
          <cell r="A1801"/>
          <cell r="D1801"/>
          <cell r="E1801"/>
          <cell r="F1801"/>
          <cell r="G1801"/>
          <cell r="H1801"/>
          <cell r="I1801"/>
          <cell r="J1801"/>
          <cell r="L1801"/>
        </row>
        <row r="1802">
          <cell r="A1802"/>
          <cell r="D1802"/>
          <cell r="E1802"/>
          <cell r="F1802"/>
          <cell r="G1802"/>
          <cell r="H1802"/>
          <cell r="I1802"/>
          <cell r="J1802"/>
          <cell r="L1802"/>
        </row>
        <row r="1803">
          <cell r="A1803"/>
          <cell r="D1803"/>
          <cell r="E1803"/>
          <cell r="F1803"/>
          <cell r="G1803"/>
          <cell r="H1803"/>
          <cell r="I1803"/>
          <cell r="J1803"/>
          <cell r="L1803"/>
        </row>
        <row r="1804">
          <cell r="A1804"/>
          <cell r="D1804"/>
          <cell r="E1804"/>
          <cell r="F1804"/>
          <cell r="G1804"/>
          <cell r="H1804"/>
          <cell r="I1804"/>
          <cell r="J1804"/>
          <cell r="L1804"/>
        </row>
        <row r="1805">
          <cell r="A1805"/>
          <cell r="D1805"/>
          <cell r="E1805"/>
          <cell r="F1805"/>
          <cell r="G1805"/>
          <cell r="H1805"/>
          <cell r="I1805"/>
          <cell r="J1805"/>
          <cell r="L1805"/>
        </row>
        <row r="1806">
          <cell r="A1806"/>
          <cell r="D1806"/>
          <cell r="E1806"/>
          <cell r="F1806"/>
          <cell r="G1806"/>
          <cell r="H1806"/>
          <cell r="I1806"/>
          <cell r="J1806"/>
          <cell r="L1806"/>
        </row>
        <row r="1807">
          <cell r="A1807"/>
          <cell r="D1807"/>
          <cell r="E1807"/>
          <cell r="F1807"/>
          <cell r="G1807"/>
          <cell r="H1807"/>
          <cell r="I1807"/>
          <cell r="J1807"/>
          <cell r="L1807"/>
        </row>
        <row r="1808">
          <cell r="A1808"/>
          <cell r="D1808"/>
          <cell r="E1808"/>
          <cell r="F1808"/>
          <cell r="G1808"/>
          <cell r="H1808"/>
          <cell r="I1808"/>
          <cell r="J1808"/>
          <cell r="L1808"/>
        </row>
        <row r="1809">
          <cell r="A1809"/>
          <cell r="D1809"/>
          <cell r="E1809"/>
          <cell r="F1809"/>
          <cell r="G1809"/>
          <cell r="H1809"/>
          <cell r="I1809"/>
          <cell r="J1809"/>
          <cell r="L1809"/>
        </row>
        <row r="1810">
          <cell r="A1810"/>
          <cell r="D1810"/>
          <cell r="E1810"/>
          <cell r="F1810"/>
          <cell r="G1810"/>
          <cell r="H1810"/>
          <cell r="I1810"/>
          <cell r="J1810"/>
          <cell r="L1810"/>
        </row>
        <row r="1811">
          <cell r="A1811"/>
          <cell r="D1811"/>
          <cell r="E1811"/>
          <cell r="F1811"/>
          <cell r="G1811"/>
          <cell r="H1811"/>
          <cell r="I1811"/>
          <cell r="J1811"/>
          <cell r="L1811"/>
        </row>
        <row r="1812">
          <cell r="A1812"/>
          <cell r="D1812"/>
          <cell r="E1812"/>
          <cell r="F1812"/>
          <cell r="G1812"/>
          <cell r="H1812"/>
          <cell r="I1812"/>
          <cell r="J1812"/>
          <cell r="L1812"/>
        </row>
        <row r="1813">
          <cell r="A1813"/>
          <cell r="D1813"/>
          <cell r="E1813"/>
          <cell r="F1813"/>
          <cell r="G1813"/>
          <cell r="H1813"/>
          <cell r="I1813"/>
          <cell r="J1813"/>
          <cell r="L1813"/>
        </row>
        <row r="1814">
          <cell r="A1814"/>
          <cell r="D1814"/>
          <cell r="E1814"/>
          <cell r="F1814"/>
          <cell r="G1814"/>
          <cell r="H1814"/>
          <cell r="I1814"/>
          <cell r="J1814"/>
          <cell r="L1814"/>
        </row>
        <row r="1815">
          <cell r="A1815"/>
          <cell r="D1815"/>
          <cell r="E1815"/>
          <cell r="F1815"/>
          <cell r="G1815"/>
          <cell r="H1815"/>
          <cell r="I1815"/>
          <cell r="J1815"/>
          <cell r="L1815"/>
        </row>
        <row r="1816">
          <cell r="A1816"/>
          <cell r="D1816"/>
          <cell r="E1816"/>
          <cell r="F1816"/>
          <cell r="G1816"/>
          <cell r="H1816"/>
          <cell r="I1816"/>
          <cell r="J1816"/>
          <cell r="L1816"/>
        </row>
        <row r="1817">
          <cell r="A1817"/>
          <cell r="D1817"/>
          <cell r="E1817"/>
          <cell r="F1817"/>
          <cell r="G1817"/>
          <cell r="H1817"/>
          <cell r="I1817"/>
          <cell r="J1817"/>
          <cell r="L1817"/>
        </row>
        <row r="1818">
          <cell r="A1818"/>
          <cell r="D1818"/>
          <cell r="E1818"/>
          <cell r="F1818"/>
          <cell r="G1818"/>
          <cell r="H1818"/>
          <cell r="I1818"/>
          <cell r="J1818"/>
          <cell r="L1818"/>
        </row>
        <row r="1819">
          <cell r="A1819"/>
          <cell r="D1819"/>
          <cell r="E1819"/>
          <cell r="F1819"/>
          <cell r="G1819"/>
          <cell r="H1819"/>
          <cell r="I1819"/>
          <cell r="J1819"/>
          <cell r="L1819"/>
        </row>
        <row r="1820">
          <cell r="A1820"/>
          <cell r="D1820"/>
          <cell r="E1820"/>
          <cell r="F1820"/>
          <cell r="G1820"/>
          <cell r="H1820"/>
          <cell r="I1820"/>
          <cell r="J1820"/>
          <cell r="L1820"/>
        </row>
        <row r="1821">
          <cell r="A1821"/>
          <cell r="D1821"/>
          <cell r="E1821"/>
          <cell r="F1821"/>
          <cell r="G1821"/>
          <cell r="H1821"/>
          <cell r="I1821"/>
          <cell r="J1821"/>
          <cell r="L1821"/>
        </row>
        <row r="1822">
          <cell r="A1822"/>
          <cell r="D1822"/>
          <cell r="E1822"/>
          <cell r="F1822"/>
          <cell r="G1822"/>
          <cell r="H1822"/>
          <cell r="I1822"/>
          <cell r="J1822"/>
          <cell r="L1822"/>
        </row>
        <row r="1823">
          <cell r="A1823"/>
          <cell r="D1823"/>
          <cell r="E1823"/>
          <cell r="F1823"/>
          <cell r="G1823"/>
          <cell r="H1823"/>
          <cell r="I1823"/>
          <cell r="J1823"/>
          <cell r="L1823"/>
        </row>
        <row r="1824">
          <cell r="A1824"/>
          <cell r="D1824"/>
          <cell r="E1824"/>
          <cell r="F1824"/>
          <cell r="G1824"/>
          <cell r="H1824"/>
          <cell r="I1824"/>
          <cell r="J1824"/>
          <cell r="L1824"/>
        </row>
        <row r="1825">
          <cell r="A1825"/>
          <cell r="D1825"/>
          <cell r="E1825"/>
          <cell r="F1825"/>
          <cell r="G1825"/>
          <cell r="H1825"/>
          <cell r="I1825"/>
          <cell r="J1825"/>
          <cell r="L1825"/>
        </row>
        <row r="1826">
          <cell r="A1826"/>
          <cell r="D1826"/>
          <cell r="E1826"/>
          <cell r="F1826"/>
          <cell r="G1826"/>
          <cell r="H1826"/>
          <cell r="I1826"/>
          <cell r="J1826"/>
          <cell r="L1826"/>
        </row>
        <row r="1827">
          <cell r="A1827"/>
          <cell r="D1827"/>
          <cell r="E1827"/>
          <cell r="F1827"/>
          <cell r="G1827"/>
          <cell r="H1827"/>
          <cell r="I1827"/>
          <cell r="J1827"/>
          <cell r="L1827"/>
        </row>
        <row r="1828">
          <cell r="A1828"/>
          <cell r="D1828"/>
          <cell r="E1828"/>
          <cell r="F1828"/>
          <cell r="G1828"/>
          <cell r="H1828"/>
          <cell r="I1828"/>
          <cell r="J1828"/>
          <cell r="L1828"/>
        </row>
        <row r="1829">
          <cell r="A1829"/>
          <cell r="D1829"/>
          <cell r="E1829"/>
          <cell r="F1829"/>
          <cell r="G1829"/>
          <cell r="H1829"/>
          <cell r="I1829"/>
          <cell r="J1829"/>
          <cell r="L1829"/>
        </row>
        <row r="1830">
          <cell r="A1830"/>
          <cell r="D1830"/>
          <cell r="E1830"/>
          <cell r="F1830"/>
          <cell r="G1830"/>
          <cell r="H1830"/>
          <cell r="I1830"/>
          <cell r="J1830"/>
          <cell r="L1830"/>
        </row>
        <row r="1831">
          <cell r="A1831"/>
          <cell r="D1831"/>
          <cell r="E1831"/>
          <cell r="F1831"/>
          <cell r="G1831"/>
          <cell r="H1831"/>
          <cell r="I1831"/>
          <cell r="J1831"/>
          <cell r="L1831"/>
        </row>
        <row r="1832">
          <cell r="A1832"/>
          <cell r="D1832"/>
          <cell r="E1832"/>
          <cell r="F1832"/>
          <cell r="G1832"/>
          <cell r="H1832"/>
          <cell r="I1832"/>
          <cell r="J1832"/>
          <cell r="L1832"/>
        </row>
        <row r="1833">
          <cell r="A1833"/>
          <cell r="D1833"/>
          <cell r="E1833"/>
          <cell r="F1833"/>
          <cell r="G1833"/>
          <cell r="H1833"/>
          <cell r="I1833"/>
          <cell r="J1833"/>
          <cell r="L1833"/>
        </row>
        <row r="1834">
          <cell r="A1834"/>
          <cell r="D1834"/>
          <cell r="E1834"/>
          <cell r="F1834"/>
          <cell r="G1834"/>
          <cell r="H1834"/>
          <cell r="I1834"/>
          <cell r="J1834"/>
          <cell r="L1834"/>
        </row>
        <row r="1835">
          <cell r="A1835"/>
          <cell r="D1835"/>
          <cell r="E1835"/>
          <cell r="F1835"/>
          <cell r="G1835"/>
          <cell r="H1835"/>
          <cell r="I1835"/>
          <cell r="J1835"/>
          <cell r="L1835"/>
        </row>
        <row r="1836">
          <cell r="A1836"/>
          <cell r="D1836"/>
          <cell r="E1836"/>
          <cell r="F1836"/>
          <cell r="G1836"/>
          <cell r="H1836"/>
          <cell r="I1836"/>
          <cell r="J1836"/>
          <cell r="L1836"/>
        </row>
        <row r="1837">
          <cell r="A1837"/>
          <cell r="D1837"/>
          <cell r="E1837"/>
          <cell r="F1837"/>
          <cell r="G1837"/>
          <cell r="H1837"/>
          <cell r="I1837"/>
          <cell r="J1837"/>
          <cell r="L1837"/>
        </row>
        <row r="1838">
          <cell r="A1838"/>
          <cell r="D1838"/>
          <cell r="E1838"/>
          <cell r="F1838"/>
          <cell r="G1838"/>
          <cell r="H1838"/>
          <cell r="I1838"/>
          <cell r="J1838"/>
          <cell r="L1838"/>
        </row>
        <row r="1839">
          <cell r="A1839"/>
          <cell r="D1839"/>
          <cell r="E1839"/>
          <cell r="F1839"/>
          <cell r="G1839"/>
          <cell r="H1839"/>
          <cell r="I1839"/>
          <cell r="J1839"/>
          <cell r="L1839"/>
        </row>
        <row r="1840">
          <cell r="A1840"/>
          <cell r="D1840"/>
          <cell r="E1840"/>
          <cell r="F1840"/>
          <cell r="G1840"/>
          <cell r="H1840"/>
          <cell r="I1840"/>
          <cell r="J1840"/>
          <cell r="L1840"/>
        </row>
        <row r="1841">
          <cell r="A1841"/>
          <cell r="D1841"/>
          <cell r="E1841"/>
          <cell r="F1841"/>
          <cell r="G1841"/>
          <cell r="H1841"/>
          <cell r="I1841"/>
          <cell r="J1841"/>
          <cell r="L1841"/>
        </row>
        <row r="1842">
          <cell r="A1842"/>
          <cell r="D1842"/>
          <cell r="E1842"/>
          <cell r="F1842"/>
          <cell r="G1842"/>
          <cell r="H1842"/>
          <cell r="I1842"/>
          <cell r="J1842"/>
          <cell r="L1842"/>
        </row>
        <row r="1843">
          <cell r="A1843"/>
          <cell r="D1843"/>
          <cell r="E1843"/>
          <cell r="F1843"/>
          <cell r="G1843"/>
          <cell r="H1843"/>
          <cell r="I1843"/>
          <cell r="J1843"/>
          <cell r="L1843"/>
        </row>
        <row r="1844">
          <cell r="A1844"/>
          <cell r="D1844"/>
          <cell r="E1844"/>
          <cell r="F1844"/>
          <cell r="G1844"/>
          <cell r="H1844"/>
          <cell r="I1844"/>
          <cell r="J1844"/>
          <cell r="L1844"/>
        </row>
        <row r="1845">
          <cell r="A1845"/>
          <cell r="D1845"/>
          <cell r="E1845"/>
          <cell r="F1845"/>
          <cell r="G1845"/>
          <cell r="H1845"/>
          <cell r="I1845"/>
          <cell r="J1845"/>
          <cell r="L1845"/>
        </row>
        <row r="1846">
          <cell r="A1846"/>
          <cell r="D1846"/>
          <cell r="E1846"/>
          <cell r="F1846"/>
          <cell r="G1846"/>
          <cell r="H1846"/>
          <cell r="I1846"/>
          <cell r="J1846"/>
          <cell r="L1846"/>
        </row>
        <row r="1847">
          <cell r="A1847"/>
          <cell r="D1847"/>
          <cell r="E1847"/>
          <cell r="F1847"/>
          <cell r="G1847"/>
          <cell r="H1847"/>
          <cell r="I1847"/>
          <cell r="J1847"/>
          <cell r="L1847"/>
        </row>
        <row r="1848">
          <cell r="A1848"/>
          <cell r="D1848"/>
          <cell r="E1848"/>
          <cell r="F1848"/>
          <cell r="G1848"/>
          <cell r="H1848"/>
          <cell r="I1848"/>
          <cell r="J1848"/>
          <cell r="L1848"/>
        </row>
        <row r="1849">
          <cell r="A1849"/>
          <cell r="D1849"/>
          <cell r="E1849"/>
          <cell r="F1849"/>
          <cell r="G1849"/>
          <cell r="H1849"/>
          <cell r="I1849"/>
          <cell r="J1849"/>
          <cell r="L1849"/>
        </row>
        <row r="1850">
          <cell r="A1850"/>
          <cell r="D1850"/>
          <cell r="E1850"/>
          <cell r="F1850"/>
          <cell r="G1850"/>
          <cell r="H1850"/>
          <cell r="I1850"/>
          <cell r="J1850"/>
          <cell r="L1850"/>
        </row>
        <row r="1851">
          <cell r="A1851"/>
          <cell r="D1851"/>
          <cell r="E1851"/>
          <cell r="F1851"/>
          <cell r="G1851"/>
          <cell r="H1851"/>
          <cell r="I1851"/>
          <cell r="J1851"/>
          <cell r="L1851"/>
        </row>
        <row r="1852">
          <cell r="A1852"/>
          <cell r="D1852"/>
          <cell r="E1852"/>
          <cell r="F1852"/>
          <cell r="G1852"/>
          <cell r="H1852"/>
          <cell r="I1852"/>
          <cell r="J1852"/>
          <cell r="L1852"/>
        </row>
        <row r="1853">
          <cell r="A1853"/>
          <cell r="D1853"/>
          <cell r="E1853"/>
          <cell r="F1853"/>
          <cell r="G1853"/>
          <cell r="H1853"/>
          <cell r="I1853"/>
          <cell r="J1853"/>
          <cell r="L1853"/>
        </row>
        <row r="1854">
          <cell r="A1854"/>
          <cell r="D1854"/>
          <cell r="E1854"/>
          <cell r="F1854"/>
          <cell r="G1854"/>
          <cell r="H1854"/>
          <cell r="I1854"/>
          <cell r="J1854"/>
          <cell r="L1854"/>
        </row>
        <row r="1855">
          <cell r="A1855"/>
          <cell r="D1855"/>
          <cell r="E1855"/>
          <cell r="F1855"/>
          <cell r="G1855"/>
          <cell r="H1855"/>
          <cell r="I1855"/>
          <cell r="J1855"/>
          <cell r="L1855"/>
        </row>
        <row r="1856">
          <cell r="A1856"/>
          <cell r="D1856"/>
          <cell r="E1856"/>
          <cell r="F1856"/>
          <cell r="G1856"/>
          <cell r="H1856"/>
          <cell r="I1856"/>
          <cell r="J1856"/>
          <cell r="L1856"/>
        </row>
        <row r="1857">
          <cell r="A1857"/>
          <cell r="D1857"/>
          <cell r="E1857"/>
          <cell r="F1857"/>
          <cell r="G1857"/>
          <cell r="H1857"/>
          <cell r="I1857"/>
          <cell r="J1857"/>
          <cell r="L1857"/>
        </row>
        <row r="1858">
          <cell r="A1858"/>
          <cell r="D1858"/>
          <cell r="E1858"/>
          <cell r="F1858"/>
          <cell r="G1858"/>
          <cell r="H1858"/>
          <cell r="I1858"/>
          <cell r="J1858"/>
          <cell r="L1858"/>
        </row>
        <row r="1859">
          <cell r="A1859"/>
          <cell r="D1859"/>
          <cell r="E1859"/>
          <cell r="F1859"/>
          <cell r="G1859"/>
          <cell r="H1859"/>
          <cell r="I1859"/>
          <cell r="J1859"/>
          <cell r="L1859"/>
        </row>
        <row r="1860">
          <cell r="A1860"/>
          <cell r="D1860"/>
          <cell r="E1860"/>
          <cell r="F1860"/>
          <cell r="G1860"/>
          <cell r="H1860"/>
          <cell r="I1860"/>
          <cell r="J1860"/>
          <cell r="L1860"/>
        </row>
        <row r="1861">
          <cell r="A1861"/>
          <cell r="D1861"/>
          <cell r="E1861"/>
          <cell r="F1861"/>
          <cell r="G1861"/>
          <cell r="H1861"/>
          <cell r="I1861"/>
          <cell r="J1861"/>
          <cell r="L1861"/>
        </row>
        <row r="1862">
          <cell r="A1862"/>
          <cell r="D1862"/>
          <cell r="E1862"/>
          <cell r="F1862"/>
          <cell r="G1862"/>
          <cell r="H1862"/>
          <cell r="I1862"/>
          <cell r="J1862"/>
          <cell r="L1862"/>
        </row>
        <row r="1863">
          <cell r="A1863"/>
          <cell r="D1863"/>
          <cell r="E1863"/>
          <cell r="F1863"/>
          <cell r="G1863"/>
          <cell r="H1863"/>
          <cell r="I1863"/>
          <cell r="J1863"/>
          <cell r="L1863"/>
        </row>
        <row r="1864">
          <cell r="A1864"/>
          <cell r="D1864"/>
          <cell r="E1864"/>
          <cell r="F1864"/>
          <cell r="G1864"/>
          <cell r="H1864"/>
          <cell r="I1864"/>
          <cell r="J1864"/>
          <cell r="L1864"/>
        </row>
        <row r="1865">
          <cell r="A1865"/>
          <cell r="D1865"/>
          <cell r="E1865"/>
          <cell r="F1865"/>
          <cell r="G1865"/>
          <cell r="H1865"/>
          <cell r="I1865"/>
          <cell r="J1865"/>
          <cell r="L1865"/>
        </row>
        <row r="1866">
          <cell r="A1866"/>
          <cell r="D1866"/>
          <cell r="E1866"/>
          <cell r="F1866"/>
          <cell r="G1866"/>
          <cell r="H1866"/>
          <cell r="I1866"/>
          <cell r="J1866"/>
          <cell r="L1866"/>
        </row>
        <row r="1867">
          <cell r="A1867"/>
          <cell r="D1867"/>
          <cell r="E1867"/>
          <cell r="F1867"/>
          <cell r="G1867"/>
          <cell r="H1867"/>
          <cell r="I1867"/>
          <cell r="J1867"/>
          <cell r="L1867"/>
        </row>
        <row r="1868">
          <cell r="A1868"/>
          <cell r="D1868"/>
          <cell r="E1868"/>
          <cell r="F1868"/>
          <cell r="G1868"/>
          <cell r="H1868"/>
          <cell r="I1868"/>
          <cell r="J1868"/>
          <cell r="L1868"/>
        </row>
        <row r="1869">
          <cell r="A1869"/>
          <cell r="D1869"/>
          <cell r="E1869"/>
          <cell r="F1869"/>
          <cell r="G1869"/>
          <cell r="H1869"/>
          <cell r="I1869"/>
          <cell r="J1869"/>
          <cell r="L1869"/>
        </row>
        <row r="1870">
          <cell r="A1870"/>
          <cell r="D1870"/>
          <cell r="E1870"/>
          <cell r="F1870"/>
          <cell r="G1870"/>
          <cell r="H1870"/>
          <cell r="I1870"/>
          <cell r="J1870"/>
          <cell r="L1870"/>
        </row>
        <row r="1871">
          <cell r="A1871"/>
          <cell r="D1871"/>
          <cell r="E1871"/>
          <cell r="F1871"/>
          <cell r="G1871"/>
          <cell r="H1871"/>
          <cell r="I1871"/>
          <cell r="J1871"/>
          <cell r="L1871"/>
        </row>
        <row r="1872">
          <cell r="A1872"/>
          <cell r="D1872"/>
          <cell r="E1872"/>
          <cell r="F1872"/>
          <cell r="G1872"/>
          <cell r="H1872"/>
          <cell r="I1872"/>
          <cell r="J1872"/>
          <cell r="L1872"/>
        </row>
        <row r="1873">
          <cell r="A1873"/>
          <cell r="D1873"/>
          <cell r="E1873"/>
          <cell r="F1873"/>
          <cell r="G1873"/>
          <cell r="H1873"/>
          <cell r="I1873"/>
          <cell r="J1873"/>
          <cell r="L1873"/>
        </row>
        <row r="1874">
          <cell r="A1874"/>
          <cell r="D1874"/>
          <cell r="E1874"/>
          <cell r="F1874"/>
          <cell r="G1874"/>
          <cell r="H1874"/>
          <cell r="I1874"/>
          <cell r="J1874"/>
          <cell r="L1874"/>
        </row>
        <row r="1875">
          <cell r="A1875"/>
          <cell r="D1875"/>
          <cell r="E1875"/>
          <cell r="F1875"/>
          <cell r="G1875"/>
          <cell r="H1875"/>
          <cell r="I1875"/>
          <cell r="J1875"/>
          <cell r="L1875"/>
        </row>
        <row r="1876">
          <cell r="A1876"/>
          <cell r="D1876"/>
          <cell r="E1876"/>
          <cell r="F1876"/>
          <cell r="G1876"/>
          <cell r="H1876"/>
          <cell r="I1876"/>
          <cell r="J1876"/>
          <cell r="L1876"/>
        </row>
        <row r="1877">
          <cell r="A1877"/>
          <cell r="D1877"/>
          <cell r="E1877"/>
          <cell r="F1877"/>
          <cell r="G1877"/>
          <cell r="H1877"/>
          <cell r="I1877"/>
          <cell r="J1877"/>
          <cell r="L1877"/>
        </row>
        <row r="1878">
          <cell r="A1878"/>
          <cell r="D1878"/>
          <cell r="E1878"/>
          <cell r="F1878"/>
          <cell r="G1878"/>
          <cell r="H1878"/>
          <cell r="I1878"/>
          <cell r="J1878"/>
          <cell r="L1878"/>
        </row>
        <row r="1879">
          <cell r="A1879"/>
          <cell r="D1879"/>
          <cell r="E1879"/>
          <cell r="F1879"/>
          <cell r="G1879"/>
          <cell r="H1879"/>
          <cell r="I1879"/>
          <cell r="J1879"/>
          <cell r="L1879"/>
        </row>
        <row r="1880">
          <cell r="A1880"/>
          <cell r="D1880"/>
          <cell r="E1880"/>
          <cell r="F1880"/>
          <cell r="G1880"/>
          <cell r="H1880"/>
          <cell r="I1880"/>
          <cell r="J1880"/>
          <cell r="L1880"/>
        </row>
        <row r="1881">
          <cell r="A1881"/>
          <cell r="D1881"/>
          <cell r="E1881"/>
          <cell r="F1881"/>
          <cell r="G1881"/>
          <cell r="H1881"/>
          <cell r="I1881"/>
          <cell r="J1881"/>
          <cell r="L1881"/>
        </row>
        <row r="1882">
          <cell r="A1882"/>
          <cell r="D1882"/>
          <cell r="E1882"/>
          <cell r="F1882"/>
          <cell r="G1882"/>
          <cell r="H1882"/>
          <cell r="I1882"/>
          <cell r="J1882"/>
          <cell r="L1882"/>
        </row>
        <row r="1883">
          <cell r="A1883"/>
          <cell r="D1883"/>
          <cell r="E1883"/>
          <cell r="F1883"/>
          <cell r="G1883"/>
          <cell r="H1883"/>
          <cell r="I1883"/>
          <cell r="J1883"/>
          <cell r="L1883"/>
        </row>
        <row r="1884">
          <cell r="A1884"/>
          <cell r="D1884"/>
          <cell r="E1884"/>
          <cell r="F1884"/>
          <cell r="G1884"/>
          <cell r="H1884"/>
          <cell r="I1884"/>
          <cell r="J1884"/>
          <cell r="L1884"/>
        </row>
        <row r="1885">
          <cell r="A1885"/>
          <cell r="D1885"/>
          <cell r="E1885"/>
          <cell r="F1885"/>
          <cell r="G1885"/>
          <cell r="H1885"/>
          <cell r="I1885"/>
          <cell r="J1885"/>
          <cell r="L1885"/>
        </row>
        <row r="1886">
          <cell r="A1886"/>
          <cell r="D1886"/>
          <cell r="E1886"/>
          <cell r="F1886"/>
          <cell r="G1886"/>
          <cell r="H1886"/>
          <cell r="I1886"/>
          <cell r="J1886"/>
          <cell r="L1886"/>
        </row>
        <row r="1887">
          <cell r="A1887"/>
          <cell r="D1887"/>
          <cell r="E1887"/>
          <cell r="F1887"/>
          <cell r="G1887"/>
          <cell r="H1887"/>
          <cell r="I1887"/>
          <cell r="J1887"/>
          <cell r="L1887"/>
        </row>
        <row r="1888">
          <cell r="A1888"/>
          <cell r="D1888"/>
          <cell r="E1888"/>
          <cell r="F1888"/>
          <cell r="G1888"/>
          <cell r="H1888"/>
          <cell r="I1888"/>
          <cell r="J1888"/>
          <cell r="L1888"/>
        </row>
        <row r="1889">
          <cell r="A1889"/>
          <cell r="D1889"/>
          <cell r="E1889"/>
          <cell r="F1889"/>
          <cell r="G1889"/>
          <cell r="H1889"/>
          <cell r="I1889"/>
          <cell r="J1889"/>
          <cell r="L1889"/>
        </row>
        <row r="1890">
          <cell r="A1890"/>
          <cell r="D1890"/>
          <cell r="E1890"/>
          <cell r="F1890"/>
          <cell r="G1890"/>
          <cell r="H1890"/>
          <cell r="I1890"/>
          <cell r="J1890"/>
          <cell r="L1890"/>
        </row>
        <row r="1891">
          <cell r="A1891"/>
          <cell r="D1891"/>
          <cell r="E1891"/>
          <cell r="F1891"/>
          <cell r="G1891"/>
          <cell r="H1891"/>
          <cell r="I1891"/>
          <cell r="J1891"/>
          <cell r="L1891"/>
        </row>
        <row r="1892">
          <cell r="A1892"/>
          <cell r="D1892"/>
          <cell r="E1892"/>
          <cell r="F1892"/>
          <cell r="G1892"/>
          <cell r="H1892"/>
          <cell r="I1892"/>
          <cell r="J1892"/>
          <cell r="L1892"/>
        </row>
        <row r="1893">
          <cell r="A1893"/>
          <cell r="D1893"/>
          <cell r="E1893"/>
          <cell r="F1893"/>
          <cell r="G1893"/>
          <cell r="H1893"/>
          <cell r="I1893"/>
          <cell r="J1893"/>
          <cell r="L1893"/>
        </row>
        <row r="1894">
          <cell r="A1894"/>
          <cell r="D1894"/>
          <cell r="E1894"/>
          <cell r="F1894"/>
          <cell r="G1894"/>
          <cell r="H1894"/>
          <cell r="I1894"/>
          <cell r="J1894"/>
          <cell r="L1894"/>
        </row>
        <row r="1895">
          <cell r="A1895"/>
          <cell r="D1895"/>
          <cell r="E1895"/>
          <cell r="F1895"/>
          <cell r="G1895"/>
          <cell r="H1895"/>
          <cell r="I1895"/>
          <cell r="J1895"/>
          <cell r="L1895"/>
        </row>
        <row r="1896">
          <cell r="A1896"/>
          <cell r="D1896"/>
          <cell r="E1896"/>
          <cell r="F1896"/>
          <cell r="G1896"/>
          <cell r="H1896"/>
          <cell r="I1896"/>
          <cell r="J1896"/>
          <cell r="L1896"/>
        </row>
        <row r="1897">
          <cell r="A1897"/>
          <cell r="D1897"/>
          <cell r="E1897"/>
          <cell r="F1897"/>
          <cell r="G1897"/>
          <cell r="H1897"/>
          <cell r="I1897"/>
          <cell r="J1897"/>
          <cell r="L1897"/>
        </row>
        <row r="1898">
          <cell r="A1898"/>
          <cell r="D1898"/>
          <cell r="E1898"/>
          <cell r="F1898"/>
          <cell r="G1898"/>
          <cell r="H1898"/>
          <cell r="I1898"/>
          <cell r="J1898"/>
          <cell r="L1898"/>
        </row>
        <row r="1899">
          <cell r="A1899"/>
          <cell r="D1899"/>
          <cell r="E1899"/>
          <cell r="F1899"/>
          <cell r="G1899"/>
          <cell r="H1899"/>
          <cell r="I1899"/>
          <cell r="J1899"/>
          <cell r="L1899"/>
        </row>
        <row r="1900">
          <cell r="A1900"/>
          <cell r="D1900"/>
          <cell r="E1900"/>
          <cell r="F1900"/>
          <cell r="G1900"/>
          <cell r="H1900"/>
          <cell r="I1900"/>
          <cell r="J1900"/>
          <cell r="L1900"/>
        </row>
        <row r="1901">
          <cell r="A1901"/>
          <cell r="D1901"/>
          <cell r="E1901"/>
          <cell r="F1901"/>
          <cell r="G1901"/>
          <cell r="H1901"/>
          <cell r="I1901"/>
          <cell r="J1901"/>
          <cell r="L1901"/>
        </row>
        <row r="1902">
          <cell r="A1902"/>
          <cell r="D1902"/>
          <cell r="E1902"/>
          <cell r="F1902"/>
          <cell r="G1902"/>
          <cell r="H1902"/>
          <cell r="I1902"/>
          <cell r="J1902"/>
          <cell r="L1902"/>
        </row>
        <row r="1903">
          <cell r="A1903"/>
          <cell r="D1903"/>
          <cell r="E1903"/>
          <cell r="F1903"/>
          <cell r="G1903"/>
          <cell r="H1903"/>
          <cell r="I1903"/>
          <cell r="J1903"/>
          <cell r="L1903"/>
        </row>
        <row r="1904">
          <cell r="A1904"/>
          <cell r="D1904"/>
          <cell r="E1904"/>
          <cell r="F1904"/>
          <cell r="G1904"/>
          <cell r="H1904"/>
          <cell r="I1904"/>
          <cell r="J1904"/>
          <cell r="L1904"/>
        </row>
        <row r="1905">
          <cell r="A1905"/>
          <cell r="D1905"/>
          <cell r="E1905"/>
          <cell r="F1905"/>
          <cell r="G1905"/>
          <cell r="H1905"/>
          <cell r="I1905"/>
          <cell r="J1905"/>
          <cell r="L1905"/>
        </row>
        <row r="1906">
          <cell r="A1906"/>
          <cell r="D1906"/>
          <cell r="E1906"/>
          <cell r="F1906"/>
          <cell r="G1906"/>
          <cell r="H1906"/>
          <cell r="I1906"/>
          <cell r="J1906"/>
          <cell r="L1906"/>
        </row>
        <row r="1907">
          <cell r="A1907"/>
          <cell r="D1907"/>
          <cell r="E1907"/>
          <cell r="F1907"/>
          <cell r="G1907"/>
          <cell r="H1907"/>
          <cell r="I1907"/>
          <cell r="J1907"/>
          <cell r="L1907"/>
        </row>
        <row r="1908">
          <cell r="A1908"/>
          <cell r="D1908"/>
          <cell r="E1908"/>
          <cell r="F1908"/>
          <cell r="G1908"/>
          <cell r="H1908"/>
          <cell r="I1908"/>
          <cell r="J1908"/>
          <cell r="L1908"/>
        </row>
        <row r="1909">
          <cell r="A1909"/>
          <cell r="D1909"/>
          <cell r="E1909"/>
          <cell r="F1909"/>
          <cell r="G1909"/>
          <cell r="H1909"/>
          <cell r="I1909"/>
          <cell r="J1909"/>
          <cell r="L1909"/>
        </row>
        <row r="1910">
          <cell r="A1910"/>
          <cell r="D1910"/>
          <cell r="E1910"/>
          <cell r="F1910"/>
          <cell r="G1910"/>
          <cell r="H1910"/>
          <cell r="I1910"/>
          <cell r="J1910"/>
          <cell r="L1910"/>
        </row>
        <row r="1911">
          <cell r="A1911"/>
          <cell r="D1911"/>
          <cell r="E1911"/>
          <cell r="F1911"/>
          <cell r="G1911"/>
          <cell r="H1911"/>
          <cell r="I1911"/>
          <cell r="J1911"/>
          <cell r="L1911"/>
        </row>
        <row r="1912">
          <cell r="A1912"/>
          <cell r="D1912"/>
          <cell r="E1912"/>
          <cell r="F1912"/>
          <cell r="G1912"/>
          <cell r="H1912"/>
          <cell r="I1912"/>
          <cell r="J1912"/>
          <cell r="L1912"/>
        </row>
        <row r="1913">
          <cell r="A1913"/>
          <cell r="D1913"/>
          <cell r="E1913"/>
          <cell r="F1913"/>
          <cell r="G1913"/>
          <cell r="H1913"/>
          <cell r="I1913"/>
          <cell r="J1913"/>
          <cell r="L1913"/>
        </row>
        <row r="1914">
          <cell r="A1914"/>
          <cell r="D1914"/>
          <cell r="E1914"/>
          <cell r="F1914"/>
          <cell r="G1914"/>
          <cell r="H1914"/>
          <cell r="I1914"/>
          <cell r="J1914"/>
          <cell r="L1914"/>
        </row>
        <row r="1915">
          <cell r="A1915"/>
          <cell r="D1915"/>
          <cell r="E1915"/>
          <cell r="F1915"/>
          <cell r="G1915"/>
          <cell r="H1915"/>
          <cell r="I1915"/>
          <cell r="J1915"/>
          <cell r="L1915"/>
        </row>
        <row r="1916">
          <cell r="A1916"/>
          <cell r="D1916"/>
          <cell r="E1916"/>
          <cell r="F1916"/>
          <cell r="G1916"/>
          <cell r="H1916"/>
          <cell r="I1916"/>
          <cell r="J1916"/>
          <cell r="L1916"/>
        </row>
        <row r="1917">
          <cell r="A1917"/>
          <cell r="D1917"/>
          <cell r="E1917"/>
          <cell r="F1917"/>
          <cell r="G1917"/>
          <cell r="H1917"/>
          <cell r="I1917"/>
          <cell r="J1917"/>
          <cell r="L1917"/>
        </row>
        <row r="1918">
          <cell r="A1918"/>
          <cell r="D1918"/>
          <cell r="E1918"/>
          <cell r="F1918"/>
          <cell r="G1918"/>
          <cell r="H1918"/>
          <cell r="I1918"/>
          <cell r="J1918"/>
          <cell r="L1918"/>
        </row>
        <row r="1919">
          <cell r="A1919"/>
          <cell r="D1919"/>
          <cell r="E1919"/>
          <cell r="F1919"/>
          <cell r="G1919"/>
          <cell r="H1919"/>
          <cell r="I1919"/>
          <cell r="J1919"/>
          <cell r="L1919"/>
        </row>
        <row r="1920">
          <cell r="A1920"/>
          <cell r="D1920"/>
          <cell r="E1920"/>
          <cell r="F1920"/>
          <cell r="G1920"/>
          <cell r="H1920"/>
          <cell r="I1920"/>
          <cell r="J1920"/>
          <cell r="L1920"/>
        </row>
        <row r="1921">
          <cell r="A1921"/>
          <cell r="D1921"/>
          <cell r="E1921"/>
          <cell r="F1921"/>
          <cell r="G1921"/>
          <cell r="H1921"/>
          <cell r="I1921"/>
          <cell r="J1921"/>
          <cell r="L1921"/>
        </row>
        <row r="1922">
          <cell r="A1922"/>
          <cell r="D1922"/>
          <cell r="E1922"/>
          <cell r="F1922"/>
          <cell r="G1922"/>
          <cell r="H1922"/>
          <cell r="I1922"/>
          <cell r="J1922"/>
          <cell r="L1922"/>
        </row>
        <row r="1923">
          <cell r="A1923"/>
          <cell r="D1923"/>
          <cell r="E1923"/>
          <cell r="F1923"/>
          <cell r="G1923"/>
          <cell r="H1923"/>
          <cell r="I1923"/>
          <cell r="J1923"/>
          <cell r="L1923"/>
        </row>
        <row r="1924">
          <cell r="A1924"/>
          <cell r="D1924"/>
          <cell r="E1924"/>
          <cell r="F1924"/>
          <cell r="G1924"/>
          <cell r="H1924"/>
          <cell r="I1924"/>
          <cell r="J1924"/>
          <cell r="L1924"/>
        </row>
        <row r="1925">
          <cell r="A1925"/>
          <cell r="D1925"/>
          <cell r="E1925"/>
          <cell r="F1925"/>
          <cell r="G1925"/>
          <cell r="H1925"/>
          <cell r="I1925"/>
          <cell r="J1925"/>
          <cell r="L1925"/>
        </row>
        <row r="1926">
          <cell r="A1926"/>
          <cell r="D1926"/>
          <cell r="E1926"/>
          <cell r="F1926"/>
          <cell r="G1926"/>
          <cell r="H1926"/>
          <cell r="I1926"/>
          <cell r="J1926"/>
          <cell r="L1926"/>
        </row>
        <row r="1927">
          <cell r="A1927"/>
          <cell r="D1927"/>
          <cell r="E1927"/>
          <cell r="F1927"/>
          <cell r="G1927"/>
          <cell r="H1927"/>
          <cell r="I1927"/>
          <cell r="J1927"/>
          <cell r="L1927"/>
        </row>
        <row r="1928">
          <cell r="A1928"/>
          <cell r="D1928"/>
          <cell r="E1928"/>
          <cell r="F1928"/>
          <cell r="G1928"/>
          <cell r="H1928"/>
          <cell r="I1928"/>
          <cell r="J1928"/>
          <cell r="L1928"/>
        </row>
        <row r="1929">
          <cell r="A1929"/>
          <cell r="D1929"/>
          <cell r="E1929"/>
          <cell r="F1929"/>
          <cell r="G1929"/>
          <cell r="H1929"/>
          <cell r="I1929"/>
          <cell r="J1929"/>
          <cell r="L1929"/>
        </row>
        <row r="1930">
          <cell r="A1930"/>
          <cell r="D1930"/>
          <cell r="E1930"/>
          <cell r="F1930"/>
          <cell r="G1930"/>
          <cell r="H1930"/>
          <cell r="I1930"/>
          <cell r="J1930"/>
          <cell r="L1930"/>
        </row>
        <row r="1931">
          <cell r="A1931"/>
          <cell r="D1931"/>
          <cell r="E1931"/>
          <cell r="F1931"/>
          <cell r="G1931"/>
          <cell r="H1931"/>
          <cell r="I1931"/>
          <cell r="J1931"/>
          <cell r="L1931"/>
        </row>
        <row r="1932">
          <cell r="A1932"/>
          <cell r="D1932"/>
          <cell r="E1932"/>
          <cell r="F1932"/>
          <cell r="G1932"/>
          <cell r="H1932"/>
          <cell r="I1932"/>
          <cell r="J1932"/>
          <cell r="L1932"/>
        </row>
        <row r="1933">
          <cell r="A1933"/>
          <cell r="D1933"/>
          <cell r="E1933"/>
          <cell r="F1933"/>
          <cell r="G1933"/>
          <cell r="H1933"/>
          <cell r="I1933"/>
          <cell r="J1933"/>
          <cell r="L1933"/>
        </row>
        <row r="1934">
          <cell r="A1934"/>
          <cell r="D1934"/>
          <cell r="E1934"/>
          <cell r="F1934"/>
          <cell r="G1934"/>
          <cell r="H1934"/>
          <cell r="I1934"/>
          <cell r="J1934"/>
          <cell r="L1934"/>
        </row>
        <row r="1935">
          <cell r="A1935"/>
          <cell r="D1935"/>
          <cell r="E1935"/>
          <cell r="F1935"/>
          <cell r="G1935"/>
          <cell r="H1935"/>
          <cell r="I1935"/>
          <cell r="J1935"/>
          <cell r="L1935"/>
        </row>
        <row r="1936">
          <cell r="A1936"/>
          <cell r="D1936"/>
          <cell r="E1936"/>
          <cell r="F1936"/>
          <cell r="G1936"/>
          <cell r="H1936"/>
          <cell r="I1936"/>
          <cell r="J1936"/>
          <cell r="L1936"/>
        </row>
        <row r="1937">
          <cell r="A1937"/>
          <cell r="D1937"/>
          <cell r="E1937"/>
          <cell r="F1937"/>
          <cell r="G1937"/>
          <cell r="H1937"/>
          <cell r="I1937"/>
          <cell r="J1937"/>
          <cell r="L1937"/>
        </row>
        <row r="1938">
          <cell r="A1938"/>
          <cell r="D1938"/>
          <cell r="E1938"/>
          <cell r="F1938"/>
          <cell r="G1938"/>
          <cell r="H1938"/>
          <cell r="I1938"/>
          <cell r="J1938"/>
          <cell r="L1938"/>
        </row>
        <row r="1939">
          <cell r="A1939"/>
          <cell r="D1939"/>
          <cell r="E1939"/>
          <cell r="F1939"/>
          <cell r="G1939"/>
          <cell r="H1939"/>
          <cell r="I1939"/>
          <cell r="J1939"/>
          <cell r="L1939"/>
        </row>
        <row r="1940">
          <cell r="A1940"/>
          <cell r="D1940"/>
          <cell r="E1940"/>
          <cell r="F1940"/>
          <cell r="G1940"/>
          <cell r="H1940"/>
          <cell r="I1940"/>
          <cell r="J1940"/>
          <cell r="L1940"/>
        </row>
        <row r="1941">
          <cell r="A1941"/>
          <cell r="D1941"/>
          <cell r="E1941"/>
          <cell r="F1941"/>
          <cell r="G1941"/>
          <cell r="H1941"/>
          <cell r="I1941"/>
          <cell r="J1941"/>
          <cell r="L1941"/>
        </row>
        <row r="1942">
          <cell r="A1942"/>
          <cell r="D1942"/>
          <cell r="E1942"/>
          <cell r="F1942"/>
          <cell r="G1942"/>
          <cell r="H1942"/>
          <cell r="I1942"/>
          <cell r="J1942"/>
          <cell r="L1942"/>
        </row>
        <row r="1943">
          <cell r="A1943"/>
          <cell r="D1943"/>
          <cell r="E1943"/>
          <cell r="F1943"/>
          <cell r="G1943"/>
          <cell r="H1943"/>
          <cell r="I1943"/>
          <cell r="J1943"/>
          <cell r="L1943"/>
        </row>
        <row r="1944">
          <cell r="A1944"/>
          <cell r="D1944"/>
          <cell r="E1944"/>
          <cell r="F1944"/>
          <cell r="G1944"/>
          <cell r="H1944"/>
          <cell r="I1944"/>
          <cell r="J1944"/>
          <cell r="L1944"/>
        </row>
        <row r="1945">
          <cell r="A1945"/>
          <cell r="D1945"/>
          <cell r="E1945"/>
          <cell r="F1945"/>
          <cell r="G1945"/>
          <cell r="H1945"/>
          <cell r="I1945"/>
          <cell r="J1945"/>
          <cell r="L1945"/>
        </row>
        <row r="1946">
          <cell r="A1946"/>
          <cell r="D1946"/>
          <cell r="E1946"/>
          <cell r="F1946"/>
          <cell r="G1946"/>
          <cell r="H1946"/>
          <cell r="I1946"/>
          <cell r="J1946"/>
          <cell r="L1946"/>
        </row>
        <row r="1947">
          <cell r="A1947"/>
          <cell r="D1947"/>
          <cell r="E1947"/>
          <cell r="F1947"/>
          <cell r="G1947"/>
          <cell r="H1947"/>
          <cell r="I1947"/>
          <cell r="J1947"/>
          <cell r="L1947"/>
        </row>
        <row r="1948">
          <cell r="A1948"/>
          <cell r="D1948"/>
          <cell r="E1948"/>
          <cell r="F1948"/>
          <cell r="G1948"/>
          <cell r="H1948"/>
          <cell r="I1948"/>
          <cell r="J1948"/>
          <cell r="L1948"/>
        </row>
        <row r="1949">
          <cell r="A1949"/>
          <cell r="D1949"/>
          <cell r="E1949"/>
          <cell r="F1949"/>
          <cell r="G1949"/>
          <cell r="H1949"/>
          <cell r="I1949"/>
          <cell r="J1949"/>
          <cell r="L1949"/>
        </row>
        <row r="1950">
          <cell r="A1950"/>
          <cell r="D1950"/>
          <cell r="E1950"/>
          <cell r="F1950"/>
          <cell r="G1950"/>
          <cell r="H1950"/>
          <cell r="I1950"/>
          <cell r="J1950"/>
          <cell r="L1950"/>
        </row>
        <row r="1951">
          <cell r="A1951"/>
          <cell r="D1951"/>
          <cell r="E1951"/>
          <cell r="F1951"/>
          <cell r="G1951"/>
          <cell r="H1951"/>
          <cell r="I1951"/>
          <cell r="J1951"/>
          <cell r="L1951"/>
        </row>
        <row r="1952">
          <cell r="A1952"/>
          <cell r="D1952"/>
          <cell r="E1952"/>
          <cell r="F1952"/>
          <cell r="G1952"/>
          <cell r="H1952"/>
          <cell r="I1952"/>
          <cell r="J1952"/>
          <cell r="L1952"/>
        </row>
        <row r="1953">
          <cell r="A1953"/>
          <cell r="D1953"/>
          <cell r="E1953"/>
          <cell r="F1953"/>
          <cell r="G1953"/>
          <cell r="H1953"/>
          <cell r="I1953"/>
          <cell r="J1953"/>
          <cell r="L1953"/>
        </row>
        <row r="1954">
          <cell r="A1954"/>
          <cell r="D1954"/>
          <cell r="E1954"/>
          <cell r="F1954"/>
          <cell r="G1954"/>
          <cell r="H1954"/>
          <cell r="I1954"/>
          <cell r="J1954"/>
          <cell r="L1954"/>
        </row>
        <row r="1955">
          <cell r="A1955"/>
          <cell r="D1955"/>
          <cell r="E1955"/>
          <cell r="F1955"/>
          <cell r="G1955"/>
          <cell r="H1955"/>
          <cell r="I1955"/>
          <cell r="J1955"/>
          <cell r="L1955"/>
        </row>
        <row r="1956">
          <cell r="A1956"/>
          <cell r="D1956"/>
          <cell r="E1956"/>
          <cell r="F1956"/>
          <cell r="G1956"/>
          <cell r="H1956"/>
          <cell r="I1956"/>
          <cell r="J1956"/>
          <cell r="L1956"/>
        </row>
        <row r="1957">
          <cell r="A1957"/>
          <cell r="D1957"/>
          <cell r="E1957"/>
          <cell r="F1957"/>
          <cell r="G1957"/>
          <cell r="H1957"/>
          <cell r="I1957"/>
          <cell r="J1957"/>
          <cell r="L1957"/>
        </row>
        <row r="1958">
          <cell r="A1958"/>
          <cell r="D1958"/>
          <cell r="E1958"/>
          <cell r="F1958"/>
          <cell r="G1958"/>
          <cell r="H1958"/>
          <cell r="I1958"/>
          <cell r="J1958"/>
          <cell r="L1958"/>
        </row>
        <row r="1959">
          <cell r="A1959"/>
          <cell r="D1959"/>
          <cell r="E1959"/>
          <cell r="F1959"/>
          <cell r="G1959"/>
          <cell r="H1959"/>
          <cell r="I1959"/>
          <cell r="J1959"/>
          <cell r="L1959"/>
        </row>
        <row r="1960">
          <cell r="A1960"/>
          <cell r="D1960"/>
          <cell r="E1960"/>
          <cell r="F1960"/>
          <cell r="G1960"/>
          <cell r="H1960"/>
          <cell r="I1960"/>
          <cell r="J1960"/>
          <cell r="L1960"/>
        </row>
        <row r="1961">
          <cell r="A1961"/>
          <cell r="D1961"/>
          <cell r="E1961"/>
          <cell r="F1961"/>
          <cell r="G1961"/>
          <cell r="H1961"/>
          <cell r="I1961"/>
          <cell r="J1961"/>
          <cell r="L1961"/>
        </row>
        <row r="1962">
          <cell r="A1962"/>
          <cell r="D1962"/>
          <cell r="E1962"/>
          <cell r="F1962"/>
          <cell r="G1962"/>
          <cell r="H1962"/>
          <cell r="I1962"/>
          <cell r="J1962"/>
          <cell r="L1962"/>
        </row>
        <row r="1963">
          <cell r="A1963"/>
          <cell r="D1963"/>
          <cell r="E1963"/>
          <cell r="F1963"/>
          <cell r="G1963"/>
          <cell r="H1963"/>
          <cell r="I1963"/>
          <cell r="J1963"/>
          <cell r="L1963"/>
        </row>
        <row r="1964">
          <cell r="A1964"/>
          <cell r="D1964"/>
          <cell r="E1964"/>
          <cell r="F1964"/>
          <cell r="G1964"/>
          <cell r="H1964"/>
          <cell r="I1964"/>
          <cell r="J1964"/>
          <cell r="L1964"/>
        </row>
        <row r="1965">
          <cell r="A1965"/>
          <cell r="D1965"/>
          <cell r="E1965"/>
          <cell r="F1965"/>
          <cell r="G1965"/>
          <cell r="H1965"/>
          <cell r="I1965"/>
          <cell r="J1965"/>
          <cell r="L1965"/>
        </row>
        <row r="1966">
          <cell r="A1966"/>
          <cell r="D1966"/>
          <cell r="E1966"/>
          <cell r="F1966"/>
          <cell r="G1966"/>
          <cell r="H1966"/>
          <cell r="I1966"/>
          <cell r="J1966"/>
          <cell r="L1966"/>
        </row>
        <row r="1967">
          <cell r="A1967"/>
          <cell r="D1967"/>
          <cell r="E1967"/>
          <cell r="F1967"/>
          <cell r="G1967"/>
          <cell r="H1967"/>
          <cell r="I1967"/>
          <cell r="J1967"/>
          <cell r="L1967"/>
        </row>
        <row r="1968">
          <cell r="A1968"/>
          <cell r="D1968"/>
          <cell r="E1968"/>
          <cell r="F1968"/>
          <cell r="G1968"/>
          <cell r="H1968"/>
          <cell r="I1968"/>
          <cell r="J1968"/>
          <cell r="L1968"/>
        </row>
        <row r="1969">
          <cell r="A1969"/>
          <cell r="D1969"/>
          <cell r="E1969"/>
          <cell r="F1969"/>
          <cell r="G1969"/>
          <cell r="H1969"/>
          <cell r="I1969"/>
          <cell r="J1969"/>
          <cell r="L1969"/>
        </row>
        <row r="1970">
          <cell r="A1970"/>
          <cell r="D1970"/>
          <cell r="E1970"/>
          <cell r="F1970"/>
          <cell r="G1970"/>
          <cell r="H1970"/>
          <cell r="I1970"/>
          <cell r="J1970"/>
          <cell r="L1970"/>
        </row>
        <row r="1971">
          <cell r="A1971"/>
          <cell r="D1971"/>
          <cell r="E1971"/>
          <cell r="F1971"/>
          <cell r="G1971"/>
          <cell r="H1971"/>
          <cell r="I1971"/>
          <cell r="J1971"/>
          <cell r="L1971"/>
        </row>
        <row r="1972">
          <cell r="A1972"/>
          <cell r="D1972"/>
          <cell r="E1972"/>
          <cell r="F1972"/>
          <cell r="G1972"/>
          <cell r="H1972"/>
          <cell r="I1972"/>
          <cell r="J1972"/>
          <cell r="L1972"/>
        </row>
        <row r="1973">
          <cell r="A1973"/>
          <cell r="D1973"/>
          <cell r="E1973"/>
          <cell r="F1973"/>
          <cell r="G1973"/>
          <cell r="H1973"/>
          <cell r="I1973"/>
          <cell r="J1973"/>
          <cell r="L1973"/>
        </row>
        <row r="1974">
          <cell r="A1974"/>
          <cell r="D1974"/>
          <cell r="E1974"/>
          <cell r="F1974"/>
          <cell r="G1974"/>
          <cell r="H1974"/>
          <cell r="I1974"/>
          <cell r="J1974"/>
          <cell r="L1974"/>
        </row>
        <row r="1975">
          <cell r="A1975"/>
          <cell r="D1975"/>
          <cell r="E1975"/>
          <cell r="F1975"/>
          <cell r="G1975"/>
          <cell r="H1975"/>
          <cell r="I1975"/>
          <cell r="J1975"/>
          <cell r="L1975"/>
        </row>
        <row r="1976">
          <cell r="A1976"/>
          <cell r="D1976"/>
          <cell r="E1976"/>
          <cell r="F1976"/>
          <cell r="G1976"/>
          <cell r="H1976"/>
          <cell r="I1976"/>
          <cell r="J1976"/>
          <cell r="L1976"/>
        </row>
        <row r="1977">
          <cell r="A1977"/>
          <cell r="D1977"/>
          <cell r="E1977"/>
          <cell r="F1977"/>
          <cell r="G1977"/>
          <cell r="H1977"/>
          <cell r="I1977"/>
          <cell r="J1977"/>
          <cell r="L1977"/>
        </row>
        <row r="1978">
          <cell r="A1978"/>
          <cell r="D1978"/>
          <cell r="E1978"/>
          <cell r="F1978"/>
          <cell r="G1978"/>
          <cell r="H1978"/>
          <cell r="I1978"/>
          <cell r="J1978"/>
          <cell r="L1978"/>
        </row>
        <row r="1979">
          <cell r="A1979"/>
          <cell r="D1979"/>
          <cell r="E1979"/>
          <cell r="F1979"/>
          <cell r="G1979"/>
          <cell r="H1979"/>
          <cell r="I1979"/>
          <cell r="J1979"/>
          <cell r="L1979"/>
        </row>
        <row r="1980">
          <cell r="A1980"/>
          <cell r="D1980"/>
          <cell r="E1980"/>
          <cell r="F1980"/>
          <cell r="G1980"/>
          <cell r="H1980"/>
          <cell r="I1980"/>
          <cell r="J1980"/>
          <cell r="L1980"/>
        </row>
        <row r="1981">
          <cell r="A1981"/>
          <cell r="D1981"/>
          <cell r="E1981"/>
          <cell r="F1981"/>
          <cell r="G1981"/>
          <cell r="H1981"/>
          <cell r="I1981"/>
          <cell r="J1981"/>
          <cell r="L1981"/>
        </row>
        <row r="1982">
          <cell r="A1982"/>
          <cell r="D1982"/>
          <cell r="E1982"/>
          <cell r="F1982"/>
          <cell r="G1982"/>
          <cell r="H1982"/>
          <cell r="I1982"/>
          <cell r="J1982"/>
          <cell r="L1982"/>
        </row>
        <row r="1983">
          <cell r="A1983"/>
          <cell r="D1983"/>
          <cell r="E1983"/>
          <cell r="F1983"/>
          <cell r="G1983"/>
          <cell r="H1983"/>
          <cell r="I1983"/>
          <cell r="J1983"/>
          <cell r="L1983"/>
        </row>
        <row r="1984">
          <cell r="A1984"/>
          <cell r="D1984"/>
          <cell r="E1984"/>
          <cell r="F1984"/>
          <cell r="G1984"/>
          <cell r="H1984"/>
          <cell r="I1984"/>
          <cell r="J1984"/>
          <cell r="L1984"/>
        </row>
        <row r="1985">
          <cell r="A1985"/>
          <cell r="D1985"/>
          <cell r="E1985"/>
          <cell r="F1985"/>
          <cell r="G1985"/>
          <cell r="H1985"/>
          <cell r="I1985"/>
          <cell r="J1985"/>
          <cell r="L1985"/>
        </row>
        <row r="1986">
          <cell r="A1986"/>
          <cell r="D1986"/>
          <cell r="E1986"/>
          <cell r="F1986"/>
          <cell r="G1986"/>
          <cell r="H1986"/>
          <cell r="I1986"/>
          <cell r="J1986"/>
          <cell r="L1986"/>
        </row>
        <row r="1987">
          <cell r="A1987"/>
          <cell r="D1987"/>
          <cell r="E1987"/>
          <cell r="F1987"/>
          <cell r="G1987"/>
          <cell r="H1987"/>
          <cell r="I1987"/>
          <cell r="J1987"/>
          <cell r="L1987"/>
        </row>
        <row r="1988">
          <cell r="A1988"/>
          <cell r="D1988"/>
          <cell r="E1988"/>
          <cell r="F1988"/>
          <cell r="G1988"/>
          <cell r="H1988"/>
          <cell r="I1988"/>
          <cell r="J1988"/>
          <cell r="L1988"/>
        </row>
        <row r="1989">
          <cell r="A1989"/>
          <cell r="D1989"/>
          <cell r="E1989"/>
          <cell r="F1989"/>
          <cell r="G1989"/>
          <cell r="H1989"/>
          <cell r="I1989"/>
          <cell r="J1989"/>
          <cell r="L1989"/>
        </row>
        <row r="1990">
          <cell r="A1990"/>
          <cell r="D1990"/>
          <cell r="E1990"/>
          <cell r="F1990"/>
          <cell r="G1990"/>
          <cell r="H1990"/>
          <cell r="I1990"/>
          <cell r="J1990"/>
          <cell r="L1990"/>
        </row>
        <row r="1991">
          <cell r="A1991"/>
          <cell r="D1991"/>
          <cell r="E1991"/>
          <cell r="F1991"/>
          <cell r="G1991"/>
          <cell r="H1991"/>
          <cell r="I1991"/>
          <cell r="J1991"/>
          <cell r="L1991"/>
        </row>
        <row r="1992">
          <cell r="A1992"/>
          <cell r="D1992"/>
          <cell r="E1992"/>
          <cell r="F1992"/>
          <cell r="G1992"/>
          <cell r="H1992"/>
          <cell r="I1992"/>
          <cell r="J1992"/>
          <cell r="L1992"/>
        </row>
        <row r="1993">
          <cell r="A1993"/>
          <cell r="D1993"/>
          <cell r="E1993"/>
          <cell r="F1993"/>
          <cell r="G1993"/>
          <cell r="H1993"/>
          <cell r="I1993"/>
          <cell r="J1993"/>
          <cell r="L1993"/>
        </row>
        <row r="1994">
          <cell r="A1994"/>
          <cell r="D1994"/>
          <cell r="E1994"/>
          <cell r="F1994"/>
          <cell r="G1994"/>
          <cell r="H1994"/>
          <cell r="I1994"/>
          <cell r="J1994"/>
          <cell r="L1994"/>
        </row>
        <row r="1995">
          <cell r="A1995"/>
          <cell r="D1995"/>
          <cell r="E1995"/>
          <cell r="F1995"/>
          <cell r="G1995"/>
          <cell r="H1995"/>
          <cell r="I1995"/>
          <cell r="J1995"/>
          <cell r="L1995"/>
        </row>
        <row r="1996">
          <cell r="A1996"/>
          <cell r="D1996"/>
          <cell r="E1996"/>
          <cell r="F1996"/>
          <cell r="G1996"/>
          <cell r="H1996"/>
          <cell r="I1996"/>
          <cell r="J1996"/>
          <cell r="L1996"/>
        </row>
        <row r="1997">
          <cell r="A1997"/>
          <cell r="D1997"/>
          <cell r="E1997"/>
          <cell r="F1997"/>
          <cell r="G1997"/>
          <cell r="H1997"/>
          <cell r="I1997"/>
          <cell r="J1997"/>
          <cell r="L1997"/>
        </row>
        <row r="1998">
          <cell r="A1998"/>
          <cell r="D1998"/>
          <cell r="E1998"/>
          <cell r="F1998"/>
          <cell r="G1998"/>
          <cell r="H1998"/>
          <cell r="I1998"/>
          <cell r="J1998"/>
          <cell r="L1998"/>
        </row>
        <row r="1999">
          <cell r="A1999"/>
          <cell r="D1999"/>
          <cell r="E1999"/>
          <cell r="F1999"/>
          <cell r="G1999"/>
          <cell r="H1999"/>
          <cell r="I1999"/>
          <cell r="J1999"/>
          <cell r="L1999"/>
        </row>
        <row r="2000">
          <cell r="A2000"/>
          <cell r="D2000"/>
          <cell r="E2000"/>
          <cell r="F2000"/>
          <cell r="G2000"/>
          <cell r="H2000"/>
          <cell r="I2000"/>
          <cell r="J2000"/>
          <cell r="L2000"/>
        </row>
        <row r="2001">
          <cell r="A2001"/>
          <cell r="D2001"/>
          <cell r="E2001"/>
          <cell r="F2001"/>
          <cell r="G2001"/>
          <cell r="H2001"/>
          <cell r="I2001"/>
          <cell r="J2001"/>
          <cell r="L2001"/>
        </row>
        <row r="2002">
          <cell r="A2002"/>
          <cell r="D2002"/>
          <cell r="E2002"/>
          <cell r="F2002"/>
          <cell r="G2002"/>
          <cell r="H2002"/>
          <cell r="I2002"/>
          <cell r="J2002"/>
          <cell r="L2002"/>
        </row>
        <row r="2003">
          <cell r="A2003"/>
          <cell r="D2003"/>
          <cell r="E2003"/>
          <cell r="F2003"/>
          <cell r="G2003"/>
          <cell r="H2003"/>
          <cell r="I2003"/>
          <cell r="J2003"/>
          <cell r="L2003"/>
        </row>
        <row r="2004">
          <cell r="A2004"/>
          <cell r="D2004"/>
          <cell r="E2004"/>
          <cell r="F2004"/>
          <cell r="G2004"/>
          <cell r="H2004"/>
          <cell r="I2004"/>
          <cell r="J2004"/>
          <cell r="L2004"/>
        </row>
        <row r="2005">
          <cell r="A2005"/>
          <cell r="D2005"/>
          <cell r="E2005"/>
          <cell r="F2005"/>
          <cell r="G2005"/>
          <cell r="H2005"/>
          <cell r="I2005"/>
          <cell r="J2005"/>
          <cell r="L2005"/>
        </row>
        <row r="2006">
          <cell r="A2006"/>
          <cell r="D2006"/>
          <cell r="E2006"/>
          <cell r="F2006"/>
          <cell r="G2006"/>
          <cell r="H2006"/>
          <cell r="I2006"/>
          <cell r="J2006"/>
          <cell r="L2006"/>
        </row>
        <row r="2007">
          <cell r="A2007"/>
          <cell r="D2007"/>
          <cell r="E2007"/>
          <cell r="F2007"/>
          <cell r="G2007"/>
          <cell r="H2007"/>
          <cell r="I2007"/>
          <cell r="J2007"/>
          <cell r="L2007"/>
        </row>
        <row r="2008">
          <cell r="A2008"/>
          <cell r="D2008"/>
          <cell r="E2008"/>
          <cell r="F2008"/>
          <cell r="G2008"/>
          <cell r="H2008"/>
          <cell r="I2008"/>
          <cell r="J2008"/>
          <cell r="L2008"/>
        </row>
        <row r="2009">
          <cell r="A2009"/>
          <cell r="D2009"/>
          <cell r="E2009"/>
          <cell r="F2009"/>
          <cell r="G2009"/>
          <cell r="H2009"/>
          <cell r="I2009"/>
          <cell r="J2009"/>
          <cell r="L2009"/>
        </row>
        <row r="2010">
          <cell r="A2010"/>
          <cell r="D2010"/>
          <cell r="E2010"/>
          <cell r="F2010"/>
          <cell r="G2010"/>
          <cell r="H2010"/>
          <cell r="I2010"/>
          <cell r="J2010"/>
          <cell r="L2010"/>
        </row>
        <row r="2011">
          <cell r="A2011"/>
          <cell r="D2011"/>
          <cell r="E2011"/>
          <cell r="F2011"/>
          <cell r="G2011"/>
          <cell r="H2011"/>
          <cell r="I2011"/>
          <cell r="J2011"/>
          <cell r="L2011"/>
        </row>
        <row r="2012">
          <cell r="A2012"/>
          <cell r="D2012"/>
          <cell r="E2012"/>
          <cell r="F2012"/>
          <cell r="G2012"/>
          <cell r="H2012"/>
          <cell r="I2012"/>
          <cell r="J2012"/>
          <cell r="L2012"/>
        </row>
        <row r="2013">
          <cell r="A2013"/>
          <cell r="D2013"/>
          <cell r="E2013"/>
          <cell r="F2013"/>
          <cell r="G2013"/>
          <cell r="H2013"/>
          <cell r="I2013"/>
          <cell r="J2013"/>
          <cell r="L2013"/>
        </row>
        <row r="2014">
          <cell r="A2014"/>
          <cell r="D2014"/>
          <cell r="E2014"/>
          <cell r="F2014"/>
          <cell r="G2014"/>
          <cell r="H2014"/>
          <cell r="I2014"/>
          <cell r="J2014"/>
          <cell r="L2014"/>
        </row>
        <row r="2015">
          <cell r="A2015"/>
          <cell r="D2015"/>
          <cell r="E2015"/>
          <cell r="F2015"/>
          <cell r="G2015"/>
          <cell r="H2015"/>
          <cell r="I2015"/>
          <cell r="J2015"/>
          <cell r="L2015"/>
        </row>
        <row r="2016">
          <cell r="A2016"/>
          <cell r="D2016"/>
          <cell r="E2016"/>
          <cell r="F2016"/>
          <cell r="G2016"/>
          <cell r="H2016"/>
          <cell r="I2016"/>
          <cell r="J2016"/>
          <cell r="L2016"/>
        </row>
        <row r="2017">
          <cell r="A2017"/>
          <cell r="D2017"/>
          <cell r="E2017"/>
          <cell r="F2017"/>
          <cell r="G2017"/>
          <cell r="H2017"/>
          <cell r="I2017"/>
          <cell r="J2017"/>
          <cell r="L2017"/>
        </row>
        <row r="2018">
          <cell r="A2018"/>
          <cell r="D2018"/>
          <cell r="E2018"/>
          <cell r="F2018"/>
          <cell r="G2018"/>
          <cell r="H2018"/>
          <cell r="I2018"/>
          <cell r="J2018"/>
          <cell r="L2018"/>
        </row>
        <row r="2019">
          <cell r="A2019"/>
          <cell r="D2019"/>
          <cell r="E2019"/>
          <cell r="F2019"/>
          <cell r="G2019"/>
          <cell r="H2019"/>
          <cell r="I2019"/>
          <cell r="J2019"/>
          <cell r="L2019"/>
        </row>
        <row r="2020">
          <cell r="A2020"/>
          <cell r="D2020"/>
          <cell r="E2020"/>
          <cell r="F2020"/>
          <cell r="G2020"/>
          <cell r="H2020"/>
          <cell r="I2020"/>
          <cell r="J2020"/>
          <cell r="L2020"/>
        </row>
        <row r="2021">
          <cell r="A2021"/>
          <cell r="D2021"/>
          <cell r="E2021"/>
          <cell r="F2021"/>
          <cell r="G2021"/>
          <cell r="H2021"/>
          <cell r="I2021"/>
          <cell r="J2021"/>
          <cell r="L2021"/>
        </row>
        <row r="2022">
          <cell r="A2022"/>
          <cell r="D2022"/>
          <cell r="E2022"/>
          <cell r="F2022"/>
          <cell r="G2022"/>
          <cell r="H2022"/>
          <cell r="I2022"/>
          <cell r="J2022"/>
          <cell r="L2022"/>
        </row>
        <row r="2023">
          <cell r="A2023"/>
          <cell r="D2023"/>
          <cell r="E2023"/>
          <cell r="F2023"/>
          <cell r="G2023"/>
          <cell r="H2023"/>
          <cell r="I2023"/>
          <cell r="J2023"/>
          <cell r="L2023"/>
        </row>
        <row r="2024">
          <cell r="A2024"/>
          <cell r="D2024"/>
          <cell r="E2024"/>
          <cell r="F2024"/>
          <cell r="G2024"/>
          <cell r="H2024"/>
          <cell r="I2024"/>
          <cell r="J2024"/>
          <cell r="L2024"/>
        </row>
        <row r="2025">
          <cell r="A2025"/>
          <cell r="D2025"/>
          <cell r="E2025"/>
          <cell r="F2025"/>
          <cell r="G2025"/>
          <cell r="H2025"/>
          <cell r="I2025"/>
          <cell r="J2025"/>
          <cell r="L2025"/>
        </row>
        <row r="2026">
          <cell r="A2026"/>
          <cell r="D2026"/>
          <cell r="E2026"/>
          <cell r="F2026"/>
          <cell r="G2026"/>
          <cell r="H2026"/>
          <cell r="I2026"/>
          <cell r="J2026"/>
          <cell r="L2026"/>
        </row>
        <row r="2027">
          <cell r="A2027"/>
          <cell r="D2027"/>
          <cell r="E2027"/>
          <cell r="F2027"/>
          <cell r="G2027"/>
          <cell r="H2027"/>
          <cell r="I2027"/>
          <cell r="J2027"/>
          <cell r="L2027"/>
        </row>
        <row r="2028">
          <cell r="A2028"/>
          <cell r="D2028"/>
          <cell r="E2028"/>
          <cell r="F2028"/>
          <cell r="G2028"/>
          <cell r="H2028"/>
          <cell r="I2028"/>
          <cell r="J2028"/>
          <cell r="L2028"/>
        </row>
        <row r="2029">
          <cell r="A2029"/>
          <cell r="D2029"/>
          <cell r="E2029"/>
          <cell r="F2029"/>
          <cell r="G2029"/>
          <cell r="H2029"/>
          <cell r="I2029"/>
          <cell r="J2029"/>
          <cell r="L2029"/>
        </row>
        <row r="2030">
          <cell r="A2030"/>
          <cell r="D2030"/>
          <cell r="E2030"/>
          <cell r="F2030"/>
          <cell r="G2030"/>
          <cell r="H2030"/>
          <cell r="I2030"/>
          <cell r="J2030"/>
          <cell r="L2030"/>
        </row>
        <row r="2031">
          <cell r="A2031"/>
          <cell r="D2031"/>
          <cell r="E2031"/>
          <cell r="F2031"/>
          <cell r="G2031"/>
          <cell r="H2031"/>
          <cell r="I2031"/>
          <cell r="J2031"/>
          <cell r="L2031"/>
        </row>
        <row r="2032">
          <cell r="A2032"/>
          <cell r="D2032"/>
          <cell r="E2032"/>
          <cell r="F2032"/>
          <cell r="G2032"/>
          <cell r="H2032"/>
          <cell r="I2032"/>
          <cell r="J2032"/>
          <cell r="L2032"/>
        </row>
        <row r="2033">
          <cell r="A2033"/>
          <cell r="D2033"/>
          <cell r="E2033"/>
          <cell r="F2033"/>
          <cell r="G2033"/>
          <cell r="H2033"/>
          <cell r="I2033"/>
          <cell r="J2033"/>
          <cell r="L2033"/>
        </row>
        <row r="2034">
          <cell r="A2034"/>
          <cell r="D2034"/>
          <cell r="E2034"/>
          <cell r="F2034"/>
          <cell r="G2034"/>
          <cell r="H2034"/>
          <cell r="I2034"/>
          <cell r="J2034"/>
          <cell r="L2034"/>
        </row>
        <row r="2035">
          <cell r="A2035"/>
          <cell r="D2035"/>
          <cell r="E2035"/>
          <cell r="F2035"/>
          <cell r="G2035"/>
          <cell r="H2035"/>
          <cell r="I2035"/>
          <cell r="J2035"/>
          <cell r="L2035"/>
        </row>
        <row r="2036">
          <cell r="A2036"/>
          <cell r="D2036"/>
          <cell r="E2036"/>
          <cell r="F2036"/>
          <cell r="G2036"/>
          <cell r="H2036"/>
          <cell r="I2036"/>
          <cell r="J2036"/>
          <cell r="L2036"/>
        </row>
        <row r="2037">
          <cell r="A2037"/>
          <cell r="D2037"/>
          <cell r="E2037"/>
          <cell r="F2037"/>
          <cell r="G2037"/>
          <cell r="H2037"/>
          <cell r="I2037"/>
          <cell r="J2037"/>
          <cell r="L2037"/>
        </row>
        <row r="2038">
          <cell r="A2038"/>
          <cell r="D2038"/>
          <cell r="E2038"/>
          <cell r="F2038"/>
          <cell r="G2038"/>
          <cell r="H2038"/>
          <cell r="I2038"/>
          <cell r="J2038"/>
          <cell r="L2038"/>
        </row>
        <row r="2039">
          <cell r="A2039"/>
          <cell r="D2039"/>
          <cell r="E2039"/>
          <cell r="F2039"/>
          <cell r="G2039"/>
          <cell r="H2039"/>
          <cell r="I2039"/>
          <cell r="J2039"/>
          <cell r="L2039"/>
        </row>
        <row r="2040">
          <cell r="A2040"/>
          <cell r="D2040"/>
          <cell r="E2040"/>
          <cell r="F2040"/>
          <cell r="G2040"/>
          <cell r="H2040"/>
          <cell r="I2040"/>
          <cell r="J2040"/>
          <cell r="L2040"/>
        </row>
        <row r="2041">
          <cell r="A2041"/>
          <cell r="D2041"/>
          <cell r="E2041"/>
          <cell r="F2041"/>
          <cell r="G2041"/>
          <cell r="H2041"/>
          <cell r="I2041"/>
          <cell r="J2041"/>
          <cell r="L2041"/>
        </row>
        <row r="2042">
          <cell r="A2042"/>
          <cell r="D2042"/>
          <cell r="E2042"/>
          <cell r="F2042"/>
          <cell r="G2042"/>
          <cell r="H2042"/>
          <cell r="I2042"/>
          <cell r="J2042"/>
          <cell r="L2042"/>
        </row>
        <row r="2043">
          <cell r="A2043"/>
          <cell r="D2043"/>
          <cell r="E2043"/>
          <cell r="F2043"/>
          <cell r="G2043"/>
          <cell r="H2043"/>
          <cell r="I2043"/>
          <cell r="J2043"/>
          <cell r="L2043"/>
        </row>
        <row r="2044">
          <cell r="A2044"/>
          <cell r="D2044"/>
          <cell r="E2044"/>
          <cell r="F2044"/>
          <cell r="G2044"/>
          <cell r="H2044"/>
          <cell r="I2044"/>
          <cell r="J2044"/>
          <cell r="L2044"/>
        </row>
        <row r="2045">
          <cell r="A2045"/>
          <cell r="D2045"/>
          <cell r="E2045"/>
          <cell r="F2045"/>
          <cell r="G2045"/>
          <cell r="H2045"/>
          <cell r="I2045"/>
          <cell r="J2045"/>
          <cell r="L2045"/>
        </row>
        <row r="2046">
          <cell r="A2046"/>
          <cell r="D2046"/>
          <cell r="E2046"/>
          <cell r="F2046"/>
          <cell r="G2046"/>
          <cell r="H2046"/>
          <cell r="I2046"/>
          <cell r="J2046"/>
          <cell r="L2046"/>
        </row>
        <row r="2047">
          <cell r="A2047"/>
          <cell r="D2047"/>
          <cell r="E2047"/>
          <cell r="F2047"/>
          <cell r="G2047"/>
          <cell r="H2047"/>
          <cell r="I2047"/>
          <cell r="J2047"/>
          <cell r="L2047"/>
        </row>
        <row r="2048">
          <cell r="A2048"/>
          <cell r="D2048"/>
          <cell r="E2048"/>
          <cell r="F2048"/>
          <cell r="G2048"/>
          <cell r="H2048"/>
          <cell r="I2048"/>
          <cell r="J2048"/>
          <cell r="L2048"/>
        </row>
        <row r="2049">
          <cell r="A2049"/>
          <cell r="D2049"/>
          <cell r="E2049"/>
          <cell r="F2049"/>
          <cell r="G2049"/>
          <cell r="H2049"/>
          <cell r="I2049"/>
          <cell r="J2049"/>
          <cell r="L2049"/>
        </row>
        <row r="2050">
          <cell r="A2050"/>
          <cell r="D2050"/>
          <cell r="E2050"/>
          <cell r="F2050"/>
          <cell r="G2050"/>
          <cell r="H2050"/>
          <cell r="I2050"/>
          <cell r="J2050"/>
          <cell r="L2050"/>
        </row>
        <row r="2051">
          <cell r="A2051"/>
          <cell r="D2051"/>
          <cell r="E2051"/>
          <cell r="F2051"/>
          <cell r="G2051"/>
          <cell r="H2051"/>
          <cell r="I2051"/>
          <cell r="J2051"/>
          <cell r="L2051"/>
        </row>
        <row r="2052">
          <cell r="A2052"/>
          <cell r="D2052"/>
          <cell r="E2052"/>
          <cell r="F2052"/>
          <cell r="G2052"/>
          <cell r="H2052"/>
          <cell r="I2052"/>
          <cell r="J2052"/>
          <cell r="L2052"/>
        </row>
        <row r="2053">
          <cell r="A2053"/>
          <cell r="D2053"/>
          <cell r="E2053"/>
          <cell r="F2053"/>
          <cell r="G2053"/>
          <cell r="H2053"/>
          <cell r="I2053"/>
          <cell r="J2053"/>
          <cell r="L2053"/>
        </row>
        <row r="2054">
          <cell r="A2054"/>
          <cell r="D2054"/>
          <cell r="E2054"/>
          <cell r="F2054"/>
          <cell r="G2054"/>
          <cell r="H2054"/>
          <cell r="I2054"/>
          <cell r="J2054"/>
          <cell r="L2054"/>
        </row>
        <row r="2055">
          <cell r="A2055"/>
          <cell r="D2055"/>
          <cell r="E2055"/>
          <cell r="F2055"/>
          <cell r="G2055"/>
          <cell r="H2055"/>
          <cell r="I2055"/>
          <cell r="J2055"/>
          <cell r="L2055"/>
        </row>
        <row r="2056">
          <cell r="A2056"/>
          <cell r="D2056"/>
          <cell r="E2056"/>
          <cell r="F2056"/>
          <cell r="G2056"/>
          <cell r="H2056"/>
          <cell r="I2056"/>
          <cell r="J2056"/>
          <cell r="L2056"/>
        </row>
        <row r="2057">
          <cell r="A2057"/>
          <cell r="D2057"/>
          <cell r="E2057"/>
          <cell r="F2057"/>
          <cell r="G2057"/>
          <cell r="H2057"/>
          <cell r="I2057"/>
          <cell r="J2057"/>
          <cell r="L2057"/>
        </row>
        <row r="2058">
          <cell r="A2058"/>
          <cell r="D2058"/>
          <cell r="E2058"/>
          <cell r="F2058"/>
          <cell r="G2058"/>
          <cell r="H2058"/>
          <cell r="I2058"/>
          <cell r="J2058"/>
          <cell r="L2058"/>
        </row>
        <row r="2059">
          <cell r="A2059"/>
          <cell r="D2059"/>
          <cell r="E2059"/>
          <cell r="F2059"/>
          <cell r="G2059"/>
          <cell r="H2059"/>
          <cell r="I2059"/>
          <cell r="J2059"/>
          <cell r="L2059"/>
        </row>
        <row r="2060">
          <cell r="A2060"/>
          <cell r="D2060"/>
          <cell r="E2060"/>
          <cell r="F2060"/>
          <cell r="G2060"/>
          <cell r="H2060"/>
          <cell r="I2060"/>
          <cell r="J2060"/>
          <cell r="L2060"/>
        </row>
        <row r="2061">
          <cell r="A2061"/>
          <cell r="D2061"/>
          <cell r="E2061"/>
          <cell r="F2061"/>
          <cell r="G2061"/>
          <cell r="H2061"/>
          <cell r="I2061"/>
          <cell r="J2061"/>
          <cell r="L2061"/>
        </row>
        <row r="2062">
          <cell r="A2062"/>
          <cell r="D2062"/>
          <cell r="E2062"/>
          <cell r="F2062"/>
          <cell r="G2062"/>
          <cell r="H2062"/>
          <cell r="I2062"/>
          <cell r="J2062"/>
          <cell r="L2062"/>
        </row>
        <row r="2063">
          <cell r="A2063"/>
          <cell r="D2063"/>
          <cell r="E2063"/>
          <cell r="F2063"/>
          <cell r="G2063"/>
          <cell r="H2063"/>
          <cell r="I2063"/>
          <cell r="J2063"/>
          <cell r="L2063"/>
        </row>
        <row r="2064">
          <cell r="A2064"/>
          <cell r="D2064"/>
          <cell r="E2064"/>
          <cell r="F2064"/>
          <cell r="G2064"/>
          <cell r="H2064"/>
          <cell r="I2064"/>
          <cell r="J2064"/>
          <cell r="L2064"/>
        </row>
        <row r="2065">
          <cell r="A2065"/>
          <cell r="D2065"/>
          <cell r="E2065"/>
          <cell r="F2065"/>
          <cell r="G2065"/>
          <cell r="H2065"/>
          <cell r="I2065"/>
          <cell r="J2065"/>
          <cell r="L2065"/>
        </row>
        <row r="2066">
          <cell r="A2066"/>
          <cell r="D2066"/>
          <cell r="E2066"/>
          <cell r="F2066"/>
          <cell r="G2066"/>
          <cell r="H2066"/>
          <cell r="I2066"/>
          <cell r="J2066"/>
          <cell r="L2066"/>
        </row>
        <row r="2067">
          <cell r="A2067"/>
          <cell r="D2067"/>
          <cell r="E2067"/>
          <cell r="F2067"/>
          <cell r="G2067"/>
          <cell r="H2067"/>
          <cell r="I2067"/>
          <cell r="J2067"/>
          <cell r="L2067"/>
        </row>
        <row r="2068">
          <cell r="A2068"/>
          <cell r="D2068"/>
          <cell r="E2068"/>
          <cell r="F2068"/>
          <cell r="G2068"/>
          <cell r="H2068"/>
          <cell r="I2068"/>
          <cell r="J2068"/>
          <cell r="L2068"/>
        </row>
        <row r="2069">
          <cell r="A2069"/>
          <cell r="D2069"/>
          <cell r="E2069"/>
          <cell r="F2069"/>
          <cell r="G2069"/>
          <cell r="H2069"/>
          <cell r="I2069"/>
          <cell r="J2069"/>
          <cell r="L2069"/>
        </row>
        <row r="2070">
          <cell r="A2070"/>
          <cell r="D2070"/>
          <cell r="E2070"/>
          <cell r="F2070"/>
          <cell r="G2070"/>
          <cell r="H2070"/>
          <cell r="I2070"/>
          <cell r="J2070"/>
          <cell r="L2070"/>
        </row>
        <row r="2071">
          <cell r="A2071"/>
          <cell r="D2071"/>
          <cell r="E2071"/>
          <cell r="F2071"/>
          <cell r="G2071"/>
          <cell r="H2071"/>
          <cell r="I2071"/>
          <cell r="J2071"/>
          <cell r="L2071"/>
        </row>
        <row r="2072">
          <cell r="A2072"/>
          <cell r="D2072"/>
          <cell r="E2072"/>
          <cell r="F2072"/>
          <cell r="G2072"/>
          <cell r="H2072"/>
          <cell r="I2072"/>
          <cell r="J2072"/>
          <cell r="L2072"/>
        </row>
        <row r="2073">
          <cell r="A2073"/>
          <cell r="D2073"/>
          <cell r="E2073"/>
          <cell r="F2073"/>
          <cell r="G2073"/>
          <cell r="H2073"/>
          <cell r="I2073"/>
          <cell r="J2073"/>
          <cell r="L2073"/>
        </row>
        <row r="2074">
          <cell r="A2074"/>
          <cell r="D2074"/>
          <cell r="E2074"/>
          <cell r="F2074"/>
          <cell r="G2074"/>
          <cell r="H2074"/>
          <cell r="I2074"/>
          <cell r="J2074"/>
          <cell r="L2074"/>
        </row>
        <row r="2075">
          <cell r="A2075"/>
          <cell r="D2075"/>
          <cell r="E2075"/>
          <cell r="F2075"/>
          <cell r="G2075"/>
          <cell r="H2075"/>
          <cell r="I2075"/>
          <cell r="J2075"/>
          <cell r="L2075"/>
        </row>
        <row r="2076">
          <cell r="A2076"/>
          <cell r="D2076"/>
          <cell r="E2076"/>
          <cell r="F2076"/>
          <cell r="G2076"/>
          <cell r="H2076"/>
          <cell r="I2076"/>
          <cell r="J2076"/>
          <cell r="L2076"/>
        </row>
        <row r="2077">
          <cell r="A2077"/>
          <cell r="D2077"/>
          <cell r="E2077"/>
          <cell r="F2077"/>
          <cell r="G2077"/>
          <cell r="H2077"/>
          <cell r="I2077"/>
          <cell r="J2077"/>
          <cell r="L2077"/>
        </row>
        <row r="2078">
          <cell r="A2078"/>
          <cell r="D2078"/>
          <cell r="E2078"/>
          <cell r="F2078"/>
          <cell r="G2078"/>
          <cell r="H2078"/>
          <cell r="I2078"/>
          <cell r="J2078"/>
          <cell r="L2078"/>
        </row>
        <row r="2079">
          <cell r="A2079"/>
          <cell r="D2079"/>
          <cell r="E2079"/>
          <cell r="F2079"/>
          <cell r="G2079"/>
          <cell r="H2079"/>
          <cell r="I2079"/>
          <cell r="J2079"/>
          <cell r="L2079"/>
        </row>
        <row r="2080">
          <cell r="A2080"/>
          <cell r="D2080"/>
          <cell r="E2080"/>
          <cell r="F2080"/>
          <cell r="G2080"/>
          <cell r="H2080"/>
          <cell r="I2080"/>
          <cell r="J2080"/>
          <cell r="L2080"/>
        </row>
        <row r="2081">
          <cell r="A2081"/>
          <cell r="D2081"/>
          <cell r="E2081"/>
          <cell r="F2081"/>
          <cell r="G2081"/>
          <cell r="H2081"/>
          <cell r="I2081"/>
          <cell r="J2081"/>
          <cell r="L2081"/>
        </row>
        <row r="2082">
          <cell r="A2082"/>
          <cell r="D2082"/>
          <cell r="E2082"/>
          <cell r="F2082"/>
          <cell r="G2082"/>
          <cell r="H2082"/>
          <cell r="I2082"/>
          <cell r="J2082"/>
          <cell r="L2082"/>
        </row>
        <row r="2083">
          <cell r="A2083"/>
          <cell r="D2083"/>
          <cell r="E2083"/>
          <cell r="F2083"/>
          <cell r="G2083"/>
          <cell r="H2083"/>
          <cell r="I2083"/>
          <cell r="J2083"/>
          <cell r="L2083"/>
        </row>
        <row r="2084">
          <cell r="A2084"/>
          <cell r="D2084"/>
          <cell r="E2084"/>
          <cell r="F2084"/>
          <cell r="G2084"/>
          <cell r="H2084"/>
          <cell r="I2084"/>
          <cell r="J2084"/>
          <cell r="L2084"/>
        </row>
        <row r="2085">
          <cell r="A2085"/>
          <cell r="D2085"/>
          <cell r="E2085"/>
          <cell r="F2085"/>
          <cell r="G2085"/>
          <cell r="H2085"/>
          <cell r="I2085"/>
          <cell r="J2085"/>
          <cell r="L2085"/>
        </row>
        <row r="2086">
          <cell r="A2086"/>
          <cell r="D2086"/>
          <cell r="E2086"/>
          <cell r="F2086"/>
          <cell r="G2086"/>
          <cell r="H2086"/>
          <cell r="I2086"/>
          <cell r="J2086"/>
          <cell r="L2086"/>
        </row>
        <row r="2087">
          <cell r="A2087"/>
          <cell r="D2087"/>
          <cell r="E2087"/>
          <cell r="F2087"/>
          <cell r="G2087"/>
          <cell r="H2087"/>
          <cell r="I2087"/>
          <cell r="J2087"/>
          <cell r="L2087"/>
        </row>
        <row r="2088">
          <cell r="A2088"/>
          <cell r="D2088"/>
          <cell r="E2088"/>
          <cell r="F2088"/>
          <cell r="G2088"/>
          <cell r="H2088"/>
          <cell r="I2088"/>
          <cell r="J2088"/>
          <cell r="L2088"/>
        </row>
        <row r="2089">
          <cell r="A2089"/>
          <cell r="D2089"/>
          <cell r="E2089"/>
          <cell r="F2089"/>
          <cell r="G2089"/>
          <cell r="H2089"/>
          <cell r="I2089"/>
          <cell r="J2089"/>
          <cell r="L2089"/>
        </row>
        <row r="2090">
          <cell r="A2090"/>
          <cell r="D2090"/>
          <cell r="E2090"/>
          <cell r="F2090"/>
          <cell r="G2090"/>
          <cell r="H2090"/>
          <cell r="I2090"/>
          <cell r="J2090"/>
          <cell r="L2090"/>
        </row>
        <row r="2091">
          <cell r="A2091"/>
          <cell r="D2091"/>
          <cell r="E2091"/>
          <cell r="F2091"/>
          <cell r="G2091"/>
          <cell r="H2091"/>
          <cell r="I2091"/>
          <cell r="J2091"/>
          <cell r="L2091"/>
        </row>
        <row r="2092">
          <cell r="A2092"/>
          <cell r="D2092"/>
          <cell r="E2092"/>
          <cell r="F2092"/>
          <cell r="G2092"/>
          <cell r="H2092"/>
          <cell r="I2092"/>
          <cell r="J2092"/>
          <cell r="L2092"/>
        </row>
        <row r="2093">
          <cell r="A2093"/>
          <cell r="D2093"/>
          <cell r="E2093"/>
          <cell r="F2093"/>
          <cell r="G2093"/>
          <cell r="H2093"/>
          <cell r="I2093"/>
          <cell r="J2093"/>
          <cell r="L2093"/>
        </row>
        <row r="2094">
          <cell r="A2094"/>
          <cell r="D2094"/>
          <cell r="E2094"/>
          <cell r="F2094"/>
          <cell r="G2094"/>
          <cell r="H2094"/>
          <cell r="I2094"/>
          <cell r="J2094"/>
          <cell r="L2094"/>
        </row>
        <row r="2095">
          <cell r="A2095"/>
          <cell r="D2095"/>
          <cell r="E2095"/>
          <cell r="F2095"/>
          <cell r="G2095"/>
          <cell r="H2095"/>
          <cell r="I2095"/>
          <cell r="J2095"/>
          <cell r="L2095"/>
        </row>
        <row r="2096">
          <cell r="A2096"/>
          <cell r="D2096"/>
          <cell r="E2096"/>
          <cell r="F2096"/>
          <cell r="G2096"/>
          <cell r="H2096"/>
          <cell r="I2096"/>
          <cell r="J2096"/>
          <cell r="L2096"/>
        </row>
        <row r="2097">
          <cell r="A2097"/>
          <cell r="D2097"/>
          <cell r="E2097"/>
          <cell r="F2097"/>
          <cell r="G2097"/>
          <cell r="H2097"/>
          <cell r="I2097"/>
          <cell r="J2097"/>
          <cell r="L2097"/>
        </row>
        <row r="2098">
          <cell r="A2098"/>
          <cell r="D2098"/>
          <cell r="E2098"/>
          <cell r="F2098"/>
          <cell r="G2098"/>
          <cell r="H2098"/>
          <cell r="I2098"/>
          <cell r="J2098"/>
          <cell r="L2098"/>
        </row>
        <row r="2099">
          <cell r="A2099"/>
          <cell r="D2099"/>
          <cell r="E2099"/>
          <cell r="F2099"/>
          <cell r="G2099"/>
          <cell r="H2099"/>
          <cell r="I2099"/>
          <cell r="J2099"/>
          <cell r="L2099"/>
        </row>
        <row r="2100">
          <cell r="A2100"/>
          <cell r="D2100"/>
          <cell r="E2100"/>
          <cell r="F2100"/>
          <cell r="G2100"/>
          <cell r="H2100"/>
          <cell r="I2100"/>
          <cell r="J2100"/>
          <cell r="L2100"/>
        </row>
        <row r="2101">
          <cell r="A2101"/>
          <cell r="D2101"/>
          <cell r="E2101"/>
          <cell r="F2101"/>
          <cell r="G2101"/>
          <cell r="H2101"/>
          <cell r="I2101"/>
          <cell r="J2101"/>
          <cell r="L2101"/>
        </row>
        <row r="2102">
          <cell r="A2102"/>
          <cell r="D2102"/>
          <cell r="E2102"/>
          <cell r="F2102"/>
          <cell r="G2102"/>
          <cell r="H2102"/>
          <cell r="I2102"/>
          <cell r="J2102"/>
          <cell r="L2102"/>
        </row>
        <row r="2103">
          <cell r="A2103"/>
          <cell r="D2103"/>
          <cell r="E2103"/>
          <cell r="F2103"/>
          <cell r="G2103"/>
          <cell r="H2103"/>
          <cell r="I2103"/>
          <cell r="J2103"/>
          <cell r="L2103"/>
        </row>
        <row r="2104">
          <cell r="A2104"/>
          <cell r="D2104"/>
          <cell r="E2104"/>
          <cell r="F2104"/>
          <cell r="G2104"/>
          <cell r="H2104"/>
          <cell r="I2104"/>
          <cell r="J2104"/>
          <cell r="L2104"/>
        </row>
        <row r="2105">
          <cell r="A2105"/>
          <cell r="D2105"/>
          <cell r="E2105"/>
          <cell r="F2105"/>
          <cell r="G2105"/>
          <cell r="H2105"/>
          <cell r="I2105"/>
          <cell r="J2105"/>
          <cell r="L2105"/>
        </row>
        <row r="2106">
          <cell r="A2106"/>
          <cell r="D2106"/>
          <cell r="E2106"/>
          <cell r="F2106"/>
          <cell r="G2106"/>
          <cell r="H2106"/>
          <cell r="I2106"/>
          <cell r="J2106"/>
          <cell r="L2106"/>
        </row>
        <row r="2107">
          <cell r="A2107"/>
          <cell r="D2107"/>
          <cell r="E2107"/>
          <cell r="F2107"/>
          <cell r="G2107"/>
          <cell r="H2107"/>
          <cell r="I2107"/>
          <cell r="J2107"/>
          <cell r="L2107"/>
        </row>
        <row r="2108">
          <cell r="A2108"/>
          <cell r="D2108"/>
          <cell r="E2108"/>
          <cell r="F2108"/>
          <cell r="G2108"/>
          <cell r="H2108"/>
          <cell r="I2108"/>
          <cell r="J2108"/>
          <cell r="L2108"/>
        </row>
        <row r="2109">
          <cell r="A2109"/>
          <cell r="D2109"/>
          <cell r="E2109"/>
          <cell r="F2109"/>
          <cell r="G2109"/>
          <cell r="H2109"/>
          <cell r="I2109"/>
          <cell r="J2109"/>
          <cell r="L2109"/>
        </row>
        <row r="2110">
          <cell r="A2110"/>
          <cell r="D2110"/>
          <cell r="E2110"/>
          <cell r="F2110"/>
          <cell r="G2110"/>
          <cell r="H2110"/>
          <cell r="I2110"/>
          <cell r="J2110"/>
          <cell r="L2110"/>
        </row>
        <row r="2111">
          <cell r="A2111"/>
          <cell r="D2111"/>
          <cell r="E2111"/>
          <cell r="F2111"/>
          <cell r="G2111"/>
          <cell r="H2111"/>
          <cell r="I2111"/>
          <cell r="J2111"/>
          <cell r="L2111"/>
        </row>
        <row r="2112">
          <cell r="A2112"/>
          <cell r="D2112"/>
          <cell r="E2112"/>
          <cell r="F2112"/>
          <cell r="G2112"/>
          <cell r="H2112"/>
          <cell r="I2112"/>
          <cell r="J2112"/>
          <cell r="L2112"/>
        </row>
        <row r="2113">
          <cell r="A2113"/>
          <cell r="D2113"/>
          <cell r="E2113"/>
          <cell r="F2113"/>
          <cell r="G2113"/>
          <cell r="H2113"/>
          <cell r="I2113"/>
          <cell r="J2113"/>
          <cell r="L2113"/>
        </row>
        <row r="2114">
          <cell r="A2114"/>
          <cell r="D2114"/>
          <cell r="E2114"/>
          <cell r="F2114"/>
          <cell r="G2114"/>
          <cell r="H2114"/>
          <cell r="I2114"/>
          <cell r="J2114"/>
          <cell r="L2114"/>
        </row>
        <row r="2115">
          <cell r="A2115"/>
          <cell r="D2115"/>
          <cell r="E2115"/>
          <cell r="F2115"/>
          <cell r="G2115"/>
          <cell r="H2115"/>
          <cell r="I2115"/>
          <cell r="J2115"/>
          <cell r="L2115"/>
        </row>
        <row r="2116">
          <cell r="A2116"/>
          <cell r="D2116"/>
          <cell r="E2116"/>
          <cell r="F2116"/>
          <cell r="G2116"/>
          <cell r="H2116"/>
          <cell r="I2116"/>
          <cell r="J2116"/>
          <cell r="L2116"/>
        </row>
        <row r="2117">
          <cell r="A2117"/>
          <cell r="D2117"/>
          <cell r="E2117"/>
          <cell r="F2117"/>
          <cell r="G2117"/>
          <cell r="H2117"/>
          <cell r="I2117"/>
          <cell r="J2117"/>
          <cell r="L2117"/>
        </row>
        <row r="2118">
          <cell r="A2118"/>
          <cell r="D2118"/>
          <cell r="E2118"/>
          <cell r="F2118"/>
          <cell r="G2118"/>
          <cell r="H2118"/>
          <cell r="I2118"/>
          <cell r="J2118"/>
          <cell r="L2118"/>
        </row>
        <row r="2119">
          <cell r="A2119"/>
          <cell r="D2119"/>
          <cell r="E2119"/>
          <cell r="F2119"/>
          <cell r="G2119"/>
          <cell r="H2119"/>
          <cell r="I2119"/>
          <cell r="J2119"/>
          <cell r="L2119"/>
        </row>
        <row r="2120">
          <cell r="A2120"/>
          <cell r="D2120"/>
          <cell r="E2120"/>
          <cell r="F2120"/>
          <cell r="G2120"/>
          <cell r="H2120"/>
          <cell r="I2120"/>
          <cell r="J2120"/>
          <cell r="L2120"/>
        </row>
        <row r="2121">
          <cell r="A2121"/>
          <cell r="D2121"/>
          <cell r="E2121"/>
          <cell r="F2121"/>
          <cell r="G2121"/>
          <cell r="H2121"/>
          <cell r="I2121"/>
          <cell r="J2121"/>
          <cell r="L2121"/>
        </row>
        <row r="2122">
          <cell r="A2122"/>
          <cell r="D2122"/>
          <cell r="E2122"/>
          <cell r="F2122"/>
          <cell r="G2122"/>
          <cell r="H2122"/>
          <cell r="I2122"/>
          <cell r="J2122"/>
          <cell r="L2122"/>
        </row>
        <row r="2123">
          <cell r="A2123"/>
          <cell r="D2123"/>
          <cell r="E2123"/>
          <cell r="F2123"/>
          <cell r="G2123"/>
          <cell r="H2123"/>
          <cell r="I2123"/>
          <cell r="J2123"/>
          <cell r="L2123"/>
        </row>
        <row r="2124">
          <cell r="A2124"/>
          <cell r="D2124"/>
          <cell r="E2124"/>
          <cell r="F2124"/>
          <cell r="G2124"/>
          <cell r="H2124"/>
          <cell r="I2124"/>
          <cell r="J2124"/>
          <cell r="L2124"/>
        </row>
        <row r="2125">
          <cell r="A2125"/>
          <cell r="D2125"/>
          <cell r="E2125"/>
          <cell r="F2125"/>
          <cell r="G2125"/>
          <cell r="H2125"/>
          <cell r="I2125"/>
          <cell r="J2125"/>
          <cell r="L2125"/>
        </row>
        <row r="2126">
          <cell r="A2126"/>
          <cell r="D2126"/>
          <cell r="E2126"/>
          <cell r="F2126"/>
          <cell r="G2126"/>
          <cell r="H2126"/>
          <cell r="I2126"/>
          <cell r="J2126"/>
          <cell r="L2126"/>
        </row>
        <row r="2127">
          <cell r="A2127"/>
          <cell r="D2127"/>
          <cell r="E2127"/>
          <cell r="F2127"/>
          <cell r="G2127"/>
          <cell r="H2127"/>
          <cell r="I2127"/>
          <cell r="J2127"/>
          <cell r="L2127"/>
        </row>
        <row r="2128">
          <cell r="A2128"/>
          <cell r="D2128"/>
          <cell r="E2128"/>
          <cell r="F2128"/>
          <cell r="G2128"/>
          <cell r="H2128"/>
          <cell r="I2128"/>
          <cell r="J2128"/>
          <cell r="L2128"/>
        </row>
        <row r="2129">
          <cell r="A2129"/>
          <cell r="D2129"/>
          <cell r="E2129"/>
          <cell r="F2129"/>
          <cell r="G2129"/>
          <cell r="H2129"/>
          <cell r="I2129"/>
          <cell r="J2129"/>
          <cell r="L2129"/>
        </row>
        <row r="2130">
          <cell r="A2130"/>
          <cell r="D2130"/>
          <cell r="E2130"/>
          <cell r="F2130"/>
          <cell r="G2130"/>
          <cell r="H2130"/>
          <cell r="I2130"/>
          <cell r="J2130"/>
          <cell r="L2130"/>
        </row>
        <row r="2131">
          <cell r="A2131"/>
          <cell r="D2131"/>
          <cell r="E2131"/>
          <cell r="F2131"/>
          <cell r="G2131"/>
          <cell r="H2131"/>
          <cell r="I2131"/>
          <cell r="J2131"/>
          <cell r="L2131"/>
        </row>
        <row r="2132">
          <cell r="A2132"/>
          <cell r="D2132"/>
          <cell r="E2132"/>
          <cell r="F2132"/>
          <cell r="G2132"/>
          <cell r="H2132"/>
          <cell r="I2132"/>
          <cell r="J2132"/>
          <cell r="L2132"/>
        </row>
        <row r="2133">
          <cell r="A2133"/>
          <cell r="D2133"/>
          <cell r="E2133"/>
          <cell r="F2133"/>
          <cell r="G2133"/>
          <cell r="H2133"/>
          <cell r="I2133"/>
          <cell r="J2133"/>
          <cell r="L2133"/>
        </row>
        <row r="2134">
          <cell r="A2134"/>
          <cell r="D2134"/>
          <cell r="E2134"/>
          <cell r="F2134"/>
          <cell r="G2134"/>
          <cell r="H2134"/>
          <cell r="I2134"/>
          <cell r="J2134"/>
          <cell r="L2134"/>
        </row>
        <row r="2135">
          <cell r="A2135"/>
          <cell r="D2135"/>
          <cell r="E2135"/>
          <cell r="F2135"/>
          <cell r="G2135"/>
          <cell r="H2135"/>
          <cell r="I2135"/>
          <cell r="J2135"/>
          <cell r="L2135"/>
        </row>
        <row r="2136">
          <cell r="A2136"/>
          <cell r="D2136"/>
          <cell r="E2136"/>
          <cell r="F2136"/>
          <cell r="G2136"/>
          <cell r="H2136"/>
          <cell r="I2136"/>
          <cell r="J2136"/>
          <cell r="L2136"/>
        </row>
        <row r="2137">
          <cell r="A2137"/>
          <cell r="D2137"/>
          <cell r="E2137"/>
          <cell r="F2137"/>
          <cell r="G2137"/>
          <cell r="H2137"/>
          <cell r="I2137"/>
          <cell r="J2137"/>
          <cell r="L2137"/>
        </row>
        <row r="2138">
          <cell r="A2138"/>
          <cell r="D2138"/>
          <cell r="E2138"/>
          <cell r="F2138"/>
          <cell r="G2138"/>
          <cell r="H2138"/>
          <cell r="I2138"/>
          <cell r="J2138"/>
          <cell r="L2138"/>
        </row>
        <row r="2139">
          <cell r="A2139"/>
          <cell r="D2139"/>
          <cell r="E2139"/>
          <cell r="F2139"/>
          <cell r="G2139"/>
          <cell r="H2139"/>
          <cell r="I2139"/>
          <cell r="J2139"/>
          <cell r="L2139"/>
        </row>
        <row r="2140">
          <cell r="A2140"/>
          <cell r="D2140"/>
          <cell r="E2140"/>
          <cell r="F2140"/>
          <cell r="G2140"/>
          <cell r="H2140"/>
          <cell r="I2140"/>
          <cell r="J2140"/>
          <cell r="L2140"/>
        </row>
        <row r="2141">
          <cell r="A2141"/>
          <cell r="D2141"/>
          <cell r="E2141"/>
          <cell r="F2141"/>
          <cell r="G2141"/>
          <cell r="H2141"/>
          <cell r="I2141"/>
          <cell r="J2141"/>
          <cell r="L2141"/>
        </row>
        <row r="2142">
          <cell r="A2142"/>
          <cell r="D2142"/>
          <cell r="E2142"/>
          <cell r="F2142"/>
          <cell r="G2142"/>
          <cell r="H2142"/>
          <cell r="I2142"/>
          <cell r="J2142"/>
          <cell r="L2142"/>
        </row>
        <row r="2143">
          <cell r="A2143"/>
          <cell r="D2143"/>
          <cell r="E2143"/>
          <cell r="F2143"/>
          <cell r="G2143"/>
          <cell r="H2143"/>
          <cell r="I2143"/>
          <cell r="J2143"/>
          <cell r="L2143"/>
        </row>
        <row r="2144">
          <cell r="A2144"/>
          <cell r="D2144"/>
          <cell r="E2144"/>
          <cell r="F2144"/>
          <cell r="G2144"/>
          <cell r="H2144"/>
          <cell r="I2144"/>
          <cell r="J2144"/>
          <cell r="L2144"/>
        </row>
        <row r="2145">
          <cell r="A2145"/>
          <cell r="D2145"/>
          <cell r="E2145"/>
          <cell r="F2145"/>
          <cell r="G2145"/>
          <cell r="H2145"/>
          <cell r="I2145"/>
          <cell r="J2145"/>
          <cell r="L2145"/>
        </row>
        <row r="2146">
          <cell r="A2146"/>
          <cell r="D2146"/>
          <cell r="E2146"/>
          <cell r="F2146"/>
          <cell r="G2146"/>
          <cell r="H2146"/>
          <cell r="I2146"/>
          <cell r="J2146"/>
          <cell r="L2146"/>
        </row>
        <row r="2147">
          <cell r="A2147"/>
          <cell r="D2147"/>
          <cell r="E2147"/>
          <cell r="F2147"/>
          <cell r="G2147"/>
          <cell r="H2147"/>
          <cell r="I2147"/>
          <cell r="J2147"/>
          <cell r="L2147"/>
        </row>
        <row r="2148">
          <cell r="A2148"/>
          <cell r="D2148"/>
          <cell r="E2148"/>
          <cell r="F2148"/>
          <cell r="G2148"/>
          <cell r="H2148"/>
          <cell r="I2148"/>
          <cell r="J2148"/>
          <cell r="L2148"/>
        </row>
        <row r="2149">
          <cell r="A2149"/>
          <cell r="D2149"/>
          <cell r="E2149"/>
          <cell r="F2149"/>
          <cell r="G2149"/>
          <cell r="H2149"/>
          <cell r="I2149"/>
          <cell r="J2149"/>
          <cell r="L2149"/>
        </row>
        <row r="2150">
          <cell r="A2150"/>
          <cell r="D2150"/>
          <cell r="E2150"/>
          <cell r="F2150"/>
          <cell r="G2150"/>
          <cell r="H2150"/>
          <cell r="I2150"/>
          <cell r="J2150"/>
          <cell r="L2150"/>
        </row>
        <row r="2151">
          <cell r="A2151"/>
          <cell r="D2151"/>
          <cell r="E2151"/>
          <cell r="F2151"/>
          <cell r="G2151"/>
          <cell r="H2151"/>
          <cell r="I2151"/>
          <cell r="J2151"/>
          <cell r="L2151"/>
        </row>
        <row r="2152">
          <cell r="A2152"/>
          <cell r="D2152"/>
          <cell r="E2152"/>
          <cell r="F2152"/>
          <cell r="G2152"/>
          <cell r="H2152"/>
          <cell r="I2152"/>
          <cell r="J2152"/>
          <cell r="L2152"/>
        </row>
        <row r="2153">
          <cell r="A2153"/>
          <cell r="D2153"/>
          <cell r="E2153"/>
          <cell r="F2153"/>
          <cell r="G2153"/>
          <cell r="H2153"/>
          <cell r="I2153"/>
          <cell r="J2153"/>
          <cell r="L2153"/>
        </row>
        <row r="2154">
          <cell r="A2154"/>
          <cell r="D2154"/>
          <cell r="E2154"/>
          <cell r="F2154"/>
          <cell r="G2154"/>
          <cell r="H2154"/>
          <cell r="I2154"/>
          <cell r="J2154"/>
          <cell r="L2154"/>
        </row>
        <row r="2155">
          <cell r="A2155"/>
          <cell r="D2155"/>
          <cell r="E2155"/>
          <cell r="F2155"/>
          <cell r="G2155"/>
          <cell r="H2155"/>
          <cell r="I2155"/>
          <cell r="J2155"/>
          <cell r="L2155"/>
        </row>
        <row r="2156">
          <cell r="A2156"/>
          <cell r="D2156"/>
          <cell r="E2156"/>
          <cell r="F2156"/>
          <cell r="G2156"/>
          <cell r="H2156"/>
          <cell r="I2156"/>
          <cell r="J2156"/>
          <cell r="L2156"/>
        </row>
        <row r="2157">
          <cell r="A2157"/>
          <cell r="D2157"/>
          <cell r="E2157"/>
          <cell r="F2157"/>
          <cell r="G2157"/>
          <cell r="H2157"/>
          <cell r="I2157"/>
          <cell r="J2157"/>
          <cell r="L2157"/>
        </row>
        <row r="2158">
          <cell r="A2158"/>
          <cell r="D2158"/>
          <cell r="E2158"/>
          <cell r="F2158"/>
          <cell r="G2158"/>
          <cell r="H2158"/>
          <cell r="I2158"/>
          <cell r="J2158"/>
          <cell r="L2158"/>
        </row>
        <row r="2159">
          <cell r="A2159"/>
          <cell r="D2159"/>
          <cell r="E2159"/>
          <cell r="F2159"/>
          <cell r="G2159"/>
          <cell r="H2159"/>
          <cell r="I2159"/>
          <cell r="J2159"/>
          <cell r="L2159"/>
        </row>
        <row r="2160">
          <cell r="A2160"/>
          <cell r="D2160"/>
          <cell r="E2160"/>
          <cell r="F2160"/>
          <cell r="G2160"/>
          <cell r="H2160"/>
          <cell r="I2160"/>
          <cell r="J2160"/>
          <cell r="L2160"/>
        </row>
        <row r="2161">
          <cell r="A2161"/>
          <cell r="D2161"/>
          <cell r="E2161"/>
          <cell r="F2161"/>
          <cell r="G2161"/>
          <cell r="H2161"/>
          <cell r="I2161"/>
          <cell r="J2161"/>
          <cell r="L2161"/>
        </row>
        <row r="2162">
          <cell r="A2162"/>
          <cell r="D2162"/>
          <cell r="E2162"/>
          <cell r="F2162"/>
          <cell r="G2162"/>
          <cell r="H2162"/>
          <cell r="I2162"/>
          <cell r="J2162"/>
          <cell r="L2162"/>
        </row>
        <row r="2163">
          <cell r="A2163"/>
          <cell r="D2163"/>
          <cell r="E2163"/>
          <cell r="F2163"/>
          <cell r="G2163"/>
          <cell r="H2163"/>
          <cell r="I2163"/>
          <cell r="J2163"/>
          <cell r="L2163"/>
        </row>
        <row r="2164">
          <cell r="A2164"/>
          <cell r="D2164"/>
          <cell r="E2164"/>
          <cell r="F2164"/>
          <cell r="G2164"/>
          <cell r="H2164"/>
          <cell r="I2164"/>
          <cell r="J2164"/>
          <cell r="L2164"/>
        </row>
        <row r="2165">
          <cell r="A2165"/>
          <cell r="D2165"/>
          <cell r="E2165"/>
          <cell r="F2165"/>
          <cell r="G2165"/>
          <cell r="H2165"/>
          <cell r="I2165"/>
          <cell r="J2165"/>
          <cell r="L2165"/>
        </row>
        <row r="2166">
          <cell r="A2166"/>
          <cell r="D2166"/>
          <cell r="E2166"/>
          <cell r="F2166"/>
          <cell r="G2166"/>
          <cell r="H2166"/>
          <cell r="I2166"/>
          <cell r="J2166"/>
          <cell r="L2166"/>
        </row>
        <row r="2167">
          <cell r="A2167"/>
          <cell r="D2167"/>
          <cell r="E2167"/>
          <cell r="F2167"/>
          <cell r="G2167"/>
          <cell r="H2167"/>
          <cell r="I2167"/>
          <cell r="J2167"/>
          <cell r="L2167"/>
        </row>
        <row r="2168">
          <cell r="A2168"/>
          <cell r="D2168"/>
          <cell r="E2168"/>
          <cell r="F2168"/>
          <cell r="G2168"/>
          <cell r="H2168"/>
          <cell r="I2168"/>
          <cell r="J2168"/>
          <cell r="L2168"/>
        </row>
        <row r="2169">
          <cell r="A2169"/>
          <cell r="D2169"/>
          <cell r="E2169"/>
          <cell r="F2169"/>
          <cell r="G2169"/>
          <cell r="H2169"/>
          <cell r="I2169"/>
          <cell r="J2169"/>
          <cell r="L2169"/>
        </row>
        <row r="2170">
          <cell r="A2170"/>
          <cell r="D2170"/>
          <cell r="E2170"/>
          <cell r="F2170"/>
          <cell r="G2170"/>
          <cell r="H2170"/>
          <cell r="I2170"/>
          <cell r="J2170"/>
          <cell r="L2170"/>
        </row>
        <row r="2171">
          <cell r="A2171"/>
          <cell r="D2171"/>
          <cell r="E2171"/>
          <cell r="F2171"/>
          <cell r="G2171"/>
          <cell r="H2171"/>
          <cell r="I2171"/>
          <cell r="J2171"/>
          <cell r="L2171"/>
        </row>
        <row r="2172">
          <cell r="A2172"/>
          <cell r="D2172"/>
          <cell r="E2172"/>
          <cell r="F2172"/>
          <cell r="G2172"/>
          <cell r="H2172"/>
          <cell r="I2172"/>
          <cell r="J2172"/>
          <cell r="L2172"/>
        </row>
        <row r="2173">
          <cell r="A2173"/>
          <cell r="D2173"/>
          <cell r="E2173"/>
          <cell r="F2173"/>
          <cell r="G2173"/>
          <cell r="H2173"/>
          <cell r="I2173"/>
          <cell r="J2173"/>
          <cell r="L2173"/>
        </row>
        <row r="2174">
          <cell r="A2174"/>
          <cell r="D2174"/>
          <cell r="E2174"/>
          <cell r="F2174"/>
          <cell r="G2174"/>
          <cell r="H2174"/>
          <cell r="I2174"/>
          <cell r="J2174"/>
          <cell r="L2174"/>
        </row>
        <row r="2175">
          <cell r="A2175"/>
          <cell r="D2175"/>
          <cell r="E2175"/>
          <cell r="F2175"/>
          <cell r="G2175"/>
          <cell r="H2175"/>
          <cell r="I2175"/>
          <cell r="J2175"/>
          <cell r="L2175"/>
        </row>
        <row r="2176">
          <cell r="A2176"/>
          <cell r="D2176"/>
          <cell r="E2176"/>
          <cell r="F2176"/>
          <cell r="G2176"/>
          <cell r="H2176"/>
          <cell r="I2176"/>
          <cell r="J2176"/>
          <cell r="L2176"/>
        </row>
        <row r="2177">
          <cell r="A2177"/>
          <cell r="D2177"/>
          <cell r="E2177"/>
          <cell r="F2177"/>
          <cell r="G2177"/>
          <cell r="H2177"/>
          <cell r="I2177"/>
          <cell r="J2177"/>
          <cell r="L2177"/>
        </row>
        <row r="2178">
          <cell r="A2178"/>
          <cell r="D2178"/>
          <cell r="E2178"/>
          <cell r="F2178"/>
          <cell r="G2178"/>
          <cell r="H2178"/>
          <cell r="I2178"/>
          <cell r="J2178"/>
          <cell r="L2178"/>
        </row>
        <row r="2179">
          <cell r="A2179"/>
          <cell r="D2179"/>
          <cell r="E2179"/>
          <cell r="F2179"/>
          <cell r="G2179"/>
          <cell r="H2179"/>
          <cell r="I2179"/>
          <cell r="J2179"/>
          <cell r="L2179"/>
        </row>
        <row r="2180">
          <cell r="A2180"/>
          <cell r="D2180"/>
          <cell r="E2180"/>
          <cell r="F2180"/>
          <cell r="G2180"/>
          <cell r="H2180"/>
          <cell r="I2180"/>
          <cell r="J2180"/>
          <cell r="L2180"/>
        </row>
        <row r="2181">
          <cell r="A2181"/>
          <cell r="D2181"/>
          <cell r="E2181"/>
          <cell r="F2181"/>
          <cell r="G2181"/>
          <cell r="H2181"/>
          <cell r="I2181"/>
          <cell r="J2181"/>
          <cell r="L2181"/>
        </row>
        <row r="2182">
          <cell r="A2182"/>
          <cell r="D2182"/>
          <cell r="E2182"/>
          <cell r="F2182"/>
          <cell r="G2182"/>
          <cell r="H2182"/>
          <cell r="I2182"/>
          <cell r="J2182"/>
          <cell r="L2182"/>
        </row>
        <row r="2183">
          <cell r="A2183"/>
          <cell r="D2183"/>
          <cell r="E2183"/>
          <cell r="F2183"/>
          <cell r="G2183"/>
          <cell r="H2183"/>
          <cell r="I2183"/>
          <cell r="J2183"/>
          <cell r="L2183"/>
        </row>
        <row r="2184">
          <cell r="A2184"/>
          <cell r="D2184"/>
          <cell r="E2184"/>
          <cell r="F2184"/>
          <cell r="G2184"/>
          <cell r="H2184"/>
          <cell r="I2184"/>
          <cell r="J2184"/>
          <cell r="L2184"/>
        </row>
        <row r="2185">
          <cell r="A2185"/>
          <cell r="D2185"/>
          <cell r="E2185"/>
          <cell r="F2185"/>
          <cell r="G2185"/>
          <cell r="H2185"/>
          <cell r="I2185"/>
          <cell r="J2185"/>
          <cell r="L2185"/>
        </row>
        <row r="2186">
          <cell r="A2186"/>
          <cell r="D2186"/>
          <cell r="E2186"/>
          <cell r="F2186"/>
          <cell r="G2186"/>
          <cell r="H2186"/>
          <cell r="I2186"/>
          <cell r="J2186"/>
          <cell r="L2186"/>
        </row>
        <row r="2187">
          <cell r="A2187"/>
          <cell r="D2187"/>
          <cell r="E2187"/>
          <cell r="F2187"/>
          <cell r="G2187"/>
          <cell r="H2187"/>
          <cell r="I2187"/>
          <cell r="J2187"/>
          <cell r="L2187"/>
        </row>
        <row r="2188">
          <cell r="A2188"/>
          <cell r="D2188"/>
          <cell r="E2188"/>
          <cell r="F2188"/>
          <cell r="G2188"/>
          <cell r="H2188"/>
          <cell r="I2188"/>
          <cell r="J2188"/>
          <cell r="L2188"/>
        </row>
        <row r="2189">
          <cell r="A2189"/>
          <cell r="D2189"/>
          <cell r="E2189"/>
          <cell r="F2189"/>
          <cell r="G2189"/>
          <cell r="H2189"/>
          <cell r="I2189"/>
          <cell r="J2189"/>
          <cell r="L2189"/>
        </row>
        <row r="2190">
          <cell r="A2190"/>
          <cell r="D2190"/>
          <cell r="E2190"/>
          <cell r="F2190"/>
          <cell r="G2190"/>
          <cell r="H2190"/>
          <cell r="I2190"/>
          <cell r="J2190"/>
          <cell r="L2190"/>
        </row>
        <row r="2191">
          <cell r="A2191"/>
          <cell r="D2191"/>
          <cell r="E2191"/>
          <cell r="F2191"/>
          <cell r="G2191"/>
          <cell r="H2191"/>
          <cell r="I2191"/>
          <cell r="J2191"/>
          <cell r="L2191"/>
        </row>
        <row r="2192">
          <cell r="A2192"/>
          <cell r="D2192"/>
          <cell r="E2192"/>
          <cell r="F2192"/>
          <cell r="G2192"/>
          <cell r="H2192"/>
          <cell r="I2192"/>
          <cell r="J2192"/>
          <cell r="L2192"/>
        </row>
        <row r="2193">
          <cell r="A2193"/>
          <cell r="D2193"/>
          <cell r="E2193"/>
          <cell r="F2193"/>
          <cell r="G2193"/>
          <cell r="H2193"/>
          <cell r="I2193"/>
          <cell r="J2193"/>
          <cell r="L2193"/>
        </row>
        <row r="2194">
          <cell r="A2194"/>
          <cell r="D2194"/>
          <cell r="E2194"/>
          <cell r="F2194"/>
          <cell r="G2194"/>
          <cell r="H2194"/>
          <cell r="I2194"/>
          <cell r="J2194"/>
          <cell r="L2194"/>
        </row>
        <row r="2195">
          <cell r="A2195"/>
          <cell r="D2195"/>
          <cell r="E2195"/>
          <cell r="F2195"/>
          <cell r="G2195"/>
          <cell r="H2195"/>
          <cell r="I2195"/>
          <cell r="J2195"/>
          <cell r="L2195"/>
        </row>
        <row r="2196">
          <cell r="A2196"/>
          <cell r="D2196"/>
          <cell r="E2196"/>
          <cell r="F2196"/>
          <cell r="G2196"/>
          <cell r="H2196"/>
          <cell r="I2196"/>
          <cell r="J2196"/>
          <cell r="L2196"/>
        </row>
        <row r="2197">
          <cell r="A2197"/>
          <cell r="D2197"/>
          <cell r="E2197"/>
          <cell r="F2197"/>
          <cell r="G2197"/>
          <cell r="H2197"/>
          <cell r="I2197"/>
          <cell r="J2197"/>
          <cell r="L2197"/>
        </row>
        <row r="2198">
          <cell r="A2198"/>
          <cell r="D2198"/>
          <cell r="E2198"/>
          <cell r="F2198"/>
          <cell r="G2198"/>
          <cell r="H2198"/>
          <cell r="I2198"/>
          <cell r="J2198"/>
          <cell r="L2198"/>
        </row>
        <row r="2199">
          <cell r="A2199"/>
          <cell r="D2199"/>
          <cell r="E2199"/>
          <cell r="F2199"/>
          <cell r="G2199"/>
          <cell r="H2199"/>
          <cell r="I2199"/>
          <cell r="J2199"/>
          <cell r="L2199"/>
        </row>
        <row r="2200">
          <cell r="A2200"/>
          <cell r="D2200"/>
          <cell r="E2200"/>
          <cell r="F2200"/>
          <cell r="G2200"/>
          <cell r="H2200"/>
          <cell r="I2200"/>
          <cell r="J2200"/>
          <cell r="L2200"/>
        </row>
        <row r="2201">
          <cell r="A2201"/>
          <cell r="D2201"/>
          <cell r="E2201"/>
          <cell r="F2201"/>
          <cell r="G2201"/>
          <cell r="H2201"/>
          <cell r="I2201"/>
          <cell r="J2201"/>
          <cell r="L2201"/>
        </row>
        <row r="2202">
          <cell r="A2202"/>
          <cell r="D2202"/>
          <cell r="E2202"/>
          <cell r="F2202"/>
          <cell r="G2202"/>
          <cell r="H2202"/>
          <cell r="I2202"/>
          <cell r="J2202"/>
          <cell r="L2202"/>
        </row>
        <row r="2203">
          <cell r="A2203"/>
          <cell r="D2203"/>
          <cell r="E2203"/>
          <cell r="F2203"/>
          <cell r="G2203"/>
          <cell r="H2203"/>
          <cell r="I2203"/>
          <cell r="J2203"/>
          <cell r="L2203"/>
        </row>
        <row r="2204">
          <cell r="A2204"/>
          <cell r="D2204"/>
          <cell r="E2204"/>
          <cell r="F2204"/>
          <cell r="G2204"/>
          <cell r="H2204"/>
          <cell r="I2204"/>
          <cell r="J2204"/>
          <cell r="L2204"/>
        </row>
        <row r="2205">
          <cell r="A2205"/>
          <cell r="D2205"/>
          <cell r="E2205"/>
          <cell r="F2205"/>
          <cell r="G2205"/>
          <cell r="H2205"/>
          <cell r="I2205"/>
          <cell r="J2205"/>
          <cell r="L2205"/>
        </row>
        <row r="2206">
          <cell r="A2206"/>
          <cell r="D2206"/>
          <cell r="E2206"/>
          <cell r="F2206"/>
          <cell r="G2206"/>
          <cell r="H2206"/>
          <cell r="I2206"/>
          <cell r="J2206"/>
          <cell r="L2206"/>
        </row>
        <row r="2207">
          <cell r="A2207"/>
          <cell r="D2207"/>
          <cell r="E2207"/>
          <cell r="F2207"/>
          <cell r="G2207"/>
          <cell r="H2207"/>
          <cell r="I2207"/>
          <cell r="J2207"/>
          <cell r="L2207"/>
        </row>
        <row r="2208">
          <cell r="A2208"/>
          <cell r="D2208"/>
          <cell r="E2208"/>
          <cell r="F2208"/>
          <cell r="G2208"/>
          <cell r="H2208"/>
          <cell r="I2208"/>
          <cell r="J2208"/>
          <cell r="L2208"/>
        </row>
        <row r="2209">
          <cell r="A2209"/>
          <cell r="D2209"/>
          <cell r="E2209"/>
          <cell r="F2209"/>
          <cell r="G2209"/>
          <cell r="H2209"/>
          <cell r="I2209"/>
          <cell r="J2209"/>
          <cell r="L2209"/>
        </row>
        <row r="2210">
          <cell r="A2210"/>
          <cell r="D2210"/>
          <cell r="E2210"/>
          <cell r="F2210"/>
          <cell r="G2210"/>
          <cell r="H2210"/>
          <cell r="I2210"/>
          <cell r="J2210"/>
          <cell r="L2210"/>
        </row>
        <row r="2211">
          <cell r="A2211"/>
          <cell r="D2211"/>
          <cell r="E2211"/>
          <cell r="F2211"/>
          <cell r="G2211"/>
          <cell r="H2211"/>
          <cell r="I2211"/>
          <cell r="J2211"/>
          <cell r="L2211"/>
        </row>
        <row r="2212">
          <cell r="A2212"/>
          <cell r="D2212"/>
          <cell r="E2212"/>
          <cell r="F2212"/>
          <cell r="G2212"/>
          <cell r="H2212"/>
          <cell r="I2212"/>
          <cell r="J2212"/>
          <cell r="L2212"/>
        </row>
        <row r="2213">
          <cell r="A2213"/>
          <cell r="D2213"/>
          <cell r="E2213"/>
          <cell r="F2213"/>
          <cell r="G2213"/>
          <cell r="H2213"/>
          <cell r="I2213"/>
          <cell r="J2213"/>
          <cell r="L2213"/>
        </row>
        <row r="2214">
          <cell r="A2214"/>
          <cell r="D2214"/>
          <cell r="E2214"/>
          <cell r="F2214"/>
          <cell r="G2214"/>
          <cell r="H2214"/>
          <cell r="I2214"/>
          <cell r="J2214"/>
          <cell r="L2214"/>
        </row>
        <row r="2215">
          <cell r="A2215"/>
          <cell r="D2215"/>
          <cell r="E2215"/>
          <cell r="F2215"/>
          <cell r="G2215"/>
          <cell r="H2215"/>
          <cell r="I2215"/>
          <cell r="J2215"/>
          <cell r="L2215"/>
        </row>
        <row r="2216">
          <cell r="A2216"/>
          <cell r="D2216"/>
          <cell r="E2216"/>
          <cell r="F2216"/>
          <cell r="G2216"/>
          <cell r="H2216"/>
          <cell r="I2216"/>
          <cell r="J2216"/>
          <cell r="L2216"/>
        </row>
        <row r="2217">
          <cell r="A2217"/>
          <cell r="D2217"/>
          <cell r="E2217"/>
          <cell r="F2217"/>
          <cell r="G2217"/>
          <cell r="H2217"/>
          <cell r="I2217"/>
          <cell r="J2217"/>
          <cell r="L2217"/>
        </row>
        <row r="2218">
          <cell r="A2218"/>
          <cell r="D2218"/>
          <cell r="E2218"/>
          <cell r="F2218"/>
          <cell r="G2218"/>
          <cell r="H2218"/>
          <cell r="I2218"/>
          <cell r="J2218"/>
          <cell r="L2218"/>
        </row>
        <row r="2219">
          <cell r="A2219"/>
          <cell r="D2219"/>
          <cell r="E2219"/>
          <cell r="F2219"/>
          <cell r="G2219"/>
          <cell r="H2219"/>
          <cell r="I2219"/>
          <cell r="J2219"/>
          <cell r="L2219"/>
        </row>
        <row r="2220">
          <cell r="A2220"/>
          <cell r="D2220"/>
          <cell r="E2220"/>
          <cell r="F2220"/>
          <cell r="G2220"/>
          <cell r="H2220"/>
          <cell r="I2220"/>
          <cell r="J2220"/>
          <cell r="L2220"/>
        </row>
        <row r="2221">
          <cell r="A2221"/>
          <cell r="D2221"/>
          <cell r="E2221"/>
          <cell r="F2221"/>
          <cell r="G2221"/>
          <cell r="H2221"/>
          <cell r="I2221"/>
          <cell r="J2221"/>
          <cell r="L2221"/>
        </row>
        <row r="2222">
          <cell r="A2222"/>
          <cell r="D2222"/>
          <cell r="E2222"/>
          <cell r="F2222"/>
          <cell r="G2222"/>
          <cell r="H2222"/>
          <cell r="I2222"/>
          <cell r="J2222"/>
          <cell r="L2222"/>
        </row>
        <row r="2223">
          <cell r="A2223"/>
          <cell r="D2223"/>
          <cell r="E2223"/>
          <cell r="F2223"/>
          <cell r="G2223"/>
          <cell r="H2223"/>
          <cell r="I2223"/>
          <cell r="J2223"/>
          <cell r="L2223"/>
        </row>
        <row r="2224">
          <cell r="A2224"/>
          <cell r="D2224"/>
          <cell r="E2224"/>
          <cell r="F2224"/>
          <cell r="G2224"/>
          <cell r="H2224"/>
          <cell r="I2224"/>
          <cell r="J2224"/>
          <cell r="L2224"/>
        </row>
        <row r="2225">
          <cell r="A2225"/>
          <cell r="D2225"/>
          <cell r="E2225"/>
          <cell r="F2225"/>
          <cell r="G2225"/>
          <cell r="H2225"/>
          <cell r="I2225"/>
          <cell r="J2225"/>
          <cell r="L2225"/>
        </row>
        <row r="2226">
          <cell r="A2226"/>
          <cell r="D2226"/>
          <cell r="E2226"/>
          <cell r="F2226"/>
          <cell r="G2226"/>
          <cell r="H2226"/>
          <cell r="I2226"/>
          <cell r="J2226"/>
          <cell r="L2226"/>
        </row>
        <row r="2227">
          <cell r="A2227"/>
          <cell r="D2227"/>
          <cell r="E2227"/>
          <cell r="F2227"/>
          <cell r="G2227"/>
          <cell r="H2227"/>
          <cell r="I2227"/>
          <cell r="J2227"/>
          <cell r="L2227"/>
        </row>
        <row r="2228">
          <cell r="A2228"/>
          <cell r="D2228"/>
          <cell r="E2228"/>
          <cell r="F2228"/>
          <cell r="G2228"/>
          <cell r="H2228"/>
          <cell r="I2228"/>
          <cell r="J2228"/>
          <cell r="L2228"/>
        </row>
        <row r="2229">
          <cell r="A2229"/>
          <cell r="D2229"/>
          <cell r="E2229"/>
          <cell r="F2229"/>
          <cell r="G2229"/>
          <cell r="H2229"/>
          <cell r="I2229"/>
          <cell r="J2229"/>
          <cell r="L2229"/>
        </row>
        <row r="2230">
          <cell r="A2230"/>
          <cell r="D2230"/>
          <cell r="E2230"/>
          <cell r="F2230"/>
          <cell r="G2230"/>
          <cell r="H2230"/>
          <cell r="I2230"/>
          <cell r="J2230"/>
          <cell r="L2230"/>
        </row>
        <row r="2231">
          <cell r="A2231"/>
          <cell r="D2231"/>
          <cell r="E2231"/>
          <cell r="F2231"/>
          <cell r="G2231"/>
          <cell r="H2231"/>
          <cell r="I2231"/>
          <cell r="J2231"/>
          <cell r="L2231"/>
        </row>
        <row r="2232">
          <cell r="A2232"/>
          <cell r="D2232"/>
          <cell r="E2232"/>
          <cell r="F2232"/>
          <cell r="G2232"/>
          <cell r="H2232"/>
          <cell r="I2232"/>
          <cell r="J2232"/>
          <cell r="L2232"/>
        </row>
        <row r="2233">
          <cell r="A2233"/>
          <cell r="D2233"/>
          <cell r="E2233"/>
          <cell r="F2233"/>
          <cell r="G2233"/>
          <cell r="H2233"/>
          <cell r="I2233"/>
          <cell r="J2233"/>
          <cell r="L2233"/>
        </row>
        <row r="2234">
          <cell r="A2234"/>
          <cell r="D2234"/>
          <cell r="E2234"/>
          <cell r="F2234"/>
          <cell r="G2234"/>
          <cell r="H2234"/>
          <cell r="I2234"/>
          <cell r="J2234"/>
          <cell r="L2234"/>
        </row>
        <row r="2235">
          <cell r="A2235"/>
          <cell r="D2235"/>
          <cell r="E2235"/>
          <cell r="F2235"/>
          <cell r="G2235"/>
          <cell r="H2235"/>
          <cell r="I2235"/>
          <cell r="J2235"/>
          <cell r="L2235"/>
        </row>
        <row r="2236">
          <cell r="A2236"/>
          <cell r="D2236"/>
          <cell r="E2236"/>
          <cell r="F2236"/>
          <cell r="G2236"/>
          <cell r="H2236"/>
          <cell r="I2236"/>
          <cell r="J2236"/>
          <cell r="L2236"/>
        </row>
        <row r="2237">
          <cell r="A2237"/>
          <cell r="D2237"/>
          <cell r="E2237"/>
          <cell r="F2237"/>
          <cell r="G2237"/>
          <cell r="H2237"/>
          <cell r="I2237"/>
          <cell r="J2237"/>
          <cell r="L2237"/>
        </row>
        <row r="2238">
          <cell r="A2238"/>
          <cell r="D2238"/>
          <cell r="E2238"/>
          <cell r="F2238"/>
          <cell r="G2238"/>
          <cell r="H2238"/>
          <cell r="I2238"/>
          <cell r="J2238"/>
          <cell r="L2238"/>
        </row>
        <row r="2239">
          <cell r="A2239"/>
          <cell r="D2239"/>
          <cell r="E2239"/>
          <cell r="F2239"/>
          <cell r="G2239"/>
          <cell r="H2239"/>
          <cell r="I2239"/>
          <cell r="J2239"/>
          <cell r="L2239"/>
        </row>
        <row r="2240">
          <cell r="A2240"/>
          <cell r="D2240"/>
          <cell r="E2240"/>
          <cell r="F2240"/>
          <cell r="G2240"/>
          <cell r="H2240"/>
          <cell r="I2240"/>
          <cell r="J2240"/>
          <cell r="L2240"/>
        </row>
        <row r="2241">
          <cell r="A2241"/>
          <cell r="D2241"/>
          <cell r="E2241"/>
          <cell r="F2241"/>
          <cell r="G2241"/>
          <cell r="H2241"/>
          <cell r="I2241"/>
          <cell r="J2241"/>
          <cell r="L2241"/>
        </row>
        <row r="2242">
          <cell r="A2242"/>
          <cell r="D2242"/>
          <cell r="E2242"/>
          <cell r="F2242"/>
          <cell r="G2242"/>
          <cell r="H2242"/>
          <cell r="I2242"/>
          <cell r="J2242"/>
          <cell r="L2242"/>
        </row>
        <row r="2243">
          <cell r="A2243"/>
          <cell r="D2243"/>
          <cell r="E2243"/>
          <cell r="F2243"/>
          <cell r="G2243"/>
          <cell r="H2243"/>
          <cell r="I2243"/>
          <cell r="J2243"/>
          <cell r="L2243"/>
        </row>
        <row r="2244">
          <cell r="A2244"/>
          <cell r="D2244"/>
          <cell r="E2244"/>
          <cell r="F2244"/>
          <cell r="G2244"/>
          <cell r="H2244"/>
          <cell r="I2244"/>
          <cell r="J2244"/>
          <cell r="L2244"/>
        </row>
        <row r="2245">
          <cell r="A2245"/>
          <cell r="D2245"/>
          <cell r="E2245"/>
          <cell r="F2245"/>
          <cell r="G2245"/>
          <cell r="H2245"/>
          <cell r="I2245"/>
          <cell r="J2245"/>
          <cell r="L2245"/>
        </row>
        <row r="2246">
          <cell r="A2246"/>
          <cell r="D2246"/>
          <cell r="E2246"/>
          <cell r="F2246"/>
          <cell r="G2246"/>
          <cell r="H2246"/>
          <cell r="I2246"/>
          <cell r="J2246"/>
          <cell r="L2246"/>
        </row>
        <row r="2247">
          <cell r="A2247"/>
          <cell r="D2247"/>
          <cell r="E2247"/>
          <cell r="F2247"/>
          <cell r="G2247"/>
          <cell r="H2247"/>
          <cell r="I2247"/>
          <cell r="J2247"/>
          <cell r="L2247"/>
        </row>
        <row r="2248">
          <cell r="A2248"/>
          <cell r="D2248"/>
          <cell r="E2248"/>
          <cell r="F2248"/>
          <cell r="G2248"/>
          <cell r="H2248"/>
          <cell r="I2248"/>
          <cell r="J2248"/>
          <cell r="L2248"/>
        </row>
        <row r="2249">
          <cell r="A2249"/>
          <cell r="D2249"/>
          <cell r="E2249"/>
          <cell r="F2249"/>
          <cell r="G2249"/>
          <cell r="H2249"/>
          <cell r="I2249"/>
          <cell r="J2249"/>
          <cell r="L2249"/>
        </row>
        <row r="2250">
          <cell r="A2250"/>
          <cell r="D2250"/>
          <cell r="E2250"/>
          <cell r="F2250"/>
          <cell r="G2250"/>
          <cell r="H2250"/>
          <cell r="I2250"/>
          <cell r="J2250"/>
          <cell r="L2250"/>
        </row>
        <row r="2251">
          <cell r="A2251"/>
          <cell r="D2251"/>
          <cell r="E2251"/>
          <cell r="F2251"/>
          <cell r="G2251"/>
          <cell r="H2251"/>
          <cell r="I2251"/>
          <cell r="J2251"/>
          <cell r="L2251"/>
        </row>
        <row r="2252">
          <cell r="A2252"/>
          <cell r="D2252"/>
          <cell r="E2252"/>
          <cell r="F2252"/>
          <cell r="G2252"/>
          <cell r="H2252"/>
          <cell r="I2252"/>
          <cell r="J2252"/>
          <cell r="L2252"/>
        </row>
        <row r="2253">
          <cell r="A2253"/>
          <cell r="D2253"/>
          <cell r="E2253"/>
          <cell r="F2253"/>
          <cell r="G2253"/>
          <cell r="H2253"/>
          <cell r="I2253"/>
          <cell r="J2253"/>
          <cell r="L2253"/>
        </row>
        <row r="2254">
          <cell r="A2254"/>
          <cell r="D2254"/>
          <cell r="E2254"/>
          <cell r="F2254"/>
          <cell r="G2254"/>
          <cell r="H2254"/>
          <cell r="I2254"/>
          <cell r="J2254"/>
          <cell r="L2254"/>
        </row>
        <row r="2255">
          <cell r="A2255"/>
          <cell r="D2255"/>
          <cell r="E2255"/>
          <cell r="F2255"/>
          <cell r="G2255"/>
          <cell r="H2255"/>
          <cell r="I2255"/>
          <cell r="J2255"/>
          <cell r="L2255"/>
        </row>
        <row r="2256">
          <cell r="A2256"/>
          <cell r="D2256"/>
          <cell r="E2256"/>
          <cell r="F2256"/>
          <cell r="G2256"/>
          <cell r="H2256"/>
          <cell r="I2256"/>
          <cell r="J2256"/>
          <cell r="L2256"/>
        </row>
        <row r="2257">
          <cell r="A2257"/>
          <cell r="D2257"/>
          <cell r="E2257"/>
          <cell r="F2257"/>
          <cell r="G2257"/>
          <cell r="H2257"/>
          <cell r="I2257"/>
          <cell r="J2257"/>
          <cell r="L2257"/>
        </row>
        <row r="2258">
          <cell r="A2258"/>
          <cell r="D2258"/>
          <cell r="E2258"/>
          <cell r="F2258"/>
          <cell r="G2258"/>
          <cell r="H2258"/>
          <cell r="I2258"/>
          <cell r="J2258"/>
          <cell r="L2258"/>
        </row>
        <row r="2259">
          <cell r="A2259"/>
          <cell r="D2259"/>
          <cell r="E2259"/>
          <cell r="F2259"/>
          <cell r="G2259"/>
          <cell r="H2259"/>
          <cell r="I2259"/>
          <cell r="J2259"/>
          <cell r="L2259"/>
        </row>
        <row r="2260">
          <cell r="A2260"/>
          <cell r="D2260"/>
          <cell r="E2260"/>
          <cell r="F2260"/>
          <cell r="G2260"/>
          <cell r="H2260"/>
          <cell r="I2260"/>
          <cell r="J2260"/>
          <cell r="L2260"/>
        </row>
        <row r="2261">
          <cell r="A2261"/>
          <cell r="D2261"/>
          <cell r="E2261"/>
          <cell r="F2261"/>
          <cell r="G2261"/>
          <cell r="H2261"/>
          <cell r="I2261"/>
          <cell r="J2261"/>
          <cell r="L2261"/>
        </row>
        <row r="2262">
          <cell r="A2262"/>
          <cell r="D2262"/>
          <cell r="E2262"/>
          <cell r="F2262"/>
          <cell r="G2262"/>
          <cell r="H2262"/>
          <cell r="I2262"/>
          <cell r="J2262"/>
          <cell r="L2262"/>
        </row>
        <row r="2263">
          <cell r="A2263"/>
          <cell r="D2263"/>
          <cell r="E2263"/>
          <cell r="F2263"/>
          <cell r="G2263"/>
          <cell r="H2263"/>
          <cell r="I2263"/>
          <cell r="J2263"/>
          <cell r="L2263"/>
        </row>
        <row r="2264">
          <cell r="A2264"/>
          <cell r="D2264"/>
          <cell r="E2264"/>
          <cell r="F2264"/>
          <cell r="G2264"/>
          <cell r="H2264"/>
          <cell r="I2264"/>
          <cell r="J2264"/>
          <cell r="L2264"/>
        </row>
        <row r="2265">
          <cell r="A2265"/>
          <cell r="D2265"/>
          <cell r="E2265"/>
          <cell r="F2265"/>
          <cell r="G2265"/>
          <cell r="H2265"/>
          <cell r="I2265"/>
          <cell r="J2265"/>
          <cell r="L2265"/>
        </row>
        <row r="2266">
          <cell r="A2266"/>
          <cell r="D2266"/>
          <cell r="E2266"/>
          <cell r="F2266"/>
          <cell r="G2266"/>
          <cell r="H2266"/>
          <cell r="I2266"/>
          <cell r="J2266"/>
          <cell r="L2266"/>
        </row>
        <row r="2267">
          <cell r="A2267"/>
          <cell r="D2267"/>
          <cell r="E2267"/>
          <cell r="F2267"/>
          <cell r="G2267"/>
          <cell r="H2267"/>
          <cell r="I2267"/>
          <cell r="J2267"/>
          <cell r="L2267"/>
        </row>
        <row r="2268">
          <cell r="A2268"/>
          <cell r="D2268"/>
          <cell r="E2268"/>
          <cell r="F2268"/>
          <cell r="G2268"/>
          <cell r="H2268"/>
          <cell r="I2268"/>
          <cell r="J2268"/>
          <cell r="L2268"/>
        </row>
        <row r="2269">
          <cell r="A2269"/>
          <cell r="D2269"/>
          <cell r="E2269"/>
          <cell r="F2269"/>
          <cell r="G2269"/>
          <cell r="H2269"/>
          <cell r="I2269"/>
          <cell r="J2269"/>
          <cell r="L2269"/>
        </row>
        <row r="2270">
          <cell r="A2270"/>
          <cell r="D2270"/>
          <cell r="E2270"/>
          <cell r="F2270"/>
          <cell r="G2270"/>
          <cell r="H2270"/>
          <cell r="I2270"/>
          <cell r="J2270"/>
          <cell r="L2270"/>
        </row>
        <row r="2271">
          <cell r="A2271"/>
          <cell r="D2271"/>
          <cell r="E2271"/>
          <cell r="F2271"/>
          <cell r="G2271"/>
          <cell r="H2271"/>
          <cell r="I2271"/>
          <cell r="J2271"/>
          <cell r="L2271"/>
        </row>
        <row r="2272">
          <cell r="A2272"/>
          <cell r="D2272"/>
          <cell r="E2272"/>
          <cell r="F2272"/>
          <cell r="G2272"/>
          <cell r="H2272"/>
          <cell r="I2272"/>
          <cell r="J2272"/>
          <cell r="L2272"/>
        </row>
        <row r="2273">
          <cell r="A2273"/>
          <cell r="D2273"/>
          <cell r="E2273"/>
          <cell r="F2273"/>
          <cell r="G2273"/>
          <cell r="H2273"/>
          <cell r="I2273"/>
          <cell r="J2273"/>
          <cell r="L2273"/>
        </row>
        <row r="2274">
          <cell r="A2274"/>
          <cell r="D2274"/>
          <cell r="E2274"/>
          <cell r="F2274"/>
          <cell r="G2274"/>
          <cell r="H2274"/>
          <cell r="I2274"/>
          <cell r="J2274"/>
          <cell r="L2274"/>
        </row>
        <row r="2275">
          <cell r="A2275"/>
          <cell r="D2275"/>
          <cell r="E2275"/>
          <cell r="F2275"/>
          <cell r="G2275"/>
          <cell r="H2275"/>
          <cell r="I2275"/>
          <cell r="J2275"/>
          <cell r="L2275"/>
        </row>
        <row r="2276">
          <cell r="A2276"/>
          <cell r="D2276"/>
          <cell r="E2276"/>
          <cell r="F2276"/>
          <cell r="G2276"/>
          <cell r="H2276"/>
          <cell r="I2276"/>
          <cell r="J2276"/>
          <cell r="L2276"/>
        </row>
        <row r="2277">
          <cell r="A2277"/>
          <cell r="D2277"/>
          <cell r="E2277"/>
          <cell r="F2277"/>
          <cell r="G2277"/>
          <cell r="H2277"/>
          <cell r="I2277"/>
          <cell r="J2277"/>
          <cell r="L2277"/>
        </row>
        <row r="2278">
          <cell r="A2278"/>
          <cell r="D2278"/>
          <cell r="E2278"/>
          <cell r="F2278"/>
          <cell r="G2278"/>
          <cell r="H2278"/>
          <cell r="I2278"/>
          <cell r="J2278"/>
          <cell r="L2278"/>
        </row>
        <row r="2279">
          <cell r="A2279"/>
          <cell r="D2279"/>
          <cell r="E2279"/>
          <cell r="F2279"/>
          <cell r="G2279"/>
          <cell r="H2279"/>
          <cell r="I2279"/>
          <cell r="J2279"/>
          <cell r="L2279"/>
        </row>
        <row r="2280">
          <cell r="A2280"/>
          <cell r="D2280"/>
          <cell r="E2280"/>
          <cell r="F2280"/>
          <cell r="G2280"/>
          <cell r="H2280"/>
          <cell r="I2280"/>
          <cell r="J2280"/>
          <cell r="L2280"/>
        </row>
        <row r="2281">
          <cell r="A2281"/>
          <cell r="D2281"/>
          <cell r="E2281"/>
          <cell r="F2281"/>
          <cell r="G2281"/>
          <cell r="H2281"/>
          <cell r="I2281"/>
          <cell r="J2281"/>
          <cell r="L2281"/>
        </row>
        <row r="2282">
          <cell r="A2282"/>
          <cell r="D2282"/>
          <cell r="E2282"/>
          <cell r="F2282"/>
          <cell r="G2282"/>
          <cell r="H2282"/>
          <cell r="I2282"/>
          <cell r="J2282"/>
          <cell r="L2282"/>
        </row>
        <row r="2283">
          <cell r="A2283"/>
          <cell r="D2283"/>
          <cell r="E2283"/>
          <cell r="F2283"/>
          <cell r="G2283"/>
          <cell r="H2283"/>
          <cell r="I2283"/>
          <cell r="J2283"/>
          <cell r="L2283"/>
        </row>
        <row r="2284">
          <cell r="A2284"/>
          <cell r="D2284"/>
          <cell r="E2284"/>
          <cell r="F2284"/>
          <cell r="G2284"/>
          <cell r="H2284"/>
          <cell r="I2284"/>
          <cell r="J2284"/>
          <cell r="L2284"/>
        </row>
        <row r="2285">
          <cell r="A2285"/>
          <cell r="D2285"/>
          <cell r="E2285"/>
          <cell r="F2285"/>
          <cell r="G2285"/>
          <cell r="H2285"/>
          <cell r="I2285"/>
          <cell r="J2285"/>
          <cell r="L2285"/>
        </row>
        <row r="2286">
          <cell r="A2286"/>
          <cell r="D2286"/>
          <cell r="E2286"/>
          <cell r="F2286"/>
          <cell r="G2286"/>
          <cell r="H2286"/>
          <cell r="I2286"/>
          <cell r="J2286"/>
          <cell r="L2286"/>
        </row>
        <row r="2287">
          <cell r="A2287"/>
          <cell r="D2287"/>
          <cell r="E2287"/>
          <cell r="F2287"/>
          <cell r="G2287"/>
          <cell r="H2287"/>
          <cell r="I2287"/>
          <cell r="J2287"/>
          <cell r="L2287"/>
        </row>
        <row r="2288">
          <cell r="A2288"/>
          <cell r="D2288"/>
          <cell r="E2288"/>
          <cell r="F2288"/>
          <cell r="G2288"/>
          <cell r="H2288"/>
          <cell r="I2288"/>
          <cell r="J2288"/>
          <cell r="L2288"/>
        </row>
        <row r="2289">
          <cell r="A2289"/>
          <cell r="D2289"/>
          <cell r="E2289"/>
          <cell r="F2289"/>
          <cell r="G2289"/>
          <cell r="H2289"/>
          <cell r="I2289"/>
          <cell r="J2289"/>
          <cell r="L2289"/>
        </row>
        <row r="2290">
          <cell r="A2290"/>
          <cell r="D2290"/>
          <cell r="E2290"/>
          <cell r="F2290"/>
          <cell r="G2290"/>
          <cell r="H2290"/>
          <cell r="I2290"/>
          <cell r="J2290"/>
          <cell r="L2290"/>
        </row>
        <row r="2291">
          <cell r="A2291"/>
          <cell r="D2291"/>
          <cell r="E2291"/>
          <cell r="F2291"/>
          <cell r="G2291"/>
          <cell r="H2291"/>
          <cell r="I2291"/>
          <cell r="J2291"/>
          <cell r="L2291"/>
        </row>
        <row r="2292">
          <cell r="A2292"/>
          <cell r="D2292"/>
          <cell r="E2292"/>
          <cell r="F2292"/>
          <cell r="G2292"/>
          <cell r="H2292"/>
          <cell r="I2292"/>
          <cell r="J2292"/>
          <cell r="L2292"/>
        </row>
        <row r="2293">
          <cell r="A2293"/>
          <cell r="D2293"/>
          <cell r="E2293"/>
          <cell r="F2293"/>
          <cell r="G2293"/>
          <cell r="H2293"/>
          <cell r="I2293"/>
          <cell r="J2293"/>
          <cell r="L2293"/>
        </row>
        <row r="2294">
          <cell r="A2294"/>
          <cell r="D2294"/>
          <cell r="E2294"/>
          <cell r="F2294"/>
          <cell r="G2294"/>
          <cell r="H2294"/>
          <cell r="I2294"/>
          <cell r="J2294"/>
          <cell r="L2294"/>
        </row>
        <row r="2295">
          <cell r="A2295"/>
          <cell r="D2295"/>
          <cell r="E2295"/>
          <cell r="F2295"/>
          <cell r="G2295"/>
          <cell r="H2295"/>
          <cell r="I2295"/>
          <cell r="J2295"/>
          <cell r="L2295"/>
        </row>
        <row r="2296">
          <cell r="A2296"/>
          <cell r="D2296"/>
          <cell r="E2296"/>
          <cell r="F2296"/>
          <cell r="G2296"/>
          <cell r="H2296"/>
          <cell r="I2296"/>
          <cell r="J2296"/>
          <cell r="L2296"/>
        </row>
        <row r="2297">
          <cell r="A2297"/>
          <cell r="D2297"/>
          <cell r="E2297"/>
          <cell r="F2297"/>
          <cell r="G2297"/>
          <cell r="H2297"/>
          <cell r="I2297"/>
          <cell r="J2297"/>
          <cell r="L2297"/>
        </row>
        <row r="2298">
          <cell r="A2298"/>
          <cell r="D2298"/>
          <cell r="E2298"/>
          <cell r="F2298"/>
          <cell r="G2298"/>
          <cell r="H2298"/>
          <cell r="I2298"/>
          <cell r="J2298"/>
          <cell r="L2298"/>
        </row>
        <row r="2299">
          <cell r="A2299"/>
          <cell r="D2299"/>
          <cell r="E2299"/>
          <cell r="F2299"/>
          <cell r="G2299"/>
          <cell r="H2299"/>
          <cell r="I2299"/>
          <cell r="J2299"/>
          <cell r="L2299"/>
        </row>
        <row r="2300">
          <cell r="A2300"/>
          <cell r="D2300"/>
          <cell r="E2300"/>
          <cell r="F2300"/>
          <cell r="G2300"/>
          <cell r="H2300"/>
          <cell r="I2300"/>
          <cell r="J2300"/>
          <cell r="L2300"/>
        </row>
        <row r="2301">
          <cell r="A2301"/>
          <cell r="D2301"/>
          <cell r="E2301"/>
          <cell r="F2301"/>
          <cell r="G2301"/>
          <cell r="H2301"/>
          <cell r="I2301"/>
          <cell r="J2301"/>
          <cell r="L2301"/>
        </row>
        <row r="2302">
          <cell r="A2302"/>
          <cell r="D2302"/>
          <cell r="E2302"/>
          <cell r="F2302"/>
          <cell r="G2302"/>
          <cell r="H2302"/>
          <cell r="I2302"/>
          <cell r="J2302"/>
          <cell r="L2302"/>
        </row>
        <row r="2303">
          <cell r="A2303"/>
          <cell r="D2303"/>
          <cell r="E2303"/>
          <cell r="F2303"/>
          <cell r="G2303"/>
          <cell r="H2303"/>
          <cell r="I2303"/>
          <cell r="J2303"/>
          <cell r="L2303"/>
        </row>
        <row r="2304">
          <cell r="A2304"/>
          <cell r="D2304"/>
          <cell r="E2304"/>
          <cell r="F2304"/>
          <cell r="G2304"/>
          <cell r="H2304"/>
          <cell r="I2304"/>
          <cell r="J2304"/>
          <cell r="L2304"/>
        </row>
        <row r="2305">
          <cell r="A2305"/>
          <cell r="D2305"/>
          <cell r="E2305"/>
          <cell r="F2305"/>
          <cell r="G2305"/>
          <cell r="H2305"/>
          <cell r="I2305"/>
          <cell r="J2305"/>
          <cell r="L2305"/>
        </row>
        <row r="2306">
          <cell r="A2306"/>
          <cell r="D2306"/>
          <cell r="E2306"/>
          <cell r="F2306"/>
          <cell r="G2306"/>
          <cell r="H2306"/>
          <cell r="I2306"/>
          <cell r="J2306"/>
          <cell r="L2306"/>
        </row>
        <row r="2307">
          <cell r="A2307"/>
          <cell r="D2307"/>
          <cell r="E2307"/>
          <cell r="F2307"/>
          <cell r="G2307"/>
          <cell r="H2307"/>
          <cell r="I2307"/>
          <cell r="J2307"/>
          <cell r="L2307"/>
        </row>
        <row r="2308">
          <cell r="A2308"/>
          <cell r="D2308"/>
          <cell r="E2308"/>
          <cell r="F2308"/>
          <cell r="G2308"/>
          <cell r="H2308"/>
          <cell r="I2308"/>
          <cell r="J2308"/>
          <cell r="L2308"/>
        </row>
        <row r="2309">
          <cell r="A2309"/>
          <cell r="D2309"/>
          <cell r="E2309"/>
          <cell r="F2309"/>
          <cell r="G2309"/>
          <cell r="H2309"/>
          <cell r="I2309"/>
          <cell r="J2309"/>
          <cell r="L2309"/>
        </row>
        <row r="2310">
          <cell r="A2310"/>
          <cell r="D2310"/>
          <cell r="E2310"/>
          <cell r="F2310"/>
          <cell r="G2310"/>
          <cell r="H2310"/>
          <cell r="I2310"/>
          <cell r="J2310"/>
          <cell r="L2310"/>
        </row>
        <row r="2311">
          <cell r="A2311"/>
          <cell r="D2311"/>
          <cell r="E2311"/>
          <cell r="F2311"/>
          <cell r="G2311"/>
          <cell r="H2311"/>
          <cell r="I2311"/>
          <cell r="J2311"/>
          <cell r="L2311"/>
        </row>
        <row r="2312">
          <cell r="A2312"/>
          <cell r="D2312"/>
          <cell r="E2312"/>
          <cell r="F2312"/>
          <cell r="G2312"/>
          <cell r="H2312"/>
          <cell r="I2312"/>
          <cell r="J2312"/>
          <cell r="L2312"/>
        </row>
        <row r="2313">
          <cell r="A2313"/>
          <cell r="D2313"/>
          <cell r="E2313"/>
          <cell r="F2313"/>
          <cell r="G2313"/>
          <cell r="H2313"/>
          <cell r="I2313"/>
          <cell r="J2313"/>
          <cell r="L2313"/>
        </row>
        <row r="2314">
          <cell r="A2314"/>
          <cell r="D2314"/>
          <cell r="E2314"/>
          <cell r="F2314"/>
          <cell r="G2314"/>
          <cell r="H2314"/>
          <cell r="I2314"/>
          <cell r="J2314"/>
          <cell r="L2314"/>
        </row>
        <row r="2315">
          <cell r="A2315"/>
          <cell r="D2315"/>
          <cell r="E2315"/>
          <cell r="F2315"/>
          <cell r="G2315"/>
          <cell r="H2315"/>
          <cell r="I2315"/>
          <cell r="J2315"/>
          <cell r="L2315"/>
        </row>
        <row r="2316">
          <cell r="A2316"/>
          <cell r="D2316"/>
          <cell r="E2316"/>
          <cell r="F2316"/>
          <cell r="G2316"/>
          <cell r="H2316"/>
          <cell r="I2316"/>
          <cell r="J2316"/>
          <cell r="L2316"/>
        </row>
        <row r="2317">
          <cell r="A2317"/>
          <cell r="D2317"/>
          <cell r="E2317"/>
          <cell r="F2317"/>
          <cell r="G2317"/>
          <cell r="H2317"/>
          <cell r="I2317"/>
          <cell r="J2317"/>
          <cell r="L2317"/>
        </row>
        <row r="2318">
          <cell r="A2318"/>
          <cell r="D2318"/>
          <cell r="E2318"/>
          <cell r="F2318"/>
          <cell r="G2318"/>
          <cell r="H2318"/>
          <cell r="I2318"/>
          <cell r="J2318"/>
          <cell r="L2318"/>
        </row>
        <row r="2319">
          <cell r="A2319"/>
          <cell r="D2319"/>
          <cell r="E2319"/>
          <cell r="F2319"/>
          <cell r="G2319"/>
          <cell r="H2319"/>
          <cell r="I2319"/>
          <cell r="J2319"/>
          <cell r="L2319"/>
        </row>
        <row r="2320">
          <cell r="A2320"/>
          <cell r="D2320"/>
          <cell r="E2320"/>
          <cell r="F2320"/>
          <cell r="G2320"/>
          <cell r="H2320"/>
          <cell r="I2320"/>
          <cell r="J2320"/>
          <cell r="L2320"/>
        </row>
        <row r="2321">
          <cell r="A2321"/>
          <cell r="D2321"/>
          <cell r="E2321"/>
          <cell r="F2321"/>
          <cell r="G2321"/>
          <cell r="H2321"/>
          <cell r="I2321"/>
          <cell r="J2321"/>
          <cell r="L2321"/>
        </row>
        <row r="2322">
          <cell r="A2322"/>
          <cell r="D2322"/>
          <cell r="E2322"/>
          <cell r="F2322"/>
          <cell r="G2322"/>
          <cell r="H2322"/>
          <cell r="I2322"/>
          <cell r="J2322"/>
          <cell r="L2322"/>
        </row>
        <row r="2323">
          <cell r="A2323"/>
          <cell r="D2323"/>
          <cell r="E2323"/>
          <cell r="F2323"/>
          <cell r="G2323"/>
          <cell r="H2323"/>
          <cell r="I2323"/>
          <cell r="J2323"/>
          <cell r="L2323"/>
        </row>
        <row r="2324">
          <cell r="A2324"/>
          <cell r="D2324"/>
          <cell r="E2324"/>
          <cell r="F2324"/>
          <cell r="G2324"/>
          <cell r="H2324"/>
          <cell r="I2324"/>
          <cell r="J2324"/>
          <cell r="L2324"/>
        </row>
        <row r="2325">
          <cell r="A2325"/>
          <cell r="D2325"/>
          <cell r="E2325"/>
          <cell r="F2325"/>
          <cell r="G2325"/>
          <cell r="H2325"/>
          <cell r="I2325"/>
          <cell r="J2325"/>
          <cell r="L2325"/>
        </row>
        <row r="2326">
          <cell r="A2326"/>
          <cell r="D2326"/>
          <cell r="E2326"/>
          <cell r="F2326"/>
          <cell r="G2326"/>
          <cell r="H2326"/>
          <cell r="I2326"/>
          <cell r="J2326"/>
          <cell r="L2326"/>
        </row>
        <row r="2327">
          <cell r="A2327"/>
          <cell r="D2327"/>
          <cell r="E2327"/>
          <cell r="F2327"/>
          <cell r="G2327"/>
          <cell r="H2327"/>
          <cell r="I2327"/>
          <cell r="J2327"/>
          <cell r="L2327"/>
        </row>
        <row r="2328">
          <cell r="A2328"/>
          <cell r="D2328"/>
          <cell r="E2328"/>
          <cell r="F2328"/>
          <cell r="G2328"/>
          <cell r="H2328"/>
          <cell r="I2328"/>
          <cell r="J2328"/>
          <cell r="L2328"/>
        </row>
        <row r="2329">
          <cell r="A2329"/>
          <cell r="D2329"/>
          <cell r="E2329"/>
          <cell r="F2329"/>
          <cell r="G2329"/>
          <cell r="H2329"/>
          <cell r="I2329"/>
          <cell r="J2329"/>
          <cell r="L2329"/>
        </row>
        <row r="2330">
          <cell r="A2330"/>
          <cell r="D2330"/>
          <cell r="E2330"/>
          <cell r="F2330"/>
          <cell r="G2330"/>
          <cell r="H2330"/>
          <cell r="I2330"/>
          <cell r="J2330"/>
          <cell r="L2330"/>
        </row>
        <row r="2331">
          <cell r="A2331"/>
          <cell r="D2331"/>
          <cell r="E2331"/>
          <cell r="F2331"/>
          <cell r="G2331"/>
          <cell r="H2331"/>
          <cell r="I2331"/>
          <cell r="J2331"/>
          <cell r="L2331"/>
        </row>
        <row r="2332">
          <cell r="A2332"/>
          <cell r="D2332"/>
          <cell r="E2332"/>
          <cell r="F2332"/>
          <cell r="G2332"/>
          <cell r="H2332"/>
          <cell r="I2332"/>
          <cell r="J2332"/>
          <cell r="L2332"/>
        </row>
        <row r="2333">
          <cell r="A2333"/>
          <cell r="D2333"/>
          <cell r="E2333"/>
          <cell r="F2333"/>
          <cell r="G2333"/>
          <cell r="H2333"/>
          <cell r="I2333"/>
          <cell r="J2333"/>
          <cell r="L2333"/>
        </row>
        <row r="2334">
          <cell r="A2334"/>
          <cell r="D2334"/>
          <cell r="E2334"/>
          <cell r="F2334"/>
          <cell r="G2334"/>
          <cell r="H2334"/>
          <cell r="I2334"/>
          <cell r="J2334"/>
          <cell r="L2334"/>
        </row>
        <row r="2335">
          <cell r="A2335"/>
          <cell r="D2335"/>
          <cell r="E2335"/>
          <cell r="F2335"/>
          <cell r="G2335"/>
          <cell r="H2335"/>
          <cell r="I2335"/>
          <cell r="J2335"/>
          <cell r="L2335"/>
        </row>
        <row r="2336">
          <cell r="A2336"/>
          <cell r="D2336"/>
          <cell r="E2336"/>
          <cell r="F2336"/>
          <cell r="G2336"/>
          <cell r="H2336"/>
          <cell r="I2336"/>
          <cell r="J2336"/>
          <cell r="L2336"/>
        </row>
        <row r="2337">
          <cell r="A2337"/>
          <cell r="D2337"/>
          <cell r="E2337"/>
          <cell r="F2337"/>
          <cell r="G2337"/>
          <cell r="H2337"/>
          <cell r="I2337"/>
          <cell r="J2337"/>
          <cell r="L2337"/>
        </row>
        <row r="2338">
          <cell r="A2338"/>
          <cell r="D2338"/>
          <cell r="E2338"/>
          <cell r="F2338"/>
          <cell r="G2338"/>
          <cell r="H2338"/>
          <cell r="I2338"/>
          <cell r="J2338"/>
          <cell r="L2338"/>
        </row>
        <row r="2339">
          <cell r="A2339"/>
          <cell r="D2339"/>
          <cell r="E2339"/>
          <cell r="F2339"/>
          <cell r="G2339"/>
          <cell r="H2339"/>
          <cell r="I2339"/>
          <cell r="J2339"/>
          <cell r="L2339"/>
        </row>
        <row r="2340">
          <cell r="A2340"/>
          <cell r="D2340"/>
          <cell r="E2340"/>
          <cell r="F2340"/>
          <cell r="G2340"/>
          <cell r="H2340"/>
          <cell r="I2340"/>
          <cell r="J2340"/>
          <cell r="L2340"/>
        </row>
        <row r="2341">
          <cell r="A2341"/>
          <cell r="D2341"/>
          <cell r="E2341"/>
          <cell r="F2341"/>
          <cell r="G2341"/>
          <cell r="H2341"/>
          <cell r="I2341"/>
          <cell r="J2341"/>
          <cell r="L2341"/>
        </row>
        <row r="2342">
          <cell r="A2342"/>
          <cell r="D2342"/>
          <cell r="E2342"/>
          <cell r="F2342"/>
          <cell r="G2342"/>
          <cell r="H2342"/>
          <cell r="I2342"/>
          <cell r="J2342"/>
          <cell r="L2342"/>
        </row>
        <row r="2343">
          <cell r="A2343"/>
          <cell r="D2343"/>
          <cell r="E2343"/>
          <cell r="F2343"/>
          <cell r="G2343"/>
          <cell r="H2343"/>
          <cell r="I2343"/>
          <cell r="J2343"/>
          <cell r="L2343"/>
        </row>
        <row r="2344">
          <cell r="A2344"/>
          <cell r="D2344"/>
          <cell r="E2344"/>
          <cell r="F2344"/>
          <cell r="G2344"/>
          <cell r="H2344"/>
          <cell r="I2344"/>
          <cell r="J2344"/>
          <cell r="L2344"/>
        </row>
        <row r="2345">
          <cell r="A2345"/>
          <cell r="D2345"/>
          <cell r="E2345"/>
          <cell r="F2345"/>
          <cell r="G2345"/>
          <cell r="H2345"/>
          <cell r="I2345"/>
          <cell r="J2345"/>
          <cell r="L2345"/>
        </row>
        <row r="2346">
          <cell r="A2346"/>
          <cell r="D2346"/>
          <cell r="E2346"/>
          <cell r="F2346"/>
          <cell r="G2346"/>
          <cell r="H2346"/>
          <cell r="I2346"/>
          <cell r="J2346"/>
          <cell r="L2346"/>
        </row>
        <row r="2347">
          <cell r="A2347"/>
          <cell r="D2347"/>
          <cell r="E2347"/>
          <cell r="F2347"/>
          <cell r="G2347"/>
          <cell r="H2347"/>
          <cell r="I2347"/>
          <cell r="J2347"/>
          <cell r="L2347"/>
        </row>
        <row r="2348">
          <cell r="A2348"/>
          <cell r="D2348"/>
          <cell r="E2348"/>
          <cell r="F2348"/>
          <cell r="G2348"/>
          <cell r="H2348"/>
          <cell r="I2348"/>
          <cell r="J2348"/>
          <cell r="L2348"/>
        </row>
        <row r="2349">
          <cell r="A2349"/>
          <cell r="D2349"/>
          <cell r="E2349"/>
          <cell r="F2349"/>
          <cell r="G2349"/>
          <cell r="H2349"/>
          <cell r="I2349"/>
          <cell r="J2349"/>
          <cell r="L2349"/>
        </row>
        <row r="2350">
          <cell r="A2350"/>
          <cell r="D2350"/>
          <cell r="E2350"/>
          <cell r="F2350"/>
          <cell r="G2350"/>
          <cell r="H2350"/>
          <cell r="I2350"/>
          <cell r="J2350"/>
          <cell r="L2350"/>
        </row>
        <row r="2351">
          <cell r="A2351"/>
          <cell r="D2351"/>
          <cell r="E2351"/>
          <cell r="F2351"/>
          <cell r="G2351"/>
          <cell r="H2351"/>
          <cell r="I2351"/>
          <cell r="J2351"/>
          <cell r="L2351"/>
        </row>
        <row r="2352">
          <cell r="A2352"/>
          <cell r="D2352"/>
          <cell r="E2352"/>
          <cell r="F2352"/>
          <cell r="G2352"/>
          <cell r="H2352"/>
          <cell r="I2352"/>
          <cell r="J2352"/>
          <cell r="L2352"/>
        </row>
        <row r="2353">
          <cell r="A2353"/>
          <cell r="D2353"/>
          <cell r="E2353"/>
          <cell r="F2353"/>
          <cell r="G2353"/>
          <cell r="H2353"/>
          <cell r="I2353"/>
          <cell r="J2353"/>
          <cell r="L2353"/>
        </row>
        <row r="2354">
          <cell r="A2354"/>
          <cell r="D2354"/>
          <cell r="E2354"/>
          <cell r="F2354"/>
          <cell r="G2354"/>
          <cell r="H2354"/>
          <cell r="I2354"/>
          <cell r="J2354"/>
          <cell r="L2354"/>
        </row>
        <row r="2355">
          <cell r="A2355"/>
          <cell r="D2355"/>
          <cell r="E2355"/>
          <cell r="F2355"/>
          <cell r="G2355"/>
          <cell r="H2355"/>
          <cell r="I2355"/>
          <cell r="J2355"/>
          <cell r="L2355"/>
        </row>
        <row r="2356">
          <cell r="A2356"/>
          <cell r="D2356"/>
          <cell r="E2356"/>
          <cell r="F2356"/>
          <cell r="G2356"/>
          <cell r="H2356"/>
          <cell r="I2356"/>
          <cell r="J2356"/>
          <cell r="L2356"/>
        </row>
        <row r="2357">
          <cell r="A2357"/>
          <cell r="D2357"/>
          <cell r="E2357"/>
          <cell r="F2357"/>
          <cell r="G2357"/>
          <cell r="H2357"/>
          <cell r="I2357"/>
          <cell r="J2357"/>
          <cell r="L2357"/>
        </row>
        <row r="2358">
          <cell r="A2358"/>
          <cell r="D2358"/>
          <cell r="E2358"/>
          <cell r="F2358"/>
          <cell r="G2358"/>
          <cell r="H2358"/>
          <cell r="I2358"/>
          <cell r="J2358"/>
          <cell r="L2358"/>
        </row>
        <row r="2359">
          <cell r="A2359"/>
          <cell r="D2359"/>
          <cell r="E2359"/>
          <cell r="F2359"/>
          <cell r="G2359"/>
          <cell r="H2359"/>
          <cell r="I2359"/>
          <cell r="J2359"/>
          <cell r="L2359"/>
        </row>
        <row r="2360">
          <cell r="A2360"/>
          <cell r="D2360"/>
          <cell r="E2360"/>
          <cell r="F2360"/>
          <cell r="G2360"/>
          <cell r="H2360"/>
          <cell r="I2360"/>
          <cell r="J2360"/>
          <cell r="L2360"/>
        </row>
        <row r="2361">
          <cell r="A2361"/>
          <cell r="D2361"/>
          <cell r="E2361"/>
          <cell r="F2361"/>
          <cell r="G2361"/>
          <cell r="H2361"/>
          <cell r="I2361"/>
          <cell r="J2361"/>
          <cell r="L2361"/>
        </row>
        <row r="2362">
          <cell r="A2362"/>
          <cell r="D2362"/>
          <cell r="E2362"/>
          <cell r="F2362"/>
          <cell r="G2362"/>
          <cell r="H2362"/>
          <cell r="I2362"/>
          <cell r="J2362"/>
          <cell r="L2362"/>
        </row>
        <row r="2363">
          <cell r="A2363"/>
          <cell r="D2363"/>
          <cell r="E2363"/>
          <cell r="F2363"/>
          <cell r="G2363"/>
          <cell r="H2363"/>
          <cell r="I2363"/>
          <cell r="J2363"/>
          <cell r="L2363"/>
        </row>
        <row r="2364">
          <cell r="A2364"/>
          <cell r="D2364"/>
          <cell r="E2364"/>
          <cell r="F2364"/>
          <cell r="G2364"/>
          <cell r="H2364"/>
          <cell r="I2364"/>
          <cell r="J2364"/>
          <cell r="L2364"/>
        </row>
        <row r="2365">
          <cell r="A2365"/>
          <cell r="D2365"/>
          <cell r="E2365"/>
          <cell r="F2365"/>
          <cell r="G2365"/>
          <cell r="H2365"/>
          <cell r="I2365"/>
          <cell r="J2365"/>
          <cell r="L2365"/>
        </row>
        <row r="2366">
          <cell r="A2366"/>
          <cell r="D2366"/>
          <cell r="E2366"/>
          <cell r="F2366"/>
          <cell r="G2366"/>
          <cell r="H2366"/>
          <cell r="I2366"/>
          <cell r="J2366"/>
          <cell r="L2366"/>
        </row>
        <row r="2367">
          <cell r="A2367"/>
          <cell r="D2367"/>
          <cell r="E2367"/>
          <cell r="F2367"/>
          <cell r="G2367"/>
          <cell r="H2367"/>
          <cell r="I2367"/>
          <cell r="J2367"/>
          <cell r="L2367"/>
        </row>
        <row r="2368">
          <cell r="A2368"/>
          <cell r="D2368"/>
          <cell r="E2368"/>
          <cell r="F2368"/>
          <cell r="G2368"/>
          <cell r="H2368"/>
          <cell r="I2368"/>
          <cell r="J2368"/>
          <cell r="L2368"/>
        </row>
        <row r="2369">
          <cell r="A2369"/>
          <cell r="D2369"/>
          <cell r="E2369"/>
          <cell r="F2369"/>
          <cell r="G2369"/>
          <cell r="H2369"/>
          <cell r="I2369"/>
          <cell r="J2369"/>
          <cell r="L2369"/>
        </row>
        <row r="2370">
          <cell r="A2370"/>
          <cell r="D2370"/>
          <cell r="E2370"/>
          <cell r="F2370"/>
          <cell r="G2370"/>
          <cell r="H2370"/>
          <cell r="I2370"/>
          <cell r="J2370"/>
          <cell r="L2370"/>
        </row>
        <row r="2371">
          <cell r="A2371"/>
          <cell r="D2371"/>
          <cell r="E2371"/>
          <cell r="F2371"/>
          <cell r="G2371"/>
          <cell r="H2371"/>
          <cell r="I2371"/>
          <cell r="J2371"/>
          <cell r="L2371"/>
        </row>
        <row r="2372">
          <cell r="A2372"/>
          <cell r="D2372"/>
          <cell r="E2372"/>
          <cell r="F2372"/>
          <cell r="G2372"/>
          <cell r="H2372"/>
          <cell r="I2372"/>
          <cell r="J2372"/>
          <cell r="L2372"/>
        </row>
        <row r="2373">
          <cell r="A2373"/>
          <cell r="D2373"/>
          <cell r="E2373"/>
          <cell r="F2373"/>
          <cell r="G2373"/>
          <cell r="H2373"/>
          <cell r="I2373"/>
          <cell r="J2373"/>
          <cell r="L2373"/>
        </row>
        <row r="2374">
          <cell r="A2374"/>
          <cell r="D2374"/>
          <cell r="E2374"/>
          <cell r="F2374"/>
          <cell r="G2374"/>
          <cell r="H2374"/>
          <cell r="I2374"/>
          <cell r="J2374"/>
          <cell r="L2374"/>
        </row>
        <row r="2375">
          <cell r="A2375"/>
          <cell r="D2375"/>
          <cell r="E2375"/>
          <cell r="F2375"/>
          <cell r="G2375"/>
          <cell r="H2375"/>
          <cell r="I2375"/>
          <cell r="J2375"/>
          <cell r="L2375"/>
        </row>
        <row r="2376">
          <cell r="A2376"/>
          <cell r="D2376"/>
          <cell r="E2376"/>
          <cell r="F2376"/>
          <cell r="G2376"/>
          <cell r="H2376"/>
          <cell r="I2376"/>
          <cell r="J2376"/>
          <cell r="L2376"/>
        </row>
        <row r="2377">
          <cell r="A2377"/>
          <cell r="D2377"/>
          <cell r="E2377"/>
          <cell r="F2377"/>
          <cell r="G2377"/>
          <cell r="H2377"/>
          <cell r="I2377"/>
          <cell r="J2377"/>
          <cell r="L2377"/>
        </row>
        <row r="2378">
          <cell r="A2378"/>
          <cell r="D2378"/>
          <cell r="E2378"/>
          <cell r="F2378"/>
          <cell r="G2378"/>
          <cell r="H2378"/>
          <cell r="I2378"/>
          <cell r="J2378"/>
          <cell r="L2378"/>
        </row>
        <row r="2379">
          <cell r="A2379"/>
          <cell r="D2379"/>
          <cell r="E2379"/>
          <cell r="F2379"/>
          <cell r="G2379"/>
          <cell r="H2379"/>
          <cell r="I2379"/>
          <cell r="J2379"/>
          <cell r="L2379"/>
        </row>
        <row r="2380">
          <cell r="A2380"/>
          <cell r="D2380"/>
          <cell r="E2380"/>
          <cell r="F2380"/>
          <cell r="G2380"/>
          <cell r="H2380"/>
          <cell r="I2380"/>
          <cell r="J2380"/>
          <cell r="L2380"/>
        </row>
        <row r="2381">
          <cell r="A2381"/>
          <cell r="D2381"/>
          <cell r="E2381"/>
          <cell r="F2381"/>
          <cell r="G2381"/>
          <cell r="H2381"/>
          <cell r="I2381"/>
          <cell r="J2381"/>
          <cell r="L2381"/>
        </row>
        <row r="2382">
          <cell r="A2382"/>
          <cell r="D2382"/>
          <cell r="E2382"/>
          <cell r="F2382"/>
          <cell r="G2382"/>
          <cell r="H2382"/>
          <cell r="I2382"/>
          <cell r="J2382"/>
          <cell r="L2382"/>
        </row>
        <row r="2383">
          <cell r="A2383"/>
          <cell r="D2383"/>
          <cell r="E2383"/>
          <cell r="F2383"/>
          <cell r="G2383"/>
          <cell r="H2383"/>
          <cell r="I2383"/>
          <cell r="J2383"/>
          <cell r="L2383"/>
        </row>
        <row r="2384">
          <cell r="A2384"/>
          <cell r="D2384"/>
          <cell r="E2384"/>
          <cell r="F2384"/>
          <cell r="G2384"/>
          <cell r="H2384"/>
          <cell r="I2384"/>
          <cell r="J2384"/>
          <cell r="L2384"/>
        </row>
        <row r="2385">
          <cell r="A2385"/>
          <cell r="D2385"/>
          <cell r="E2385"/>
          <cell r="F2385"/>
          <cell r="G2385"/>
          <cell r="H2385"/>
          <cell r="I2385"/>
          <cell r="J2385"/>
          <cell r="L2385"/>
        </row>
        <row r="2386">
          <cell r="A2386"/>
          <cell r="D2386"/>
          <cell r="E2386"/>
          <cell r="F2386"/>
          <cell r="G2386"/>
          <cell r="H2386"/>
          <cell r="I2386"/>
          <cell r="J2386"/>
          <cell r="L2386"/>
        </row>
        <row r="2387">
          <cell r="A2387"/>
          <cell r="D2387"/>
          <cell r="E2387"/>
          <cell r="F2387"/>
          <cell r="G2387"/>
          <cell r="H2387"/>
          <cell r="I2387"/>
          <cell r="J2387"/>
          <cell r="L2387"/>
        </row>
        <row r="2388">
          <cell r="A2388"/>
          <cell r="D2388"/>
          <cell r="E2388"/>
          <cell r="F2388"/>
          <cell r="G2388"/>
          <cell r="H2388"/>
          <cell r="I2388"/>
          <cell r="J2388"/>
          <cell r="L2388"/>
        </row>
        <row r="2389">
          <cell r="A2389"/>
          <cell r="D2389"/>
          <cell r="E2389"/>
          <cell r="F2389"/>
          <cell r="G2389"/>
          <cell r="H2389"/>
          <cell r="I2389"/>
          <cell r="J2389"/>
          <cell r="L2389"/>
        </row>
        <row r="2390">
          <cell r="A2390"/>
          <cell r="D2390"/>
          <cell r="E2390"/>
          <cell r="F2390"/>
          <cell r="G2390"/>
          <cell r="H2390"/>
          <cell r="I2390"/>
          <cell r="J2390"/>
          <cell r="L2390"/>
        </row>
        <row r="2391">
          <cell r="A2391"/>
          <cell r="D2391"/>
          <cell r="E2391"/>
          <cell r="F2391"/>
          <cell r="G2391"/>
          <cell r="H2391"/>
          <cell r="I2391"/>
          <cell r="J2391"/>
          <cell r="L2391"/>
        </row>
        <row r="2392">
          <cell r="A2392"/>
          <cell r="D2392"/>
          <cell r="E2392"/>
          <cell r="F2392"/>
          <cell r="G2392"/>
          <cell r="H2392"/>
          <cell r="I2392"/>
          <cell r="J2392"/>
          <cell r="L2392"/>
        </row>
        <row r="2393">
          <cell r="A2393"/>
          <cell r="D2393"/>
          <cell r="E2393"/>
          <cell r="F2393"/>
          <cell r="G2393"/>
          <cell r="H2393"/>
          <cell r="I2393"/>
          <cell r="J2393"/>
          <cell r="L2393"/>
        </row>
        <row r="2394">
          <cell r="A2394"/>
          <cell r="D2394"/>
          <cell r="E2394"/>
          <cell r="F2394"/>
          <cell r="G2394"/>
          <cell r="H2394"/>
          <cell r="I2394"/>
          <cell r="J2394"/>
          <cell r="L2394"/>
        </row>
        <row r="2395">
          <cell r="A2395"/>
          <cell r="D2395"/>
          <cell r="E2395"/>
          <cell r="F2395"/>
          <cell r="G2395"/>
          <cell r="H2395"/>
          <cell r="I2395"/>
          <cell r="J2395"/>
          <cell r="L2395"/>
        </row>
        <row r="2396">
          <cell r="A2396"/>
          <cell r="D2396"/>
          <cell r="E2396"/>
          <cell r="F2396"/>
          <cell r="G2396"/>
          <cell r="H2396"/>
          <cell r="I2396"/>
          <cell r="J2396"/>
          <cell r="L2396"/>
        </row>
        <row r="2397">
          <cell r="A2397"/>
          <cell r="D2397"/>
          <cell r="E2397"/>
          <cell r="F2397"/>
          <cell r="G2397"/>
          <cell r="H2397"/>
          <cell r="I2397"/>
          <cell r="J2397"/>
          <cell r="L2397"/>
        </row>
        <row r="2398">
          <cell r="A2398"/>
          <cell r="D2398"/>
          <cell r="E2398"/>
          <cell r="F2398"/>
          <cell r="G2398"/>
          <cell r="H2398"/>
          <cell r="I2398"/>
          <cell r="J2398"/>
          <cell r="L2398"/>
        </row>
        <row r="2399">
          <cell r="A2399"/>
          <cell r="D2399"/>
          <cell r="E2399"/>
          <cell r="F2399"/>
          <cell r="G2399"/>
          <cell r="H2399"/>
          <cell r="I2399"/>
          <cell r="J2399"/>
          <cell r="L2399"/>
        </row>
        <row r="2400">
          <cell r="A2400"/>
          <cell r="D2400"/>
          <cell r="E2400"/>
          <cell r="F2400"/>
          <cell r="G2400"/>
          <cell r="H2400"/>
          <cell r="I2400"/>
          <cell r="J2400"/>
          <cell r="L2400"/>
        </row>
        <row r="2401">
          <cell r="A2401"/>
          <cell r="D2401"/>
          <cell r="E2401"/>
          <cell r="F2401"/>
          <cell r="G2401"/>
          <cell r="H2401"/>
          <cell r="I2401"/>
          <cell r="J2401"/>
          <cell r="L2401"/>
        </row>
        <row r="2402">
          <cell r="A2402"/>
          <cell r="D2402"/>
          <cell r="E2402"/>
          <cell r="F2402"/>
          <cell r="G2402"/>
          <cell r="H2402"/>
          <cell r="I2402"/>
          <cell r="J2402"/>
          <cell r="L2402"/>
        </row>
        <row r="2403">
          <cell r="A2403"/>
          <cell r="D2403"/>
          <cell r="E2403"/>
          <cell r="F2403"/>
          <cell r="G2403"/>
          <cell r="H2403"/>
          <cell r="I2403"/>
          <cell r="J2403"/>
          <cell r="L2403"/>
        </row>
        <row r="2404">
          <cell r="A2404"/>
          <cell r="D2404"/>
          <cell r="E2404"/>
          <cell r="F2404"/>
          <cell r="G2404"/>
          <cell r="H2404"/>
          <cell r="I2404"/>
          <cell r="J2404"/>
          <cell r="L2404"/>
        </row>
        <row r="2405">
          <cell r="A2405"/>
          <cell r="D2405"/>
          <cell r="E2405"/>
          <cell r="F2405"/>
          <cell r="G2405"/>
          <cell r="H2405"/>
          <cell r="I2405"/>
          <cell r="J2405"/>
          <cell r="L2405"/>
        </row>
        <row r="2406">
          <cell r="A2406"/>
          <cell r="D2406"/>
          <cell r="E2406"/>
          <cell r="F2406"/>
          <cell r="G2406"/>
          <cell r="H2406"/>
          <cell r="I2406"/>
          <cell r="J2406"/>
          <cell r="L2406"/>
        </row>
        <row r="2407">
          <cell r="A2407"/>
          <cell r="D2407"/>
          <cell r="E2407"/>
          <cell r="F2407"/>
          <cell r="G2407"/>
          <cell r="H2407"/>
          <cell r="I2407"/>
          <cell r="J2407"/>
          <cell r="L2407"/>
        </row>
        <row r="2408">
          <cell r="A2408"/>
          <cell r="D2408"/>
          <cell r="E2408"/>
          <cell r="F2408"/>
          <cell r="G2408"/>
          <cell r="H2408"/>
          <cell r="I2408"/>
          <cell r="J2408"/>
          <cell r="L2408"/>
        </row>
        <row r="2409">
          <cell r="A2409"/>
          <cell r="D2409"/>
          <cell r="E2409"/>
          <cell r="F2409"/>
          <cell r="G2409"/>
          <cell r="H2409"/>
          <cell r="I2409"/>
          <cell r="J2409"/>
          <cell r="L2409"/>
        </row>
        <row r="2410">
          <cell r="A2410"/>
          <cell r="D2410"/>
          <cell r="E2410"/>
          <cell r="F2410"/>
          <cell r="G2410"/>
          <cell r="H2410"/>
          <cell r="I2410"/>
          <cell r="J2410"/>
          <cell r="L2410"/>
        </row>
        <row r="2411">
          <cell r="A2411"/>
          <cell r="D2411"/>
          <cell r="E2411"/>
          <cell r="F2411"/>
          <cell r="G2411"/>
          <cell r="H2411"/>
          <cell r="I2411"/>
          <cell r="J2411"/>
          <cell r="L2411"/>
        </row>
        <row r="2412">
          <cell r="A2412"/>
          <cell r="D2412"/>
          <cell r="E2412"/>
          <cell r="F2412"/>
          <cell r="G2412"/>
          <cell r="H2412"/>
          <cell r="I2412"/>
          <cell r="J2412"/>
          <cell r="L2412"/>
        </row>
        <row r="2413">
          <cell r="A2413"/>
          <cell r="D2413"/>
          <cell r="E2413"/>
          <cell r="F2413"/>
          <cell r="G2413"/>
          <cell r="H2413"/>
          <cell r="I2413"/>
          <cell r="J2413"/>
          <cell r="L2413"/>
        </row>
        <row r="2414">
          <cell r="A2414"/>
          <cell r="D2414"/>
          <cell r="E2414"/>
          <cell r="F2414"/>
          <cell r="G2414"/>
          <cell r="H2414"/>
          <cell r="I2414"/>
          <cell r="J2414"/>
          <cell r="L2414"/>
        </row>
        <row r="2415">
          <cell r="A2415"/>
          <cell r="D2415"/>
          <cell r="E2415"/>
          <cell r="F2415"/>
          <cell r="G2415"/>
          <cell r="H2415"/>
          <cell r="I2415"/>
          <cell r="J2415"/>
          <cell r="L2415"/>
        </row>
        <row r="2416">
          <cell r="A2416"/>
          <cell r="D2416"/>
          <cell r="E2416"/>
          <cell r="F2416"/>
          <cell r="G2416"/>
          <cell r="H2416"/>
          <cell r="I2416"/>
          <cell r="J2416"/>
          <cell r="L2416"/>
        </row>
        <row r="2417">
          <cell r="A2417"/>
          <cell r="D2417"/>
          <cell r="E2417"/>
          <cell r="F2417"/>
          <cell r="G2417"/>
          <cell r="H2417"/>
          <cell r="I2417"/>
          <cell r="J2417"/>
          <cell r="L2417"/>
        </row>
        <row r="2418">
          <cell r="A2418"/>
          <cell r="D2418"/>
          <cell r="E2418"/>
          <cell r="F2418"/>
          <cell r="G2418"/>
          <cell r="H2418"/>
          <cell r="I2418"/>
          <cell r="J2418"/>
          <cell r="L2418"/>
        </row>
        <row r="2419">
          <cell r="A2419"/>
          <cell r="D2419"/>
          <cell r="E2419"/>
          <cell r="F2419"/>
          <cell r="G2419"/>
          <cell r="H2419"/>
          <cell r="I2419"/>
          <cell r="J2419"/>
          <cell r="L2419"/>
        </row>
        <row r="2420">
          <cell r="A2420"/>
          <cell r="D2420"/>
          <cell r="E2420"/>
          <cell r="F2420"/>
          <cell r="G2420"/>
          <cell r="H2420"/>
          <cell r="I2420"/>
          <cell r="J2420"/>
          <cell r="L2420"/>
        </row>
        <row r="2421">
          <cell r="A2421"/>
          <cell r="D2421"/>
          <cell r="E2421"/>
          <cell r="F2421"/>
          <cell r="G2421"/>
          <cell r="H2421"/>
          <cell r="I2421"/>
          <cell r="J2421"/>
          <cell r="L2421"/>
        </row>
        <row r="2422">
          <cell r="A2422"/>
          <cell r="D2422"/>
          <cell r="E2422"/>
          <cell r="F2422"/>
          <cell r="G2422"/>
          <cell r="H2422"/>
          <cell r="I2422"/>
          <cell r="J2422"/>
          <cell r="L2422"/>
        </row>
        <row r="2423">
          <cell r="A2423"/>
          <cell r="D2423"/>
          <cell r="E2423"/>
          <cell r="F2423"/>
          <cell r="G2423"/>
          <cell r="H2423"/>
          <cell r="I2423"/>
          <cell r="J2423"/>
          <cell r="L2423"/>
        </row>
        <row r="2424">
          <cell r="A2424"/>
          <cell r="D2424"/>
          <cell r="E2424"/>
          <cell r="F2424"/>
          <cell r="G2424"/>
          <cell r="H2424"/>
          <cell r="I2424"/>
          <cell r="J2424"/>
          <cell r="L2424"/>
        </row>
        <row r="2425">
          <cell r="A2425"/>
          <cell r="D2425"/>
          <cell r="E2425"/>
          <cell r="F2425"/>
          <cell r="G2425"/>
          <cell r="H2425"/>
          <cell r="I2425"/>
          <cell r="J2425"/>
          <cell r="L2425"/>
        </row>
        <row r="2426">
          <cell r="A2426"/>
          <cell r="D2426"/>
          <cell r="E2426"/>
          <cell r="F2426"/>
          <cell r="G2426"/>
          <cell r="H2426"/>
          <cell r="I2426"/>
          <cell r="J2426"/>
          <cell r="L2426"/>
        </row>
        <row r="2427">
          <cell r="A2427"/>
          <cell r="D2427"/>
          <cell r="E2427"/>
          <cell r="F2427"/>
          <cell r="G2427"/>
          <cell r="H2427"/>
          <cell r="I2427"/>
          <cell r="J2427"/>
          <cell r="L2427"/>
        </row>
        <row r="2428">
          <cell r="A2428"/>
          <cell r="D2428"/>
          <cell r="E2428"/>
          <cell r="F2428"/>
          <cell r="G2428"/>
          <cell r="H2428"/>
          <cell r="I2428"/>
          <cell r="J2428"/>
          <cell r="L2428"/>
        </row>
        <row r="2429">
          <cell r="A2429"/>
          <cell r="D2429"/>
          <cell r="E2429"/>
          <cell r="F2429"/>
          <cell r="G2429"/>
          <cell r="H2429"/>
          <cell r="I2429"/>
          <cell r="J2429"/>
          <cell r="L2429"/>
        </row>
        <row r="2430">
          <cell r="A2430"/>
          <cell r="D2430"/>
          <cell r="E2430"/>
          <cell r="F2430"/>
          <cell r="G2430"/>
          <cell r="H2430"/>
          <cell r="I2430"/>
          <cell r="J2430"/>
          <cell r="L2430"/>
        </row>
        <row r="2431">
          <cell r="A2431"/>
          <cell r="D2431"/>
          <cell r="E2431"/>
          <cell r="F2431"/>
          <cell r="G2431"/>
          <cell r="H2431"/>
          <cell r="I2431"/>
          <cell r="J2431"/>
          <cell r="L2431"/>
        </row>
        <row r="2432">
          <cell r="A2432"/>
          <cell r="D2432"/>
          <cell r="E2432"/>
          <cell r="F2432"/>
          <cell r="G2432"/>
          <cell r="H2432"/>
          <cell r="I2432"/>
          <cell r="J2432"/>
          <cell r="L2432"/>
        </row>
        <row r="2433">
          <cell r="A2433"/>
          <cell r="D2433"/>
          <cell r="E2433"/>
          <cell r="F2433"/>
          <cell r="G2433"/>
          <cell r="H2433"/>
          <cell r="I2433"/>
          <cell r="J2433"/>
          <cell r="L2433"/>
        </row>
        <row r="2434">
          <cell r="A2434"/>
          <cell r="D2434"/>
          <cell r="E2434"/>
          <cell r="F2434"/>
          <cell r="G2434"/>
          <cell r="H2434"/>
          <cell r="I2434"/>
          <cell r="J2434"/>
          <cell r="L2434"/>
        </row>
        <row r="2435">
          <cell r="A2435"/>
          <cell r="D2435"/>
          <cell r="E2435"/>
          <cell r="F2435"/>
          <cell r="G2435"/>
          <cell r="H2435"/>
          <cell r="I2435"/>
          <cell r="J2435"/>
          <cell r="L2435"/>
        </row>
        <row r="2436">
          <cell r="A2436"/>
          <cell r="D2436"/>
          <cell r="E2436"/>
          <cell r="F2436"/>
          <cell r="G2436"/>
          <cell r="H2436"/>
          <cell r="I2436"/>
          <cell r="J2436"/>
          <cell r="L2436"/>
        </row>
        <row r="2437">
          <cell r="A2437"/>
          <cell r="D2437"/>
          <cell r="E2437"/>
          <cell r="F2437"/>
          <cell r="G2437"/>
          <cell r="H2437"/>
          <cell r="I2437"/>
          <cell r="J2437"/>
          <cell r="L2437"/>
        </row>
        <row r="2438">
          <cell r="A2438"/>
          <cell r="D2438"/>
          <cell r="E2438"/>
          <cell r="F2438"/>
          <cell r="G2438"/>
          <cell r="H2438"/>
          <cell r="I2438"/>
          <cell r="J2438"/>
          <cell r="L2438"/>
        </row>
        <row r="2439">
          <cell r="A2439"/>
          <cell r="D2439"/>
          <cell r="E2439"/>
          <cell r="F2439"/>
          <cell r="G2439"/>
          <cell r="H2439"/>
          <cell r="I2439"/>
          <cell r="J2439"/>
          <cell r="L2439"/>
        </row>
        <row r="2440">
          <cell r="A2440"/>
          <cell r="D2440"/>
          <cell r="E2440"/>
          <cell r="F2440"/>
          <cell r="G2440"/>
          <cell r="H2440"/>
          <cell r="I2440"/>
          <cell r="J2440"/>
          <cell r="L2440"/>
        </row>
        <row r="2441">
          <cell r="A2441"/>
          <cell r="D2441"/>
          <cell r="E2441"/>
          <cell r="F2441"/>
          <cell r="G2441"/>
          <cell r="H2441"/>
          <cell r="I2441"/>
          <cell r="J2441"/>
          <cell r="L2441"/>
        </row>
        <row r="2442">
          <cell r="A2442"/>
          <cell r="D2442"/>
          <cell r="E2442"/>
          <cell r="F2442"/>
          <cell r="G2442"/>
          <cell r="H2442"/>
          <cell r="I2442"/>
          <cell r="J2442"/>
          <cell r="L2442"/>
        </row>
        <row r="2443">
          <cell r="A2443"/>
          <cell r="D2443"/>
          <cell r="E2443"/>
          <cell r="F2443"/>
          <cell r="G2443"/>
          <cell r="H2443"/>
          <cell r="I2443"/>
          <cell r="J2443"/>
          <cell r="L2443"/>
        </row>
        <row r="2444">
          <cell r="A2444"/>
          <cell r="D2444"/>
          <cell r="E2444"/>
          <cell r="F2444"/>
          <cell r="G2444"/>
          <cell r="H2444"/>
          <cell r="I2444"/>
          <cell r="J2444"/>
          <cell r="L2444"/>
        </row>
        <row r="2445">
          <cell r="A2445"/>
          <cell r="D2445"/>
          <cell r="E2445"/>
          <cell r="F2445"/>
          <cell r="G2445"/>
          <cell r="H2445"/>
          <cell r="I2445"/>
          <cell r="J2445"/>
          <cell r="L2445"/>
        </row>
        <row r="2446">
          <cell r="A2446"/>
          <cell r="D2446"/>
          <cell r="E2446"/>
          <cell r="F2446"/>
          <cell r="G2446"/>
          <cell r="H2446"/>
          <cell r="I2446"/>
          <cell r="J2446"/>
          <cell r="L2446"/>
        </row>
        <row r="2447">
          <cell r="A2447"/>
          <cell r="D2447"/>
          <cell r="E2447"/>
          <cell r="F2447"/>
          <cell r="G2447"/>
          <cell r="H2447"/>
          <cell r="I2447"/>
          <cell r="J2447"/>
          <cell r="L2447"/>
        </row>
        <row r="2448">
          <cell r="A2448"/>
          <cell r="D2448"/>
          <cell r="E2448"/>
          <cell r="F2448"/>
          <cell r="G2448"/>
          <cell r="H2448"/>
          <cell r="I2448"/>
          <cell r="J2448"/>
          <cell r="L2448"/>
        </row>
        <row r="2449">
          <cell r="A2449"/>
          <cell r="D2449"/>
          <cell r="E2449"/>
          <cell r="F2449"/>
          <cell r="G2449"/>
          <cell r="H2449"/>
          <cell r="I2449"/>
          <cell r="J2449"/>
          <cell r="L2449"/>
        </row>
        <row r="2450">
          <cell r="A2450"/>
          <cell r="D2450"/>
          <cell r="E2450"/>
          <cell r="F2450"/>
          <cell r="G2450"/>
          <cell r="H2450"/>
          <cell r="I2450"/>
          <cell r="J2450"/>
          <cell r="L2450"/>
        </row>
        <row r="2451">
          <cell r="A2451"/>
          <cell r="D2451"/>
          <cell r="E2451"/>
          <cell r="F2451"/>
          <cell r="G2451"/>
          <cell r="H2451"/>
          <cell r="I2451"/>
          <cell r="J2451"/>
          <cell r="L2451"/>
        </row>
        <row r="2452">
          <cell r="A2452"/>
          <cell r="D2452"/>
          <cell r="E2452"/>
          <cell r="F2452"/>
          <cell r="G2452"/>
          <cell r="H2452"/>
          <cell r="I2452"/>
          <cell r="J2452"/>
          <cell r="L2452"/>
        </row>
        <row r="2453">
          <cell r="A2453"/>
          <cell r="D2453"/>
          <cell r="E2453"/>
          <cell r="F2453"/>
          <cell r="G2453"/>
          <cell r="H2453"/>
          <cell r="I2453"/>
          <cell r="J2453"/>
          <cell r="L2453"/>
        </row>
        <row r="2454">
          <cell r="A2454"/>
          <cell r="D2454"/>
          <cell r="E2454"/>
          <cell r="F2454"/>
          <cell r="G2454"/>
          <cell r="H2454"/>
          <cell r="I2454"/>
          <cell r="J2454"/>
          <cell r="L2454"/>
        </row>
        <row r="2455">
          <cell r="A2455"/>
          <cell r="D2455"/>
          <cell r="E2455"/>
          <cell r="F2455"/>
          <cell r="G2455"/>
          <cell r="H2455"/>
          <cell r="I2455"/>
          <cell r="J2455"/>
          <cell r="L2455"/>
        </row>
        <row r="2456">
          <cell r="A2456"/>
          <cell r="D2456"/>
          <cell r="E2456"/>
          <cell r="F2456"/>
          <cell r="G2456"/>
          <cell r="H2456"/>
          <cell r="I2456"/>
          <cell r="J2456"/>
          <cell r="L2456"/>
        </row>
        <row r="2457">
          <cell r="A2457"/>
          <cell r="D2457"/>
          <cell r="E2457"/>
          <cell r="F2457"/>
          <cell r="G2457"/>
          <cell r="H2457"/>
          <cell r="I2457"/>
          <cell r="J2457"/>
          <cell r="L2457"/>
        </row>
        <row r="2458">
          <cell r="A2458"/>
          <cell r="D2458"/>
          <cell r="E2458"/>
          <cell r="F2458"/>
          <cell r="G2458"/>
          <cell r="H2458"/>
          <cell r="I2458"/>
          <cell r="J2458"/>
          <cell r="L2458"/>
        </row>
        <row r="2459">
          <cell r="A2459"/>
          <cell r="D2459"/>
          <cell r="E2459"/>
          <cell r="F2459"/>
          <cell r="G2459"/>
          <cell r="H2459"/>
          <cell r="I2459"/>
          <cell r="J2459"/>
          <cell r="L2459"/>
        </row>
        <row r="2460">
          <cell r="A2460"/>
          <cell r="D2460"/>
          <cell r="E2460"/>
          <cell r="F2460"/>
          <cell r="G2460"/>
          <cell r="H2460"/>
          <cell r="I2460"/>
          <cell r="J2460"/>
          <cell r="L2460"/>
        </row>
        <row r="2461">
          <cell r="A2461"/>
          <cell r="D2461"/>
          <cell r="E2461"/>
          <cell r="F2461"/>
          <cell r="G2461"/>
          <cell r="H2461"/>
          <cell r="I2461"/>
          <cell r="J2461"/>
          <cell r="L2461"/>
        </row>
        <row r="2462">
          <cell r="A2462"/>
          <cell r="D2462"/>
          <cell r="E2462"/>
          <cell r="F2462"/>
          <cell r="G2462"/>
          <cell r="H2462"/>
          <cell r="I2462"/>
          <cell r="J2462"/>
          <cell r="L2462"/>
        </row>
        <row r="2463">
          <cell r="A2463"/>
          <cell r="D2463"/>
          <cell r="E2463"/>
          <cell r="F2463"/>
          <cell r="G2463"/>
          <cell r="H2463"/>
          <cell r="I2463"/>
          <cell r="J2463"/>
          <cell r="L2463"/>
        </row>
        <row r="2464">
          <cell r="A2464"/>
          <cell r="D2464"/>
          <cell r="E2464"/>
          <cell r="F2464"/>
          <cell r="G2464"/>
          <cell r="H2464"/>
          <cell r="I2464"/>
          <cell r="J2464"/>
          <cell r="L2464"/>
        </row>
        <row r="2465">
          <cell r="A2465"/>
          <cell r="D2465"/>
          <cell r="E2465"/>
          <cell r="F2465"/>
          <cell r="G2465"/>
          <cell r="H2465"/>
          <cell r="I2465"/>
          <cell r="J2465"/>
          <cell r="L2465"/>
        </row>
        <row r="2466">
          <cell r="A2466"/>
          <cell r="D2466"/>
          <cell r="E2466"/>
          <cell r="F2466"/>
          <cell r="G2466"/>
          <cell r="H2466"/>
          <cell r="I2466"/>
          <cell r="J2466"/>
          <cell r="L2466"/>
        </row>
        <row r="2467">
          <cell r="A2467"/>
          <cell r="D2467"/>
          <cell r="E2467"/>
          <cell r="F2467"/>
          <cell r="G2467"/>
          <cell r="H2467"/>
          <cell r="I2467"/>
          <cell r="J2467"/>
          <cell r="L2467"/>
        </row>
        <row r="2468">
          <cell r="A2468"/>
          <cell r="D2468"/>
          <cell r="E2468"/>
          <cell r="F2468"/>
          <cell r="G2468"/>
          <cell r="H2468"/>
          <cell r="I2468"/>
          <cell r="J2468"/>
          <cell r="L2468"/>
        </row>
        <row r="2469">
          <cell r="A2469"/>
          <cell r="D2469"/>
          <cell r="E2469"/>
          <cell r="F2469"/>
          <cell r="G2469"/>
          <cell r="H2469"/>
          <cell r="I2469"/>
          <cell r="J2469"/>
          <cell r="L2469"/>
        </row>
        <row r="2470">
          <cell r="A2470"/>
          <cell r="D2470"/>
          <cell r="E2470"/>
          <cell r="F2470"/>
          <cell r="G2470"/>
          <cell r="H2470"/>
          <cell r="I2470"/>
          <cell r="J2470"/>
          <cell r="L2470"/>
        </row>
        <row r="2471">
          <cell r="A2471"/>
          <cell r="D2471"/>
          <cell r="E2471"/>
          <cell r="F2471"/>
          <cell r="G2471"/>
          <cell r="H2471"/>
          <cell r="I2471"/>
          <cell r="J2471"/>
          <cell r="L2471"/>
        </row>
        <row r="2472">
          <cell r="A2472"/>
          <cell r="D2472"/>
          <cell r="E2472"/>
          <cell r="F2472"/>
          <cell r="G2472"/>
          <cell r="H2472"/>
          <cell r="I2472"/>
          <cell r="J2472"/>
          <cell r="L2472"/>
        </row>
        <row r="2473">
          <cell r="A2473"/>
          <cell r="D2473"/>
          <cell r="E2473"/>
          <cell r="F2473"/>
          <cell r="G2473"/>
          <cell r="H2473"/>
          <cell r="I2473"/>
          <cell r="J2473"/>
          <cell r="L2473"/>
        </row>
        <row r="2474">
          <cell r="A2474"/>
          <cell r="D2474"/>
          <cell r="E2474"/>
          <cell r="F2474"/>
          <cell r="G2474"/>
          <cell r="H2474"/>
          <cell r="I2474"/>
          <cell r="J2474"/>
          <cell r="L2474"/>
        </row>
        <row r="2475">
          <cell r="A2475"/>
          <cell r="D2475"/>
          <cell r="E2475"/>
          <cell r="F2475"/>
          <cell r="G2475"/>
          <cell r="H2475"/>
          <cell r="I2475"/>
          <cell r="J2475"/>
          <cell r="L2475"/>
        </row>
        <row r="2476">
          <cell r="A2476"/>
          <cell r="D2476"/>
          <cell r="E2476"/>
          <cell r="F2476"/>
          <cell r="G2476"/>
          <cell r="H2476"/>
          <cell r="I2476"/>
          <cell r="J2476"/>
          <cell r="L2476"/>
        </row>
        <row r="2477">
          <cell r="A2477"/>
          <cell r="D2477"/>
          <cell r="E2477"/>
          <cell r="F2477"/>
          <cell r="G2477"/>
          <cell r="H2477"/>
          <cell r="I2477"/>
          <cell r="J2477"/>
          <cell r="L2477"/>
        </row>
        <row r="2478">
          <cell r="A2478"/>
          <cell r="D2478"/>
          <cell r="E2478"/>
          <cell r="F2478"/>
          <cell r="G2478"/>
          <cell r="H2478"/>
          <cell r="I2478"/>
          <cell r="J2478"/>
          <cell r="L2478"/>
        </row>
        <row r="2479">
          <cell r="A2479"/>
          <cell r="D2479"/>
          <cell r="E2479"/>
          <cell r="F2479"/>
          <cell r="G2479"/>
          <cell r="H2479"/>
          <cell r="I2479"/>
          <cell r="J2479"/>
          <cell r="L2479"/>
        </row>
        <row r="2480">
          <cell r="A2480"/>
          <cell r="D2480"/>
          <cell r="E2480"/>
          <cell r="F2480"/>
          <cell r="G2480"/>
          <cell r="H2480"/>
          <cell r="I2480"/>
          <cell r="J2480"/>
          <cell r="L2480"/>
        </row>
        <row r="2481">
          <cell r="A2481"/>
          <cell r="D2481"/>
          <cell r="E2481"/>
          <cell r="F2481"/>
          <cell r="G2481"/>
          <cell r="H2481"/>
          <cell r="I2481"/>
          <cell r="J2481"/>
          <cell r="L2481"/>
        </row>
        <row r="2482">
          <cell r="A2482"/>
          <cell r="D2482"/>
          <cell r="E2482"/>
          <cell r="F2482"/>
          <cell r="G2482"/>
          <cell r="H2482"/>
          <cell r="I2482"/>
          <cell r="J2482"/>
          <cell r="L2482"/>
        </row>
        <row r="2483">
          <cell r="A2483"/>
          <cell r="D2483"/>
          <cell r="E2483"/>
          <cell r="F2483"/>
          <cell r="G2483"/>
          <cell r="H2483"/>
          <cell r="I2483"/>
          <cell r="J2483"/>
          <cell r="L2483"/>
        </row>
        <row r="2484">
          <cell r="A2484"/>
          <cell r="D2484"/>
          <cell r="E2484"/>
          <cell r="F2484"/>
          <cell r="G2484"/>
          <cell r="H2484"/>
          <cell r="I2484"/>
          <cell r="J2484"/>
          <cell r="L2484"/>
        </row>
        <row r="2485">
          <cell r="A2485"/>
          <cell r="D2485"/>
          <cell r="E2485"/>
          <cell r="F2485"/>
          <cell r="G2485"/>
          <cell r="H2485"/>
          <cell r="I2485"/>
          <cell r="J2485"/>
          <cell r="L2485"/>
        </row>
        <row r="2486">
          <cell r="A2486"/>
          <cell r="D2486"/>
          <cell r="E2486"/>
          <cell r="F2486"/>
          <cell r="G2486"/>
          <cell r="H2486"/>
          <cell r="I2486"/>
          <cell r="J2486"/>
          <cell r="L2486"/>
        </row>
        <row r="2487">
          <cell r="A2487"/>
          <cell r="D2487"/>
          <cell r="E2487"/>
          <cell r="F2487"/>
          <cell r="G2487"/>
          <cell r="H2487"/>
          <cell r="I2487"/>
          <cell r="J2487"/>
          <cell r="L2487"/>
        </row>
        <row r="2488">
          <cell r="A2488"/>
          <cell r="D2488"/>
          <cell r="E2488"/>
          <cell r="F2488"/>
          <cell r="G2488"/>
          <cell r="H2488"/>
          <cell r="I2488"/>
          <cell r="J2488"/>
          <cell r="L2488"/>
        </row>
        <row r="2489">
          <cell r="A2489"/>
          <cell r="D2489"/>
          <cell r="E2489"/>
          <cell r="F2489"/>
          <cell r="G2489"/>
          <cell r="H2489"/>
          <cell r="I2489"/>
          <cell r="J2489"/>
          <cell r="L2489"/>
        </row>
        <row r="2490">
          <cell r="A2490"/>
          <cell r="D2490"/>
          <cell r="E2490"/>
          <cell r="F2490"/>
          <cell r="G2490"/>
          <cell r="H2490"/>
          <cell r="I2490"/>
          <cell r="J2490"/>
          <cell r="L2490"/>
        </row>
        <row r="2491">
          <cell r="A2491"/>
          <cell r="D2491"/>
          <cell r="E2491"/>
          <cell r="F2491"/>
          <cell r="G2491"/>
          <cell r="H2491"/>
          <cell r="I2491"/>
          <cell r="J2491"/>
          <cell r="L2491"/>
        </row>
        <row r="2492">
          <cell r="A2492"/>
          <cell r="D2492"/>
          <cell r="E2492"/>
          <cell r="F2492"/>
          <cell r="G2492"/>
          <cell r="H2492"/>
          <cell r="I2492"/>
          <cell r="J2492"/>
          <cell r="L2492"/>
        </row>
        <row r="2493">
          <cell r="A2493"/>
          <cell r="D2493"/>
          <cell r="E2493"/>
          <cell r="F2493"/>
          <cell r="G2493"/>
          <cell r="H2493"/>
          <cell r="I2493"/>
          <cell r="J2493"/>
          <cell r="L2493"/>
        </row>
        <row r="2494">
          <cell r="A2494"/>
          <cell r="D2494"/>
          <cell r="E2494"/>
          <cell r="F2494"/>
          <cell r="G2494"/>
          <cell r="H2494"/>
          <cell r="I2494"/>
          <cell r="J2494"/>
          <cell r="L2494"/>
        </row>
        <row r="2495">
          <cell r="A2495"/>
          <cell r="D2495"/>
          <cell r="E2495"/>
          <cell r="F2495"/>
          <cell r="G2495"/>
          <cell r="H2495"/>
          <cell r="I2495"/>
          <cell r="J2495"/>
          <cell r="L2495"/>
        </row>
        <row r="2496">
          <cell r="A2496"/>
          <cell r="D2496"/>
          <cell r="E2496"/>
          <cell r="F2496"/>
          <cell r="G2496"/>
          <cell r="H2496"/>
          <cell r="I2496"/>
          <cell r="J2496"/>
          <cell r="L2496"/>
        </row>
        <row r="2497">
          <cell r="A2497"/>
          <cell r="D2497"/>
          <cell r="E2497"/>
          <cell r="F2497"/>
          <cell r="G2497"/>
          <cell r="H2497"/>
          <cell r="I2497"/>
          <cell r="J2497"/>
          <cell r="L2497"/>
        </row>
        <row r="2498">
          <cell r="A2498"/>
          <cell r="D2498"/>
          <cell r="E2498"/>
          <cell r="F2498"/>
          <cell r="G2498"/>
          <cell r="H2498"/>
          <cell r="I2498"/>
          <cell r="J2498"/>
          <cell r="L2498"/>
        </row>
        <row r="2499">
          <cell r="A2499"/>
          <cell r="D2499"/>
          <cell r="E2499"/>
          <cell r="F2499"/>
          <cell r="G2499"/>
          <cell r="H2499"/>
          <cell r="I2499"/>
          <cell r="J2499"/>
          <cell r="L2499"/>
        </row>
        <row r="2500">
          <cell r="A2500"/>
          <cell r="D2500"/>
          <cell r="E2500"/>
          <cell r="F2500"/>
          <cell r="G2500"/>
          <cell r="H2500"/>
          <cell r="I2500"/>
          <cell r="J2500"/>
          <cell r="L2500"/>
        </row>
        <row r="2501">
          <cell r="A2501"/>
          <cell r="D2501"/>
          <cell r="E2501"/>
          <cell r="F2501"/>
          <cell r="G2501"/>
          <cell r="H2501"/>
          <cell r="I2501"/>
          <cell r="J2501"/>
          <cell r="L2501"/>
        </row>
        <row r="2502">
          <cell r="A2502"/>
          <cell r="D2502"/>
          <cell r="E2502"/>
          <cell r="F2502"/>
          <cell r="G2502"/>
          <cell r="H2502"/>
          <cell r="I2502"/>
          <cell r="J2502"/>
          <cell r="L2502"/>
        </row>
        <row r="2503">
          <cell r="A2503"/>
          <cell r="D2503"/>
          <cell r="E2503"/>
          <cell r="F2503"/>
          <cell r="G2503"/>
          <cell r="H2503"/>
          <cell r="I2503"/>
          <cell r="J2503"/>
          <cell r="L2503"/>
        </row>
        <row r="2504">
          <cell r="A2504"/>
          <cell r="D2504"/>
          <cell r="E2504"/>
          <cell r="F2504"/>
          <cell r="G2504"/>
          <cell r="H2504"/>
          <cell r="I2504"/>
          <cell r="J2504"/>
          <cell r="L2504"/>
        </row>
        <row r="2505">
          <cell r="A2505"/>
          <cell r="D2505"/>
          <cell r="E2505"/>
          <cell r="F2505"/>
          <cell r="G2505"/>
          <cell r="H2505"/>
          <cell r="I2505"/>
          <cell r="J2505"/>
          <cell r="L2505"/>
        </row>
        <row r="2506">
          <cell r="A2506"/>
          <cell r="D2506"/>
          <cell r="E2506"/>
          <cell r="F2506"/>
          <cell r="G2506"/>
          <cell r="H2506"/>
          <cell r="I2506"/>
          <cell r="J2506"/>
          <cell r="L2506"/>
        </row>
        <row r="2507">
          <cell r="A2507"/>
          <cell r="D2507"/>
          <cell r="E2507"/>
          <cell r="F2507"/>
          <cell r="G2507"/>
          <cell r="H2507"/>
          <cell r="I2507"/>
          <cell r="J2507"/>
          <cell r="L2507"/>
        </row>
        <row r="2508">
          <cell r="A2508"/>
          <cell r="D2508"/>
          <cell r="E2508"/>
          <cell r="F2508"/>
          <cell r="G2508"/>
          <cell r="H2508"/>
          <cell r="I2508"/>
          <cell r="J2508"/>
          <cell r="L2508"/>
        </row>
        <row r="2509">
          <cell r="A2509"/>
          <cell r="D2509"/>
          <cell r="E2509"/>
          <cell r="F2509"/>
          <cell r="G2509"/>
          <cell r="H2509"/>
          <cell r="I2509"/>
          <cell r="J2509"/>
          <cell r="L2509"/>
        </row>
        <row r="2510">
          <cell r="A2510"/>
          <cell r="D2510"/>
          <cell r="E2510"/>
          <cell r="F2510"/>
          <cell r="G2510"/>
          <cell r="H2510"/>
          <cell r="I2510"/>
          <cell r="J2510"/>
          <cell r="L2510"/>
        </row>
        <row r="2511">
          <cell r="A2511"/>
          <cell r="D2511"/>
          <cell r="E2511"/>
          <cell r="F2511"/>
          <cell r="G2511"/>
          <cell r="H2511"/>
          <cell r="I2511"/>
          <cell r="J2511"/>
          <cell r="L2511"/>
        </row>
        <row r="2512">
          <cell r="A2512"/>
          <cell r="D2512"/>
          <cell r="E2512"/>
          <cell r="F2512"/>
          <cell r="G2512"/>
          <cell r="H2512"/>
          <cell r="I2512"/>
          <cell r="J2512"/>
          <cell r="L2512"/>
        </row>
        <row r="2513">
          <cell r="A2513"/>
          <cell r="D2513"/>
          <cell r="E2513"/>
          <cell r="F2513"/>
          <cell r="G2513"/>
          <cell r="H2513"/>
          <cell r="I2513"/>
          <cell r="J2513"/>
          <cell r="L2513"/>
        </row>
        <row r="2514">
          <cell r="A2514"/>
          <cell r="D2514"/>
          <cell r="E2514"/>
          <cell r="F2514"/>
          <cell r="G2514"/>
          <cell r="H2514"/>
          <cell r="I2514"/>
          <cell r="J2514"/>
          <cell r="L2514"/>
        </row>
        <row r="2515">
          <cell r="A2515"/>
          <cell r="D2515"/>
          <cell r="E2515"/>
          <cell r="F2515"/>
          <cell r="G2515"/>
          <cell r="H2515"/>
          <cell r="I2515"/>
          <cell r="J2515"/>
          <cell r="L2515"/>
        </row>
        <row r="2516">
          <cell r="A2516"/>
          <cell r="D2516"/>
          <cell r="E2516"/>
          <cell r="F2516"/>
          <cell r="G2516"/>
          <cell r="H2516"/>
          <cell r="I2516"/>
          <cell r="J2516"/>
          <cell r="L2516"/>
        </row>
        <row r="2517">
          <cell r="A2517"/>
          <cell r="D2517"/>
          <cell r="E2517"/>
          <cell r="F2517"/>
          <cell r="G2517"/>
          <cell r="H2517"/>
          <cell r="I2517"/>
          <cell r="J2517"/>
          <cell r="L2517"/>
        </row>
        <row r="2518">
          <cell r="A2518"/>
          <cell r="D2518"/>
          <cell r="E2518"/>
          <cell r="F2518"/>
          <cell r="G2518"/>
          <cell r="H2518"/>
          <cell r="I2518"/>
          <cell r="J2518"/>
          <cell r="L2518"/>
        </row>
        <row r="2519">
          <cell r="A2519"/>
          <cell r="D2519"/>
          <cell r="E2519"/>
          <cell r="F2519"/>
          <cell r="G2519"/>
          <cell r="H2519"/>
          <cell r="I2519"/>
          <cell r="J2519"/>
          <cell r="L2519"/>
        </row>
        <row r="2520">
          <cell r="A2520"/>
          <cell r="D2520"/>
          <cell r="E2520"/>
          <cell r="F2520"/>
          <cell r="G2520"/>
          <cell r="H2520"/>
          <cell r="I2520"/>
          <cell r="J2520"/>
          <cell r="L2520"/>
        </row>
        <row r="2521">
          <cell r="A2521"/>
          <cell r="D2521"/>
          <cell r="E2521"/>
          <cell r="F2521"/>
          <cell r="G2521"/>
          <cell r="H2521"/>
          <cell r="I2521"/>
          <cell r="J2521"/>
          <cell r="L2521"/>
        </row>
        <row r="2522">
          <cell r="A2522"/>
          <cell r="D2522"/>
          <cell r="E2522"/>
          <cell r="F2522"/>
          <cell r="G2522"/>
          <cell r="H2522"/>
          <cell r="I2522"/>
          <cell r="J2522"/>
          <cell r="L2522"/>
        </row>
        <row r="2523">
          <cell r="A2523"/>
          <cell r="D2523"/>
          <cell r="E2523"/>
          <cell r="F2523"/>
          <cell r="G2523"/>
          <cell r="H2523"/>
          <cell r="I2523"/>
          <cell r="J2523"/>
          <cell r="L2523"/>
        </row>
        <row r="2524">
          <cell r="A2524"/>
          <cell r="D2524"/>
          <cell r="E2524"/>
          <cell r="F2524"/>
          <cell r="G2524"/>
          <cell r="H2524"/>
          <cell r="I2524"/>
          <cell r="J2524"/>
          <cell r="L2524"/>
        </row>
        <row r="2525">
          <cell r="A2525"/>
          <cell r="D2525"/>
          <cell r="E2525"/>
          <cell r="F2525"/>
          <cell r="G2525"/>
          <cell r="H2525"/>
          <cell r="I2525"/>
          <cell r="J2525"/>
          <cell r="L2525"/>
        </row>
        <row r="2526">
          <cell r="A2526"/>
          <cell r="D2526"/>
          <cell r="E2526"/>
          <cell r="F2526"/>
          <cell r="G2526"/>
          <cell r="H2526"/>
          <cell r="I2526"/>
          <cell r="J2526"/>
          <cell r="L2526"/>
        </row>
        <row r="2527">
          <cell r="A2527"/>
          <cell r="D2527"/>
          <cell r="E2527"/>
          <cell r="F2527"/>
          <cell r="G2527"/>
          <cell r="H2527"/>
          <cell r="I2527"/>
          <cell r="J2527"/>
          <cell r="L2527"/>
        </row>
        <row r="2528">
          <cell r="A2528"/>
          <cell r="D2528"/>
          <cell r="E2528"/>
          <cell r="F2528"/>
          <cell r="G2528"/>
          <cell r="H2528"/>
          <cell r="I2528"/>
          <cell r="J2528"/>
          <cell r="L2528"/>
        </row>
        <row r="2529">
          <cell r="A2529"/>
          <cell r="D2529"/>
          <cell r="E2529"/>
          <cell r="F2529"/>
          <cell r="G2529"/>
          <cell r="H2529"/>
          <cell r="I2529"/>
          <cell r="J2529"/>
          <cell r="L2529"/>
        </row>
        <row r="2530">
          <cell r="A2530"/>
          <cell r="D2530"/>
          <cell r="E2530"/>
          <cell r="F2530"/>
          <cell r="G2530"/>
          <cell r="H2530"/>
          <cell r="I2530"/>
          <cell r="J2530"/>
          <cell r="L2530"/>
        </row>
        <row r="2531">
          <cell r="A2531"/>
          <cell r="D2531"/>
          <cell r="E2531"/>
          <cell r="F2531"/>
          <cell r="G2531"/>
          <cell r="H2531"/>
          <cell r="I2531"/>
          <cell r="J2531"/>
          <cell r="L2531"/>
        </row>
        <row r="2532">
          <cell r="A2532"/>
          <cell r="D2532"/>
          <cell r="E2532"/>
          <cell r="F2532"/>
          <cell r="G2532"/>
          <cell r="H2532"/>
          <cell r="I2532"/>
          <cell r="J2532"/>
          <cell r="L2532"/>
        </row>
        <row r="2533">
          <cell r="A2533"/>
          <cell r="D2533"/>
          <cell r="E2533"/>
          <cell r="F2533"/>
          <cell r="G2533"/>
          <cell r="H2533"/>
          <cell r="I2533"/>
          <cell r="J2533"/>
          <cell r="L2533"/>
        </row>
        <row r="2534">
          <cell r="A2534"/>
          <cell r="D2534"/>
          <cell r="E2534"/>
          <cell r="F2534"/>
          <cell r="G2534"/>
          <cell r="H2534"/>
          <cell r="I2534"/>
          <cell r="J2534"/>
          <cell r="L2534"/>
        </row>
        <row r="2535">
          <cell r="A2535"/>
          <cell r="D2535"/>
          <cell r="E2535"/>
          <cell r="F2535"/>
          <cell r="G2535"/>
          <cell r="H2535"/>
          <cell r="I2535"/>
          <cell r="J2535"/>
          <cell r="L2535"/>
        </row>
        <row r="2536">
          <cell r="A2536"/>
          <cell r="D2536"/>
          <cell r="E2536"/>
          <cell r="F2536"/>
          <cell r="G2536"/>
          <cell r="H2536"/>
          <cell r="I2536"/>
          <cell r="J2536"/>
          <cell r="L2536"/>
        </row>
        <row r="2537">
          <cell r="A2537"/>
          <cell r="D2537"/>
          <cell r="E2537"/>
          <cell r="F2537"/>
          <cell r="G2537"/>
          <cell r="H2537"/>
          <cell r="I2537"/>
          <cell r="J2537"/>
          <cell r="L2537"/>
        </row>
        <row r="2538">
          <cell r="A2538"/>
          <cell r="D2538"/>
          <cell r="E2538"/>
          <cell r="F2538"/>
          <cell r="G2538"/>
          <cell r="H2538"/>
          <cell r="I2538"/>
          <cell r="J2538"/>
          <cell r="L2538"/>
        </row>
        <row r="2539">
          <cell r="A2539"/>
          <cell r="D2539"/>
          <cell r="E2539"/>
          <cell r="F2539"/>
          <cell r="G2539"/>
          <cell r="H2539"/>
          <cell r="I2539"/>
          <cell r="J2539"/>
          <cell r="L2539"/>
        </row>
        <row r="2540">
          <cell r="A2540"/>
          <cell r="D2540"/>
          <cell r="E2540"/>
          <cell r="F2540"/>
          <cell r="G2540"/>
          <cell r="H2540"/>
          <cell r="I2540"/>
          <cell r="J2540"/>
          <cell r="L2540"/>
        </row>
        <row r="2541">
          <cell r="A2541"/>
          <cell r="D2541"/>
          <cell r="E2541"/>
          <cell r="F2541"/>
          <cell r="G2541"/>
          <cell r="H2541"/>
          <cell r="I2541"/>
          <cell r="J2541"/>
          <cell r="L2541"/>
        </row>
        <row r="2542">
          <cell r="A2542"/>
          <cell r="D2542"/>
          <cell r="E2542"/>
          <cell r="F2542"/>
          <cell r="G2542"/>
          <cell r="H2542"/>
          <cell r="I2542"/>
          <cell r="J2542"/>
          <cell r="L2542"/>
        </row>
        <row r="2543">
          <cell r="A2543"/>
          <cell r="D2543"/>
          <cell r="E2543"/>
          <cell r="F2543"/>
          <cell r="G2543"/>
          <cell r="H2543"/>
          <cell r="I2543"/>
          <cell r="J2543"/>
          <cell r="L2543"/>
        </row>
        <row r="2544">
          <cell r="A2544"/>
          <cell r="D2544"/>
          <cell r="E2544"/>
          <cell r="F2544"/>
          <cell r="G2544"/>
          <cell r="H2544"/>
          <cell r="I2544"/>
          <cell r="J2544"/>
          <cell r="L2544"/>
        </row>
        <row r="2545">
          <cell r="A2545"/>
          <cell r="D2545"/>
          <cell r="E2545"/>
          <cell r="F2545"/>
          <cell r="G2545"/>
          <cell r="H2545"/>
          <cell r="I2545"/>
          <cell r="J2545"/>
          <cell r="L2545"/>
        </row>
        <row r="2546">
          <cell r="A2546"/>
          <cell r="D2546"/>
          <cell r="E2546"/>
          <cell r="F2546"/>
          <cell r="G2546"/>
          <cell r="H2546"/>
          <cell r="I2546"/>
          <cell r="J2546"/>
          <cell r="L2546"/>
        </row>
        <row r="2547">
          <cell r="A2547"/>
          <cell r="D2547"/>
          <cell r="E2547"/>
          <cell r="F2547"/>
          <cell r="G2547"/>
          <cell r="H2547"/>
          <cell r="I2547"/>
          <cell r="J2547"/>
          <cell r="L2547"/>
        </row>
        <row r="2548">
          <cell r="A2548"/>
          <cell r="D2548"/>
          <cell r="E2548"/>
          <cell r="F2548"/>
          <cell r="G2548"/>
          <cell r="H2548"/>
          <cell r="I2548"/>
          <cell r="J2548"/>
          <cell r="L2548"/>
        </row>
        <row r="2549">
          <cell r="A2549"/>
          <cell r="D2549"/>
          <cell r="E2549"/>
          <cell r="F2549"/>
          <cell r="G2549"/>
          <cell r="H2549"/>
          <cell r="I2549"/>
          <cell r="J2549"/>
          <cell r="L2549"/>
        </row>
        <row r="2550">
          <cell r="A2550"/>
          <cell r="D2550"/>
          <cell r="E2550"/>
          <cell r="F2550"/>
          <cell r="G2550"/>
          <cell r="H2550"/>
          <cell r="I2550"/>
          <cell r="J2550"/>
          <cell r="L2550"/>
        </row>
        <row r="2551">
          <cell r="A2551"/>
          <cell r="D2551"/>
          <cell r="E2551"/>
          <cell r="F2551"/>
          <cell r="G2551"/>
          <cell r="H2551"/>
          <cell r="I2551"/>
          <cell r="J2551"/>
          <cell r="L2551"/>
        </row>
        <row r="2552">
          <cell r="A2552"/>
          <cell r="D2552"/>
          <cell r="E2552"/>
          <cell r="F2552"/>
          <cell r="G2552"/>
          <cell r="H2552"/>
          <cell r="I2552"/>
          <cell r="J2552"/>
          <cell r="L2552"/>
        </row>
        <row r="2553">
          <cell r="A2553"/>
          <cell r="D2553"/>
          <cell r="E2553"/>
          <cell r="F2553"/>
          <cell r="G2553"/>
          <cell r="H2553"/>
          <cell r="I2553"/>
          <cell r="J2553"/>
          <cell r="L2553"/>
        </row>
        <row r="2554">
          <cell r="A2554"/>
          <cell r="D2554"/>
          <cell r="E2554"/>
          <cell r="F2554"/>
          <cell r="G2554"/>
          <cell r="H2554"/>
          <cell r="I2554"/>
          <cell r="J2554"/>
          <cell r="L2554"/>
        </row>
        <row r="2555">
          <cell r="A2555"/>
          <cell r="D2555"/>
          <cell r="E2555"/>
          <cell r="F2555"/>
          <cell r="G2555"/>
          <cell r="H2555"/>
          <cell r="I2555"/>
          <cell r="J2555"/>
          <cell r="L2555"/>
        </row>
        <row r="2556">
          <cell r="A2556"/>
          <cell r="D2556"/>
          <cell r="E2556"/>
          <cell r="F2556"/>
          <cell r="G2556"/>
          <cell r="H2556"/>
          <cell r="I2556"/>
          <cell r="J2556"/>
          <cell r="L2556"/>
        </row>
        <row r="2557">
          <cell r="A2557"/>
          <cell r="D2557"/>
          <cell r="E2557"/>
          <cell r="F2557"/>
          <cell r="G2557"/>
          <cell r="H2557"/>
          <cell r="I2557"/>
          <cell r="J2557"/>
          <cell r="L2557"/>
        </row>
        <row r="2558">
          <cell r="A2558"/>
          <cell r="D2558"/>
          <cell r="E2558"/>
          <cell r="F2558"/>
          <cell r="G2558"/>
          <cell r="H2558"/>
          <cell r="I2558"/>
          <cell r="J2558"/>
          <cell r="L2558"/>
        </row>
        <row r="2559">
          <cell r="A2559"/>
          <cell r="D2559"/>
          <cell r="E2559"/>
          <cell r="F2559"/>
          <cell r="G2559"/>
          <cell r="H2559"/>
          <cell r="I2559"/>
          <cell r="J2559"/>
          <cell r="L2559"/>
        </row>
        <row r="2560">
          <cell r="A2560"/>
          <cell r="D2560"/>
          <cell r="E2560"/>
          <cell r="F2560"/>
          <cell r="G2560"/>
          <cell r="H2560"/>
          <cell r="I2560"/>
          <cell r="J2560"/>
          <cell r="L2560"/>
        </row>
        <row r="2561">
          <cell r="A2561"/>
          <cell r="D2561"/>
          <cell r="E2561"/>
          <cell r="F2561"/>
          <cell r="G2561"/>
          <cell r="H2561"/>
          <cell r="I2561"/>
          <cell r="J2561"/>
          <cell r="L2561"/>
        </row>
        <row r="2562">
          <cell r="A2562"/>
          <cell r="D2562"/>
          <cell r="E2562"/>
          <cell r="F2562"/>
          <cell r="G2562"/>
          <cell r="H2562"/>
          <cell r="I2562"/>
          <cell r="J2562"/>
          <cell r="L2562"/>
        </row>
        <row r="2563">
          <cell r="A2563"/>
          <cell r="D2563"/>
          <cell r="E2563"/>
          <cell r="F2563"/>
          <cell r="G2563"/>
          <cell r="H2563"/>
          <cell r="I2563"/>
          <cell r="J2563"/>
          <cell r="L2563"/>
        </row>
        <row r="2564">
          <cell r="A2564"/>
          <cell r="D2564"/>
          <cell r="E2564"/>
          <cell r="F2564"/>
          <cell r="G2564"/>
          <cell r="H2564"/>
          <cell r="I2564"/>
          <cell r="J2564"/>
          <cell r="L2564"/>
        </row>
        <row r="2565">
          <cell r="A2565"/>
          <cell r="D2565"/>
          <cell r="E2565"/>
          <cell r="F2565"/>
          <cell r="G2565"/>
          <cell r="H2565"/>
          <cell r="I2565"/>
          <cell r="J2565"/>
          <cell r="L2565"/>
        </row>
        <row r="2566">
          <cell r="A2566"/>
          <cell r="D2566"/>
          <cell r="E2566"/>
          <cell r="F2566"/>
          <cell r="G2566"/>
          <cell r="H2566"/>
          <cell r="I2566"/>
          <cell r="J2566"/>
          <cell r="L2566"/>
        </row>
        <row r="2567">
          <cell r="A2567"/>
          <cell r="D2567"/>
          <cell r="E2567"/>
          <cell r="F2567"/>
          <cell r="G2567"/>
          <cell r="H2567"/>
          <cell r="I2567"/>
          <cell r="J2567"/>
          <cell r="L2567"/>
        </row>
        <row r="2568">
          <cell r="A2568"/>
          <cell r="D2568"/>
          <cell r="E2568"/>
          <cell r="F2568"/>
          <cell r="G2568"/>
          <cell r="H2568"/>
          <cell r="I2568"/>
          <cell r="J2568"/>
          <cell r="L2568"/>
        </row>
        <row r="2569">
          <cell r="A2569"/>
          <cell r="D2569"/>
          <cell r="E2569"/>
          <cell r="F2569"/>
          <cell r="G2569"/>
          <cell r="H2569"/>
          <cell r="I2569"/>
          <cell r="J2569"/>
          <cell r="L2569"/>
        </row>
        <row r="2570">
          <cell r="A2570"/>
          <cell r="D2570"/>
          <cell r="E2570"/>
          <cell r="F2570"/>
          <cell r="G2570"/>
          <cell r="H2570"/>
          <cell r="I2570"/>
          <cell r="J2570"/>
          <cell r="L2570"/>
        </row>
        <row r="2571">
          <cell r="A2571"/>
          <cell r="D2571"/>
          <cell r="E2571"/>
          <cell r="F2571"/>
          <cell r="G2571"/>
          <cell r="H2571"/>
          <cell r="I2571"/>
          <cell r="J2571"/>
          <cell r="L2571"/>
        </row>
        <row r="2572">
          <cell r="A2572"/>
          <cell r="D2572"/>
          <cell r="E2572"/>
          <cell r="F2572"/>
          <cell r="G2572"/>
          <cell r="H2572"/>
          <cell r="I2572"/>
          <cell r="J2572"/>
          <cell r="L2572"/>
        </row>
        <row r="2573">
          <cell r="A2573"/>
          <cell r="D2573"/>
          <cell r="E2573"/>
          <cell r="F2573"/>
          <cell r="G2573"/>
          <cell r="H2573"/>
          <cell r="I2573"/>
          <cell r="J2573"/>
          <cell r="L2573"/>
        </row>
        <row r="2574">
          <cell r="A2574"/>
          <cell r="D2574"/>
          <cell r="E2574"/>
          <cell r="F2574"/>
          <cell r="G2574"/>
          <cell r="H2574"/>
          <cell r="I2574"/>
          <cell r="J2574"/>
          <cell r="L2574"/>
        </row>
        <row r="2575">
          <cell r="A2575"/>
          <cell r="D2575"/>
          <cell r="E2575"/>
          <cell r="F2575"/>
          <cell r="G2575"/>
          <cell r="H2575"/>
          <cell r="I2575"/>
          <cell r="J2575"/>
          <cell r="L2575"/>
        </row>
        <row r="2576">
          <cell r="A2576"/>
          <cell r="D2576"/>
          <cell r="E2576"/>
          <cell r="F2576"/>
          <cell r="G2576"/>
          <cell r="H2576"/>
          <cell r="I2576"/>
          <cell r="J2576"/>
          <cell r="L2576"/>
        </row>
        <row r="2577">
          <cell r="A2577"/>
          <cell r="D2577"/>
          <cell r="E2577"/>
          <cell r="F2577"/>
          <cell r="G2577"/>
          <cell r="H2577"/>
          <cell r="I2577"/>
          <cell r="J2577"/>
          <cell r="L2577"/>
        </row>
        <row r="2578">
          <cell r="A2578"/>
          <cell r="D2578"/>
          <cell r="E2578"/>
          <cell r="F2578"/>
          <cell r="G2578"/>
          <cell r="H2578"/>
          <cell r="I2578"/>
          <cell r="J2578"/>
          <cell r="L2578"/>
        </row>
        <row r="2579">
          <cell r="A2579"/>
          <cell r="D2579"/>
          <cell r="E2579"/>
          <cell r="F2579"/>
          <cell r="G2579"/>
          <cell r="H2579"/>
          <cell r="I2579"/>
          <cell r="J2579"/>
          <cell r="L2579"/>
        </row>
        <row r="2580">
          <cell r="A2580"/>
          <cell r="D2580"/>
          <cell r="E2580"/>
          <cell r="F2580"/>
          <cell r="G2580"/>
          <cell r="H2580"/>
          <cell r="I2580"/>
          <cell r="J2580"/>
          <cell r="L2580"/>
        </row>
        <row r="2581">
          <cell r="A2581"/>
          <cell r="D2581"/>
          <cell r="E2581"/>
          <cell r="F2581"/>
          <cell r="G2581"/>
          <cell r="H2581"/>
          <cell r="I2581"/>
          <cell r="J2581"/>
          <cell r="L2581"/>
        </row>
        <row r="2582">
          <cell r="A2582"/>
          <cell r="D2582"/>
          <cell r="E2582"/>
          <cell r="F2582"/>
          <cell r="G2582"/>
          <cell r="H2582"/>
          <cell r="I2582"/>
          <cell r="J2582"/>
          <cell r="L2582"/>
        </row>
        <row r="2583">
          <cell r="A2583"/>
          <cell r="D2583"/>
          <cell r="E2583"/>
          <cell r="F2583"/>
          <cell r="G2583"/>
          <cell r="H2583"/>
          <cell r="I2583"/>
          <cell r="J2583"/>
          <cell r="L2583"/>
        </row>
        <row r="2584">
          <cell r="A2584"/>
          <cell r="D2584"/>
          <cell r="E2584"/>
          <cell r="F2584"/>
          <cell r="G2584"/>
          <cell r="H2584"/>
          <cell r="I2584"/>
          <cell r="J2584"/>
          <cell r="L2584"/>
        </row>
        <row r="2585">
          <cell r="A2585"/>
          <cell r="D2585"/>
          <cell r="E2585"/>
          <cell r="F2585"/>
          <cell r="G2585"/>
          <cell r="H2585"/>
          <cell r="I2585"/>
          <cell r="J2585"/>
          <cell r="L2585"/>
        </row>
        <row r="2586">
          <cell r="A2586"/>
          <cell r="D2586"/>
          <cell r="E2586"/>
          <cell r="F2586"/>
          <cell r="G2586"/>
          <cell r="H2586"/>
          <cell r="I2586"/>
          <cell r="J2586"/>
          <cell r="L2586"/>
        </row>
        <row r="2587">
          <cell r="A2587"/>
          <cell r="D2587"/>
          <cell r="E2587"/>
          <cell r="F2587"/>
          <cell r="G2587"/>
          <cell r="H2587"/>
          <cell r="I2587"/>
          <cell r="J2587"/>
          <cell r="L2587"/>
        </row>
        <row r="2588">
          <cell r="A2588"/>
          <cell r="D2588"/>
          <cell r="E2588"/>
          <cell r="F2588"/>
          <cell r="G2588"/>
          <cell r="H2588"/>
          <cell r="I2588"/>
          <cell r="J2588"/>
          <cell r="L2588"/>
        </row>
        <row r="2589">
          <cell r="A2589"/>
          <cell r="D2589"/>
          <cell r="E2589"/>
          <cell r="F2589"/>
          <cell r="G2589"/>
          <cell r="H2589"/>
          <cell r="I2589"/>
          <cell r="J2589"/>
          <cell r="L2589"/>
        </row>
        <row r="2590">
          <cell r="A2590"/>
          <cell r="D2590"/>
          <cell r="E2590"/>
          <cell r="F2590"/>
          <cell r="G2590"/>
          <cell r="H2590"/>
          <cell r="I2590"/>
          <cell r="J2590"/>
          <cell r="L2590"/>
        </row>
        <row r="2591">
          <cell r="A2591"/>
          <cell r="D2591"/>
          <cell r="E2591"/>
          <cell r="F2591"/>
          <cell r="G2591"/>
          <cell r="H2591"/>
          <cell r="I2591"/>
          <cell r="J2591"/>
          <cell r="L2591"/>
        </row>
        <row r="2592">
          <cell r="A2592"/>
          <cell r="D2592"/>
          <cell r="E2592"/>
          <cell r="F2592"/>
          <cell r="G2592"/>
          <cell r="H2592"/>
          <cell r="I2592"/>
          <cell r="J2592"/>
          <cell r="L2592"/>
        </row>
        <row r="2593">
          <cell r="A2593"/>
          <cell r="D2593"/>
          <cell r="E2593"/>
          <cell r="F2593"/>
          <cell r="G2593"/>
          <cell r="H2593"/>
          <cell r="I2593"/>
          <cell r="J2593"/>
          <cell r="L2593"/>
        </row>
        <row r="2594">
          <cell r="A2594"/>
          <cell r="D2594"/>
          <cell r="E2594"/>
          <cell r="F2594"/>
          <cell r="G2594"/>
          <cell r="H2594"/>
          <cell r="I2594"/>
          <cell r="J2594"/>
          <cell r="L2594"/>
        </row>
        <row r="2595">
          <cell r="A2595"/>
          <cell r="D2595"/>
          <cell r="E2595"/>
          <cell r="F2595"/>
          <cell r="G2595"/>
          <cell r="H2595"/>
          <cell r="I2595"/>
          <cell r="J2595"/>
          <cell r="L2595"/>
        </row>
        <row r="2596">
          <cell r="A2596"/>
          <cell r="D2596"/>
          <cell r="E2596"/>
          <cell r="F2596"/>
          <cell r="G2596"/>
          <cell r="H2596"/>
          <cell r="I2596"/>
          <cell r="J2596"/>
          <cell r="L2596"/>
        </row>
        <row r="2597">
          <cell r="A2597"/>
          <cell r="D2597"/>
          <cell r="E2597"/>
          <cell r="F2597"/>
          <cell r="G2597"/>
          <cell r="H2597"/>
          <cell r="I2597"/>
          <cell r="J2597"/>
          <cell r="L2597"/>
        </row>
        <row r="2598">
          <cell r="A2598"/>
          <cell r="D2598"/>
          <cell r="E2598"/>
          <cell r="F2598"/>
          <cell r="G2598"/>
          <cell r="H2598"/>
          <cell r="I2598"/>
          <cell r="J2598"/>
          <cell r="L2598"/>
        </row>
        <row r="2599">
          <cell r="A2599"/>
          <cell r="D2599"/>
          <cell r="E2599"/>
          <cell r="F2599"/>
          <cell r="G2599"/>
          <cell r="H2599"/>
          <cell r="I2599"/>
          <cell r="J2599"/>
          <cell r="L2599"/>
        </row>
        <row r="2600">
          <cell r="A2600"/>
          <cell r="D2600"/>
          <cell r="E2600"/>
          <cell r="F2600"/>
          <cell r="G2600"/>
          <cell r="H2600"/>
          <cell r="I2600"/>
          <cell r="J2600"/>
          <cell r="L2600"/>
        </row>
        <row r="2601">
          <cell r="A2601"/>
          <cell r="D2601"/>
          <cell r="E2601"/>
          <cell r="F2601"/>
          <cell r="G2601"/>
          <cell r="H2601"/>
          <cell r="I2601"/>
          <cell r="J2601"/>
          <cell r="L2601"/>
        </row>
        <row r="2602">
          <cell r="A2602"/>
          <cell r="D2602"/>
          <cell r="E2602"/>
          <cell r="F2602"/>
          <cell r="G2602"/>
          <cell r="H2602"/>
          <cell r="I2602"/>
          <cell r="J2602"/>
          <cell r="L2602"/>
        </row>
        <row r="2603">
          <cell r="A2603"/>
          <cell r="D2603"/>
          <cell r="E2603"/>
          <cell r="F2603"/>
          <cell r="G2603"/>
          <cell r="H2603"/>
          <cell r="I2603"/>
          <cell r="J2603"/>
          <cell r="L2603"/>
        </row>
        <row r="2604">
          <cell r="A2604"/>
          <cell r="D2604"/>
          <cell r="E2604"/>
          <cell r="F2604"/>
          <cell r="G2604"/>
          <cell r="H2604"/>
          <cell r="I2604"/>
          <cell r="J2604"/>
          <cell r="L2604"/>
        </row>
        <row r="2605">
          <cell r="A2605"/>
          <cell r="D2605"/>
          <cell r="E2605"/>
          <cell r="F2605"/>
          <cell r="G2605"/>
          <cell r="H2605"/>
          <cell r="I2605"/>
          <cell r="J2605"/>
          <cell r="L2605"/>
        </row>
        <row r="2606">
          <cell r="A2606"/>
          <cell r="D2606"/>
          <cell r="E2606"/>
          <cell r="F2606"/>
          <cell r="G2606"/>
          <cell r="H2606"/>
          <cell r="I2606"/>
          <cell r="J2606"/>
          <cell r="L2606"/>
        </row>
        <row r="2607">
          <cell r="A2607"/>
          <cell r="D2607"/>
          <cell r="E2607"/>
          <cell r="F2607"/>
          <cell r="G2607"/>
          <cell r="H2607"/>
          <cell r="I2607"/>
          <cell r="J2607"/>
          <cell r="L2607"/>
        </row>
        <row r="2608">
          <cell r="A2608"/>
          <cell r="D2608"/>
          <cell r="E2608"/>
          <cell r="F2608"/>
          <cell r="G2608"/>
          <cell r="H2608"/>
          <cell r="I2608"/>
          <cell r="J2608"/>
          <cell r="L2608"/>
        </row>
        <row r="2609">
          <cell r="A2609"/>
          <cell r="D2609"/>
          <cell r="E2609"/>
          <cell r="F2609"/>
          <cell r="G2609"/>
          <cell r="H2609"/>
          <cell r="I2609"/>
          <cell r="J2609"/>
          <cell r="L2609"/>
        </row>
        <row r="2610">
          <cell r="A2610"/>
          <cell r="D2610"/>
          <cell r="E2610"/>
          <cell r="F2610"/>
          <cell r="G2610"/>
          <cell r="H2610"/>
          <cell r="I2610"/>
          <cell r="J2610"/>
          <cell r="L2610"/>
        </row>
        <row r="2611">
          <cell r="A2611"/>
          <cell r="D2611"/>
          <cell r="E2611"/>
          <cell r="F2611"/>
          <cell r="G2611"/>
          <cell r="H2611"/>
          <cell r="I2611"/>
          <cell r="J2611"/>
          <cell r="L2611"/>
        </row>
        <row r="2612">
          <cell r="A2612"/>
          <cell r="D2612"/>
          <cell r="E2612"/>
          <cell r="F2612"/>
          <cell r="G2612"/>
          <cell r="H2612"/>
          <cell r="I2612"/>
          <cell r="J2612"/>
          <cell r="L2612"/>
        </row>
        <row r="2613">
          <cell r="A2613"/>
          <cell r="D2613"/>
          <cell r="E2613"/>
          <cell r="F2613"/>
          <cell r="G2613"/>
          <cell r="H2613"/>
          <cell r="I2613"/>
          <cell r="J2613"/>
          <cell r="L2613"/>
        </row>
        <row r="2614">
          <cell r="A2614"/>
          <cell r="D2614"/>
          <cell r="E2614"/>
          <cell r="F2614"/>
          <cell r="G2614"/>
          <cell r="H2614"/>
          <cell r="I2614"/>
          <cell r="J2614"/>
          <cell r="L2614"/>
        </row>
        <row r="2615">
          <cell r="A2615"/>
          <cell r="D2615"/>
          <cell r="E2615"/>
          <cell r="F2615"/>
          <cell r="G2615"/>
          <cell r="H2615"/>
          <cell r="I2615"/>
          <cell r="J2615"/>
          <cell r="L2615"/>
        </row>
        <row r="2616">
          <cell r="A2616"/>
          <cell r="D2616"/>
          <cell r="E2616"/>
          <cell r="F2616"/>
          <cell r="G2616"/>
          <cell r="H2616"/>
          <cell r="I2616"/>
          <cell r="J2616"/>
          <cell r="L2616"/>
        </row>
        <row r="2617">
          <cell r="A2617"/>
          <cell r="D2617"/>
          <cell r="E2617"/>
          <cell r="F2617"/>
          <cell r="G2617"/>
          <cell r="H2617"/>
          <cell r="I2617"/>
          <cell r="J2617"/>
          <cell r="L2617"/>
        </row>
        <row r="2618">
          <cell r="A2618"/>
          <cell r="D2618"/>
          <cell r="E2618"/>
          <cell r="F2618"/>
          <cell r="G2618"/>
          <cell r="H2618"/>
          <cell r="I2618"/>
          <cell r="J2618"/>
          <cell r="L2618"/>
        </row>
        <row r="2619">
          <cell r="A2619"/>
          <cell r="D2619"/>
          <cell r="E2619"/>
          <cell r="F2619"/>
          <cell r="G2619"/>
          <cell r="H2619"/>
          <cell r="I2619"/>
          <cell r="J2619"/>
          <cell r="L2619"/>
        </row>
        <row r="2620">
          <cell r="A2620"/>
          <cell r="D2620"/>
          <cell r="E2620"/>
          <cell r="F2620"/>
          <cell r="G2620"/>
          <cell r="H2620"/>
          <cell r="I2620"/>
          <cell r="J2620"/>
          <cell r="L2620"/>
        </row>
        <row r="2621">
          <cell r="A2621"/>
          <cell r="D2621"/>
          <cell r="E2621"/>
          <cell r="F2621"/>
          <cell r="G2621"/>
          <cell r="H2621"/>
          <cell r="I2621"/>
          <cell r="J2621"/>
          <cell r="L2621"/>
        </row>
        <row r="2622">
          <cell r="A2622"/>
          <cell r="D2622"/>
          <cell r="E2622"/>
          <cell r="F2622"/>
          <cell r="G2622"/>
          <cell r="H2622"/>
          <cell r="I2622"/>
          <cell r="J2622"/>
          <cell r="L2622"/>
        </row>
        <row r="2623">
          <cell r="A2623"/>
          <cell r="D2623"/>
          <cell r="E2623"/>
          <cell r="F2623"/>
          <cell r="G2623"/>
          <cell r="H2623"/>
          <cell r="I2623"/>
          <cell r="J2623"/>
          <cell r="L2623"/>
        </row>
        <row r="2624">
          <cell r="A2624"/>
          <cell r="D2624"/>
          <cell r="E2624"/>
          <cell r="F2624"/>
          <cell r="G2624"/>
          <cell r="H2624"/>
          <cell r="I2624"/>
          <cell r="J2624"/>
          <cell r="L2624"/>
        </row>
        <row r="2625">
          <cell r="A2625"/>
          <cell r="D2625"/>
          <cell r="E2625"/>
          <cell r="F2625"/>
          <cell r="G2625"/>
          <cell r="H2625"/>
          <cell r="I2625"/>
          <cell r="J2625"/>
          <cell r="L2625"/>
        </row>
        <row r="2626">
          <cell r="A2626"/>
          <cell r="D2626"/>
          <cell r="E2626"/>
          <cell r="F2626"/>
          <cell r="G2626"/>
          <cell r="H2626"/>
          <cell r="I2626"/>
          <cell r="J2626"/>
          <cell r="L2626"/>
        </row>
        <row r="2627">
          <cell r="A2627"/>
          <cell r="D2627"/>
          <cell r="E2627"/>
          <cell r="F2627"/>
          <cell r="G2627"/>
          <cell r="H2627"/>
          <cell r="I2627"/>
          <cell r="J2627"/>
          <cell r="L2627"/>
        </row>
        <row r="2628">
          <cell r="A2628"/>
          <cell r="D2628"/>
          <cell r="E2628"/>
          <cell r="F2628"/>
          <cell r="G2628"/>
          <cell r="H2628"/>
          <cell r="I2628"/>
          <cell r="J2628"/>
          <cell r="L2628"/>
        </row>
        <row r="2629">
          <cell r="A2629"/>
          <cell r="D2629"/>
          <cell r="E2629"/>
          <cell r="F2629"/>
          <cell r="G2629"/>
          <cell r="H2629"/>
          <cell r="I2629"/>
          <cell r="J2629"/>
          <cell r="L2629"/>
        </row>
        <row r="2630">
          <cell r="A2630"/>
          <cell r="D2630"/>
          <cell r="E2630"/>
          <cell r="F2630"/>
          <cell r="G2630"/>
          <cell r="H2630"/>
          <cell r="I2630"/>
          <cell r="J2630"/>
          <cell r="L2630"/>
        </row>
        <row r="2631">
          <cell r="A2631"/>
          <cell r="D2631"/>
          <cell r="E2631"/>
          <cell r="F2631"/>
          <cell r="G2631"/>
          <cell r="H2631"/>
          <cell r="I2631"/>
          <cell r="J2631"/>
          <cell r="L2631"/>
        </row>
        <row r="2632">
          <cell r="A2632"/>
          <cell r="D2632"/>
          <cell r="E2632"/>
          <cell r="F2632"/>
          <cell r="G2632"/>
          <cell r="H2632"/>
          <cell r="I2632"/>
          <cell r="J2632"/>
          <cell r="L2632"/>
        </row>
        <row r="2633">
          <cell r="A2633"/>
          <cell r="D2633"/>
          <cell r="E2633"/>
          <cell r="F2633"/>
          <cell r="G2633"/>
          <cell r="H2633"/>
          <cell r="I2633"/>
          <cell r="J2633"/>
          <cell r="L2633"/>
        </row>
        <row r="2634">
          <cell r="A2634"/>
          <cell r="D2634"/>
          <cell r="E2634"/>
          <cell r="F2634"/>
          <cell r="G2634"/>
          <cell r="H2634"/>
          <cell r="I2634"/>
          <cell r="J2634"/>
          <cell r="L2634"/>
        </row>
        <row r="2635">
          <cell r="A2635"/>
          <cell r="D2635"/>
          <cell r="E2635"/>
          <cell r="F2635"/>
          <cell r="G2635"/>
          <cell r="H2635"/>
          <cell r="I2635"/>
          <cell r="J2635"/>
          <cell r="L2635"/>
        </row>
        <row r="2636">
          <cell r="A2636"/>
          <cell r="D2636"/>
          <cell r="E2636"/>
          <cell r="F2636"/>
          <cell r="G2636"/>
          <cell r="H2636"/>
          <cell r="I2636"/>
          <cell r="J2636"/>
          <cell r="L2636"/>
        </row>
        <row r="2637">
          <cell r="A2637"/>
          <cell r="D2637"/>
          <cell r="E2637"/>
          <cell r="F2637"/>
          <cell r="G2637"/>
          <cell r="H2637"/>
          <cell r="I2637"/>
          <cell r="J2637"/>
          <cell r="L2637"/>
        </row>
        <row r="2638">
          <cell r="A2638"/>
          <cell r="D2638"/>
          <cell r="E2638"/>
          <cell r="F2638"/>
          <cell r="G2638"/>
          <cell r="H2638"/>
          <cell r="I2638"/>
          <cell r="J2638"/>
          <cell r="L2638"/>
        </row>
        <row r="2639">
          <cell r="A2639"/>
          <cell r="D2639"/>
          <cell r="E2639"/>
          <cell r="F2639"/>
          <cell r="G2639"/>
          <cell r="H2639"/>
          <cell r="I2639"/>
          <cell r="J2639"/>
          <cell r="L2639"/>
        </row>
        <row r="2640">
          <cell r="A2640"/>
          <cell r="D2640"/>
          <cell r="E2640"/>
          <cell r="F2640"/>
          <cell r="G2640"/>
          <cell r="H2640"/>
          <cell r="I2640"/>
          <cell r="J2640"/>
          <cell r="L2640"/>
        </row>
        <row r="2641">
          <cell r="A2641"/>
          <cell r="D2641"/>
          <cell r="E2641"/>
          <cell r="F2641"/>
          <cell r="G2641"/>
          <cell r="H2641"/>
          <cell r="I2641"/>
          <cell r="J2641"/>
          <cell r="L2641"/>
        </row>
        <row r="2642">
          <cell r="A2642"/>
          <cell r="D2642"/>
          <cell r="E2642"/>
          <cell r="F2642"/>
          <cell r="G2642"/>
          <cell r="H2642"/>
          <cell r="I2642"/>
          <cell r="J2642"/>
          <cell r="L2642"/>
        </row>
        <row r="2643">
          <cell r="A2643"/>
          <cell r="D2643"/>
          <cell r="E2643"/>
          <cell r="F2643"/>
          <cell r="G2643"/>
          <cell r="H2643"/>
          <cell r="I2643"/>
          <cell r="J2643"/>
          <cell r="L2643"/>
        </row>
        <row r="2644">
          <cell r="A2644"/>
          <cell r="D2644"/>
          <cell r="E2644"/>
          <cell r="F2644"/>
          <cell r="G2644"/>
          <cell r="H2644"/>
          <cell r="I2644"/>
          <cell r="J2644"/>
          <cell r="L2644"/>
        </row>
        <row r="2645">
          <cell r="A2645"/>
          <cell r="D2645"/>
          <cell r="E2645"/>
          <cell r="F2645"/>
          <cell r="G2645"/>
          <cell r="H2645"/>
          <cell r="I2645"/>
          <cell r="J2645"/>
          <cell r="L2645"/>
        </row>
        <row r="2646">
          <cell r="A2646"/>
          <cell r="D2646"/>
          <cell r="E2646"/>
          <cell r="F2646"/>
          <cell r="G2646"/>
          <cell r="H2646"/>
          <cell r="I2646"/>
          <cell r="J2646"/>
          <cell r="L2646"/>
        </row>
        <row r="2647">
          <cell r="A2647"/>
          <cell r="D2647"/>
          <cell r="E2647"/>
          <cell r="F2647"/>
          <cell r="G2647"/>
          <cell r="H2647"/>
          <cell r="I2647"/>
          <cell r="J2647"/>
          <cell r="L2647"/>
        </row>
        <row r="2648">
          <cell r="A2648"/>
          <cell r="D2648"/>
          <cell r="E2648"/>
          <cell r="F2648"/>
          <cell r="G2648"/>
          <cell r="H2648"/>
          <cell r="I2648"/>
          <cell r="J2648"/>
          <cell r="L2648"/>
        </row>
        <row r="2649">
          <cell r="A2649"/>
          <cell r="D2649"/>
          <cell r="E2649"/>
          <cell r="F2649"/>
          <cell r="G2649"/>
          <cell r="H2649"/>
          <cell r="I2649"/>
          <cell r="J2649"/>
          <cell r="L2649"/>
        </row>
        <row r="2650">
          <cell r="A2650"/>
          <cell r="D2650"/>
          <cell r="E2650"/>
          <cell r="F2650"/>
          <cell r="G2650"/>
          <cell r="H2650"/>
          <cell r="I2650"/>
          <cell r="J2650"/>
          <cell r="L2650"/>
        </row>
        <row r="2651">
          <cell r="A2651"/>
          <cell r="D2651"/>
          <cell r="E2651"/>
          <cell r="F2651"/>
          <cell r="G2651"/>
          <cell r="H2651"/>
          <cell r="I2651"/>
          <cell r="J2651"/>
          <cell r="L2651"/>
        </row>
        <row r="2652">
          <cell r="A2652"/>
          <cell r="D2652"/>
          <cell r="E2652"/>
          <cell r="F2652"/>
          <cell r="G2652"/>
          <cell r="H2652"/>
          <cell r="I2652"/>
          <cell r="J2652"/>
          <cell r="L2652"/>
        </row>
        <row r="2653">
          <cell r="A2653"/>
          <cell r="D2653"/>
          <cell r="E2653"/>
          <cell r="F2653"/>
          <cell r="G2653"/>
          <cell r="H2653"/>
          <cell r="I2653"/>
          <cell r="J2653"/>
          <cell r="L2653"/>
        </row>
        <row r="2654">
          <cell r="A2654"/>
          <cell r="D2654"/>
          <cell r="E2654"/>
          <cell r="F2654"/>
          <cell r="G2654"/>
          <cell r="H2654"/>
          <cell r="I2654"/>
          <cell r="J2654"/>
          <cell r="L2654"/>
        </row>
        <row r="2655">
          <cell r="A2655"/>
          <cell r="D2655"/>
          <cell r="E2655"/>
          <cell r="F2655"/>
          <cell r="G2655"/>
          <cell r="H2655"/>
          <cell r="I2655"/>
          <cell r="J2655"/>
          <cell r="L2655"/>
        </row>
        <row r="2656">
          <cell r="A2656"/>
          <cell r="D2656"/>
          <cell r="E2656"/>
          <cell r="F2656"/>
          <cell r="G2656"/>
          <cell r="H2656"/>
          <cell r="I2656"/>
          <cell r="J2656"/>
          <cell r="L2656"/>
        </row>
        <row r="2657">
          <cell r="A2657"/>
          <cell r="D2657"/>
          <cell r="E2657"/>
          <cell r="F2657"/>
          <cell r="G2657"/>
          <cell r="H2657"/>
          <cell r="I2657"/>
          <cell r="J2657"/>
          <cell r="L2657"/>
        </row>
        <row r="2658">
          <cell r="A2658"/>
          <cell r="D2658"/>
          <cell r="E2658"/>
          <cell r="F2658"/>
          <cell r="G2658"/>
          <cell r="H2658"/>
          <cell r="I2658"/>
          <cell r="J2658"/>
          <cell r="L2658"/>
        </row>
        <row r="2659">
          <cell r="A2659"/>
          <cell r="D2659"/>
          <cell r="E2659"/>
          <cell r="F2659"/>
          <cell r="G2659"/>
          <cell r="H2659"/>
          <cell r="I2659"/>
          <cell r="J2659"/>
          <cell r="L2659"/>
        </row>
        <row r="2660">
          <cell r="A2660"/>
          <cell r="D2660"/>
          <cell r="E2660"/>
          <cell r="F2660"/>
          <cell r="G2660"/>
          <cell r="H2660"/>
          <cell r="I2660"/>
          <cell r="J2660"/>
          <cell r="L2660"/>
        </row>
        <row r="2661">
          <cell r="A2661"/>
          <cell r="D2661"/>
          <cell r="E2661"/>
          <cell r="F2661"/>
          <cell r="G2661"/>
          <cell r="H2661"/>
          <cell r="I2661"/>
          <cell r="J2661"/>
          <cell r="L2661"/>
        </row>
        <row r="2662">
          <cell r="A2662"/>
          <cell r="D2662"/>
          <cell r="E2662"/>
          <cell r="F2662"/>
          <cell r="G2662"/>
          <cell r="H2662"/>
          <cell r="I2662"/>
          <cell r="J2662"/>
          <cell r="L2662"/>
        </row>
        <row r="2663">
          <cell r="A2663"/>
          <cell r="D2663"/>
          <cell r="E2663"/>
          <cell r="F2663"/>
          <cell r="G2663"/>
          <cell r="H2663"/>
          <cell r="I2663"/>
          <cell r="J2663"/>
          <cell r="L2663"/>
        </row>
        <row r="2664">
          <cell r="A2664"/>
          <cell r="D2664"/>
          <cell r="E2664"/>
          <cell r="F2664"/>
          <cell r="G2664"/>
          <cell r="H2664"/>
          <cell r="I2664"/>
          <cell r="J2664"/>
          <cell r="L2664"/>
        </row>
        <row r="2665">
          <cell r="A2665"/>
          <cell r="D2665"/>
          <cell r="E2665"/>
          <cell r="F2665"/>
          <cell r="G2665"/>
          <cell r="H2665"/>
          <cell r="I2665"/>
          <cell r="J2665"/>
          <cell r="L2665"/>
        </row>
        <row r="2666">
          <cell r="A2666"/>
          <cell r="D2666"/>
          <cell r="E2666"/>
          <cell r="F2666"/>
          <cell r="G2666"/>
          <cell r="H2666"/>
          <cell r="I2666"/>
          <cell r="J2666"/>
          <cell r="L2666"/>
        </row>
        <row r="2667">
          <cell r="A2667"/>
          <cell r="D2667"/>
          <cell r="E2667"/>
          <cell r="F2667"/>
          <cell r="G2667"/>
          <cell r="H2667"/>
          <cell r="I2667"/>
          <cell r="J2667"/>
          <cell r="L2667"/>
        </row>
        <row r="2668">
          <cell r="A2668"/>
          <cell r="D2668"/>
          <cell r="E2668"/>
          <cell r="F2668"/>
          <cell r="G2668"/>
          <cell r="H2668"/>
          <cell r="I2668"/>
          <cell r="J2668"/>
          <cell r="L2668"/>
        </row>
        <row r="2669">
          <cell r="A2669"/>
          <cell r="D2669"/>
          <cell r="E2669"/>
          <cell r="F2669"/>
          <cell r="G2669"/>
          <cell r="H2669"/>
          <cell r="I2669"/>
          <cell r="J2669"/>
          <cell r="L2669"/>
        </row>
        <row r="2670">
          <cell r="A2670"/>
          <cell r="D2670"/>
          <cell r="E2670"/>
          <cell r="F2670"/>
          <cell r="G2670"/>
          <cell r="H2670"/>
          <cell r="I2670"/>
          <cell r="J2670"/>
          <cell r="L2670"/>
        </row>
        <row r="2671">
          <cell r="A2671"/>
          <cell r="D2671"/>
          <cell r="E2671"/>
          <cell r="F2671"/>
          <cell r="G2671"/>
          <cell r="H2671"/>
          <cell r="I2671"/>
          <cell r="J2671"/>
          <cell r="L2671"/>
        </row>
        <row r="2672">
          <cell r="A2672"/>
          <cell r="D2672"/>
          <cell r="E2672"/>
          <cell r="F2672"/>
          <cell r="G2672"/>
          <cell r="H2672"/>
          <cell r="I2672"/>
          <cell r="J2672"/>
          <cell r="L2672"/>
        </row>
        <row r="2673">
          <cell r="A2673"/>
          <cell r="D2673"/>
          <cell r="E2673"/>
          <cell r="F2673"/>
          <cell r="G2673"/>
          <cell r="H2673"/>
          <cell r="I2673"/>
          <cell r="J2673"/>
          <cell r="L2673"/>
        </row>
        <row r="2674">
          <cell r="A2674"/>
          <cell r="D2674"/>
          <cell r="E2674"/>
          <cell r="F2674"/>
          <cell r="G2674"/>
          <cell r="H2674"/>
          <cell r="I2674"/>
          <cell r="J2674"/>
          <cell r="L2674"/>
        </row>
        <row r="2675">
          <cell r="A2675"/>
          <cell r="D2675"/>
          <cell r="E2675"/>
          <cell r="F2675"/>
          <cell r="G2675"/>
          <cell r="H2675"/>
          <cell r="I2675"/>
          <cell r="J2675"/>
          <cell r="L2675"/>
        </row>
        <row r="2676">
          <cell r="A2676"/>
          <cell r="D2676"/>
          <cell r="E2676"/>
          <cell r="F2676"/>
          <cell r="G2676"/>
          <cell r="H2676"/>
          <cell r="I2676"/>
          <cell r="J2676"/>
          <cell r="L2676"/>
        </row>
        <row r="2677">
          <cell r="A2677"/>
          <cell r="D2677"/>
          <cell r="E2677"/>
          <cell r="F2677"/>
          <cell r="G2677"/>
          <cell r="H2677"/>
          <cell r="I2677"/>
          <cell r="J2677"/>
          <cell r="L2677"/>
        </row>
        <row r="2678">
          <cell r="A2678"/>
          <cell r="D2678"/>
          <cell r="E2678"/>
          <cell r="F2678"/>
          <cell r="G2678"/>
          <cell r="H2678"/>
          <cell r="I2678"/>
          <cell r="J2678"/>
          <cell r="L2678"/>
        </row>
        <row r="2679">
          <cell r="A2679"/>
          <cell r="D2679"/>
          <cell r="E2679"/>
          <cell r="F2679"/>
          <cell r="G2679"/>
          <cell r="H2679"/>
          <cell r="I2679"/>
          <cell r="J2679"/>
          <cell r="L2679"/>
        </row>
        <row r="2680">
          <cell r="A2680"/>
          <cell r="D2680"/>
          <cell r="E2680"/>
          <cell r="F2680"/>
          <cell r="G2680"/>
          <cell r="H2680"/>
          <cell r="I2680"/>
          <cell r="J2680"/>
          <cell r="L2680"/>
        </row>
        <row r="2681">
          <cell r="A2681"/>
          <cell r="D2681"/>
          <cell r="E2681"/>
          <cell r="F2681"/>
          <cell r="G2681"/>
          <cell r="H2681"/>
          <cell r="I2681"/>
          <cell r="J2681"/>
          <cell r="L2681"/>
        </row>
        <row r="2682">
          <cell r="A2682"/>
          <cell r="D2682"/>
          <cell r="E2682"/>
          <cell r="F2682"/>
          <cell r="G2682"/>
          <cell r="H2682"/>
          <cell r="I2682"/>
          <cell r="J2682"/>
          <cell r="L2682"/>
        </row>
        <row r="2683">
          <cell r="A2683"/>
          <cell r="D2683"/>
          <cell r="E2683"/>
          <cell r="F2683"/>
          <cell r="G2683"/>
          <cell r="H2683"/>
          <cell r="I2683"/>
          <cell r="J2683"/>
          <cell r="L2683"/>
        </row>
        <row r="2684">
          <cell r="A2684"/>
          <cell r="D2684"/>
          <cell r="E2684"/>
          <cell r="F2684"/>
          <cell r="G2684"/>
          <cell r="H2684"/>
          <cell r="I2684"/>
          <cell r="J2684"/>
          <cell r="L2684"/>
        </row>
        <row r="2685">
          <cell r="A2685"/>
          <cell r="D2685"/>
          <cell r="E2685"/>
          <cell r="F2685"/>
          <cell r="G2685"/>
          <cell r="H2685"/>
          <cell r="I2685"/>
          <cell r="J2685"/>
          <cell r="L2685"/>
        </row>
        <row r="2686">
          <cell r="A2686"/>
          <cell r="D2686"/>
          <cell r="E2686"/>
          <cell r="F2686"/>
          <cell r="G2686"/>
          <cell r="H2686"/>
          <cell r="I2686"/>
          <cell r="J2686"/>
          <cell r="L2686"/>
        </row>
        <row r="2687">
          <cell r="A2687"/>
          <cell r="D2687"/>
          <cell r="E2687"/>
          <cell r="F2687"/>
          <cell r="G2687"/>
          <cell r="H2687"/>
          <cell r="I2687"/>
          <cell r="J2687"/>
          <cell r="L2687"/>
        </row>
        <row r="2688">
          <cell r="A2688"/>
          <cell r="D2688"/>
          <cell r="E2688"/>
          <cell r="F2688"/>
          <cell r="G2688"/>
          <cell r="H2688"/>
          <cell r="I2688"/>
          <cell r="J2688"/>
          <cell r="L2688"/>
        </row>
        <row r="2689">
          <cell r="A2689"/>
          <cell r="D2689"/>
          <cell r="E2689"/>
          <cell r="F2689"/>
          <cell r="G2689"/>
          <cell r="H2689"/>
          <cell r="I2689"/>
          <cell r="J2689"/>
          <cell r="L2689"/>
        </row>
        <row r="2690">
          <cell r="A2690"/>
          <cell r="D2690"/>
          <cell r="E2690"/>
          <cell r="F2690"/>
          <cell r="G2690"/>
          <cell r="H2690"/>
          <cell r="I2690"/>
          <cell r="J2690"/>
          <cell r="L2690"/>
        </row>
        <row r="2691">
          <cell r="A2691"/>
          <cell r="D2691"/>
          <cell r="E2691"/>
          <cell r="F2691"/>
          <cell r="G2691"/>
          <cell r="H2691"/>
          <cell r="I2691"/>
          <cell r="J2691"/>
          <cell r="L2691"/>
        </row>
        <row r="2692">
          <cell r="A2692"/>
          <cell r="D2692"/>
          <cell r="E2692"/>
          <cell r="F2692"/>
          <cell r="G2692"/>
          <cell r="H2692"/>
          <cell r="I2692"/>
          <cell r="J2692"/>
          <cell r="L2692"/>
        </row>
        <row r="2693">
          <cell r="A2693"/>
          <cell r="D2693"/>
          <cell r="E2693"/>
          <cell r="F2693"/>
          <cell r="G2693"/>
          <cell r="H2693"/>
          <cell r="I2693"/>
          <cell r="J2693"/>
          <cell r="L2693"/>
        </row>
        <row r="2694">
          <cell r="A2694"/>
          <cell r="D2694"/>
          <cell r="E2694"/>
          <cell r="F2694"/>
          <cell r="G2694"/>
          <cell r="H2694"/>
          <cell r="I2694"/>
          <cell r="J2694"/>
          <cell r="L2694"/>
        </row>
        <row r="2695">
          <cell r="A2695"/>
          <cell r="D2695"/>
          <cell r="E2695"/>
          <cell r="F2695"/>
          <cell r="G2695"/>
          <cell r="H2695"/>
          <cell r="I2695"/>
          <cell r="J2695"/>
          <cell r="L2695"/>
        </row>
        <row r="2696">
          <cell r="A2696"/>
          <cell r="D2696"/>
          <cell r="E2696"/>
          <cell r="F2696"/>
          <cell r="G2696"/>
          <cell r="H2696"/>
          <cell r="I2696"/>
          <cell r="J2696"/>
          <cell r="L2696"/>
        </row>
        <row r="2697">
          <cell r="A2697"/>
          <cell r="D2697"/>
          <cell r="E2697"/>
          <cell r="F2697"/>
          <cell r="G2697"/>
          <cell r="H2697"/>
          <cell r="I2697"/>
          <cell r="J2697"/>
          <cell r="L2697"/>
        </row>
        <row r="2698">
          <cell r="A2698"/>
          <cell r="D2698"/>
          <cell r="E2698"/>
          <cell r="F2698"/>
          <cell r="G2698"/>
          <cell r="H2698"/>
          <cell r="I2698"/>
          <cell r="J2698"/>
          <cell r="L2698"/>
        </row>
        <row r="2699">
          <cell r="A2699"/>
          <cell r="D2699"/>
          <cell r="E2699"/>
          <cell r="F2699"/>
          <cell r="G2699"/>
          <cell r="H2699"/>
          <cell r="I2699"/>
          <cell r="J2699"/>
          <cell r="L2699"/>
        </row>
        <row r="2700">
          <cell r="A2700"/>
          <cell r="D2700"/>
          <cell r="E2700"/>
          <cell r="F2700"/>
          <cell r="G2700"/>
          <cell r="H2700"/>
          <cell r="I2700"/>
          <cell r="J2700"/>
          <cell r="L2700"/>
        </row>
        <row r="2701">
          <cell r="A2701"/>
          <cell r="D2701"/>
          <cell r="E2701"/>
          <cell r="F2701"/>
          <cell r="G2701"/>
          <cell r="H2701"/>
          <cell r="I2701"/>
          <cell r="J2701"/>
          <cell r="L2701"/>
        </row>
        <row r="2702">
          <cell r="A2702"/>
          <cell r="D2702"/>
          <cell r="E2702"/>
          <cell r="F2702"/>
          <cell r="G2702"/>
          <cell r="H2702"/>
          <cell r="I2702"/>
          <cell r="J2702"/>
          <cell r="L2702"/>
        </row>
        <row r="2703">
          <cell r="A2703"/>
          <cell r="D2703"/>
          <cell r="E2703"/>
          <cell r="F2703"/>
          <cell r="G2703"/>
          <cell r="H2703"/>
          <cell r="I2703"/>
          <cell r="J2703"/>
          <cell r="L2703"/>
        </row>
        <row r="2704">
          <cell r="A2704"/>
          <cell r="D2704"/>
          <cell r="E2704"/>
          <cell r="F2704"/>
          <cell r="G2704"/>
          <cell r="H2704"/>
          <cell r="I2704"/>
          <cell r="J2704"/>
          <cell r="L2704"/>
        </row>
        <row r="2705">
          <cell r="A2705"/>
          <cell r="D2705"/>
          <cell r="E2705"/>
          <cell r="F2705"/>
          <cell r="G2705"/>
          <cell r="H2705"/>
          <cell r="I2705"/>
          <cell r="J2705"/>
          <cell r="L2705"/>
        </row>
        <row r="2706">
          <cell r="A2706"/>
          <cell r="D2706"/>
          <cell r="E2706"/>
          <cell r="F2706"/>
          <cell r="G2706"/>
          <cell r="H2706"/>
          <cell r="I2706"/>
          <cell r="J2706"/>
          <cell r="L2706"/>
        </row>
        <row r="2707">
          <cell r="A2707"/>
          <cell r="D2707"/>
          <cell r="E2707"/>
          <cell r="F2707"/>
          <cell r="G2707"/>
          <cell r="H2707"/>
          <cell r="I2707"/>
          <cell r="J2707"/>
          <cell r="L2707"/>
        </row>
        <row r="2708">
          <cell r="A2708"/>
          <cell r="D2708"/>
          <cell r="E2708"/>
          <cell r="F2708"/>
          <cell r="G2708"/>
          <cell r="H2708"/>
          <cell r="I2708"/>
          <cell r="J2708"/>
          <cell r="L2708"/>
        </row>
        <row r="2709">
          <cell r="A2709"/>
          <cell r="D2709"/>
          <cell r="E2709"/>
          <cell r="F2709"/>
          <cell r="G2709"/>
          <cell r="H2709"/>
          <cell r="I2709"/>
          <cell r="J2709"/>
          <cell r="L2709"/>
        </row>
        <row r="2710">
          <cell r="A2710"/>
          <cell r="D2710"/>
          <cell r="E2710"/>
          <cell r="F2710"/>
          <cell r="G2710"/>
          <cell r="H2710"/>
          <cell r="I2710"/>
          <cell r="J2710"/>
          <cell r="L2710"/>
        </row>
        <row r="2711">
          <cell r="A2711"/>
          <cell r="D2711"/>
          <cell r="E2711"/>
          <cell r="F2711"/>
          <cell r="G2711"/>
          <cell r="H2711"/>
          <cell r="I2711"/>
          <cell r="J2711"/>
          <cell r="L2711"/>
        </row>
        <row r="2712">
          <cell r="A2712"/>
          <cell r="D2712"/>
          <cell r="E2712"/>
          <cell r="F2712"/>
          <cell r="G2712"/>
          <cell r="H2712"/>
          <cell r="I2712"/>
          <cell r="J2712"/>
          <cell r="L2712"/>
        </row>
        <row r="2713">
          <cell r="A2713"/>
          <cell r="D2713"/>
          <cell r="E2713"/>
          <cell r="F2713"/>
          <cell r="G2713"/>
          <cell r="H2713"/>
          <cell r="I2713"/>
          <cell r="J2713"/>
          <cell r="L2713"/>
        </row>
        <row r="2714">
          <cell r="A2714"/>
          <cell r="D2714"/>
          <cell r="E2714"/>
          <cell r="F2714"/>
          <cell r="G2714"/>
          <cell r="H2714"/>
          <cell r="I2714"/>
          <cell r="J2714"/>
          <cell r="L2714"/>
        </row>
        <row r="2715">
          <cell r="A2715"/>
          <cell r="D2715"/>
          <cell r="E2715"/>
          <cell r="F2715"/>
          <cell r="G2715"/>
          <cell r="H2715"/>
          <cell r="I2715"/>
          <cell r="J2715"/>
          <cell r="L2715"/>
        </row>
        <row r="2716">
          <cell r="A2716"/>
          <cell r="D2716"/>
          <cell r="E2716"/>
          <cell r="F2716"/>
          <cell r="G2716"/>
          <cell r="H2716"/>
          <cell r="I2716"/>
          <cell r="J2716"/>
          <cell r="L2716"/>
        </row>
        <row r="2717">
          <cell r="A2717"/>
          <cell r="D2717"/>
          <cell r="E2717"/>
          <cell r="F2717"/>
          <cell r="G2717"/>
          <cell r="H2717"/>
          <cell r="I2717"/>
          <cell r="J2717"/>
          <cell r="L2717"/>
        </row>
        <row r="2718">
          <cell r="A2718"/>
          <cell r="D2718"/>
          <cell r="E2718"/>
          <cell r="F2718"/>
          <cell r="G2718"/>
          <cell r="H2718"/>
          <cell r="I2718"/>
          <cell r="J2718"/>
          <cell r="L2718"/>
        </row>
        <row r="2719">
          <cell r="A2719"/>
          <cell r="D2719"/>
          <cell r="E2719"/>
          <cell r="F2719"/>
          <cell r="G2719"/>
          <cell r="H2719"/>
          <cell r="I2719"/>
          <cell r="J2719"/>
          <cell r="L2719"/>
        </row>
        <row r="2720">
          <cell r="A2720"/>
          <cell r="D2720"/>
          <cell r="E2720"/>
          <cell r="F2720"/>
          <cell r="G2720"/>
          <cell r="H2720"/>
          <cell r="I2720"/>
          <cell r="J2720"/>
          <cell r="L2720"/>
        </row>
        <row r="2721">
          <cell r="A2721"/>
          <cell r="D2721"/>
          <cell r="E2721"/>
          <cell r="F2721"/>
          <cell r="G2721"/>
          <cell r="H2721"/>
          <cell r="I2721"/>
          <cell r="J2721"/>
          <cell r="L2721"/>
        </row>
        <row r="2722">
          <cell r="A2722"/>
          <cell r="D2722"/>
          <cell r="E2722"/>
          <cell r="F2722"/>
          <cell r="G2722"/>
          <cell r="H2722"/>
          <cell r="I2722"/>
          <cell r="J2722"/>
          <cell r="L2722"/>
        </row>
        <row r="2723">
          <cell r="A2723"/>
          <cell r="D2723"/>
          <cell r="E2723"/>
          <cell r="F2723"/>
          <cell r="G2723"/>
          <cell r="H2723"/>
          <cell r="I2723"/>
          <cell r="J2723"/>
          <cell r="L2723"/>
        </row>
        <row r="2724">
          <cell r="A2724"/>
          <cell r="D2724"/>
          <cell r="E2724"/>
          <cell r="F2724"/>
          <cell r="G2724"/>
          <cell r="H2724"/>
          <cell r="I2724"/>
          <cell r="J2724"/>
          <cell r="L2724"/>
        </row>
        <row r="2725">
          <cell r="A2725"/>
          <cell r="D2725"/>
          <cell r="E2725"/>
          <cell r="F2725"/>
          <cell r="G2725"/>
          <cell r="H2725"/>
          <cell r="I2725"/>
          <cell r="J2725"/>
          <cell r="L2725"/>
        </row>
        <row r="2726">
          <cell r="A2726"/>
          <cell r="D2726"/>
          <cell r="E2726"/>
          <cell r="F2726"/>
          <cell r="G2726"/>
          <cell r="H2726"/>
          <cell r="I2726"/>
          <cell r="J2726"/>
          <cell r="L2726"/>
        </row>
        <row r="2727">
          <cell r="A2727"/>
          <cell r="D2727"/>
          <cell r="E2727"/>
          <cell r="F2727"/>
          <cell r="G2727"/>
          <cell r="H2727"/>
          <cell r="I2727"/>
          <cell r="J2727"/>
          <cell r="L2727"/>
        </row>
        <row r="2728">
          <cell r="A2728"/>
          <cell r="D2728"/>
          <cell r="E2728"/>
          <cell r="F2728"/>
          <cell r="G2728"/>
          <cell r="H2728"/>
          <cell r="I2728"/>
          <cell r="J2728"/>
          <cell r="L2728"/>
        </row>
        <row r="2729">
          <cell r="A2729"/>
          <cell r="D2729"/>
          <cell r="E2729"/>
          <cell r="F2729"/>
          <cell r="G2729"/>
          <cell r="H2729"/>
          <cell r="I2729"/>
          <cell r="J2729"/>
          <cell r="L2729"/>
        </row>
        <row r="2730">
          <cell r="A2730"/>
          <cell r="D2730"/>
          <cell r="E2730"/>
          <cell r="F2730"/>
          <cell r="G2730"/>
          <cell r="H2730"/>
          <cell r="I2730"/>
          <cell r="J2730"/>
          <cell r="L2730"/>
        </row>
        <row r="2731">
          <cell r="A2731"/>
          <cell r="D2731"/>
          <cell r="E2731"/>
          <cell r="F2731"/>
          <cell r="G2731"/>
          <cell r="H2731"/>
          <cell r="I2731"/>
          <cell r="J2731"/>
          <cell r="L2731"/>
        </row>
        <row r="2732">
          <cell r="A2732"/>
          <cell r="D2732"/>
          <cell r="E2732"/>
          <cell r="F2732"/>
          <cell r="G2732"/>
          <cell r="H2732"/>
          <cell r="I2732"/>
          <cell r="J2732"/>
          <cell r="L2732"/>
        </row>
        <row r="2733">
          <cell r="A2733"/>
          <cell r="D2733"/>
          <cell r="E2733"/>
          <cell r="F2733"/>
          <cell r="G2733"/>
          <cell r="H2733"/>
          <cell r="I2733"/>
          <cell r="J2733"/>
          <cell r="L2733"/>
        </row>
        <row r="2734">
          <cell r="A2734"/>
          <cell r="D2734"/>
          <cell r="E2734"/>
          <cell r="F2734"/>
          <cell r="G2734"/>
          <cell r="H2734"/>
          <cell r="I2734"/>
          <cell r="J2734"/>
          <cell r="L2734"/>
        </row>
        <row r="2735">
          <cell r="A2735"/>
          <cell r="D2735"/>
          <cell r="E2735"/>
          <cell r="F2735"/>
          <cell r="G2735"/>
          <cell r="H2735"/>
          <cell r="I2735"/>
          <cell r="J2735"/>
          <cell r="L2735"/>
        </row>
        <row r="2736">
          <cell r="A2736"/>
          <cell r="D2736"/>
          <cell r="E2736"/>
          <cell r="F2736"/>
          <cell r="G2736"/>
          <cell r="H2736"/>
          <cell r="I2736"/>
          <cell r="J2736"/>
          <cell r="L2736"/>
        </row>
        <row r="2737">
          <cell r="A2737"/>
          <cell r="D2737"/>
          <cell r="E2737"/>
          <cell r="F2737"/>
          <cell r="G2737"/>
          <cell r="H2737"/>
          <cell r="I2737"/>
          <cell r="J2737"/>
          <cell r="L2737"/>
        </row>
        <row r="2738">
          <cell r="A2738"/>
          <cell r="D2738"/>
          <cell r="E2738"/>
          <cell r="F2738"/>
          <cell r="G2738"/>
          <cell r="H2738"/>
          <cell r="I2738"/>
          <cell r="J2738"/>
          <cell r="L2738"/>
        </row>
        <row r="2739">
          <cell r="A2739"/>
          <cell r="D2739"/>
          <cell r="E2739"/>
          <cell r="F2739"/>
          <cell r="G2739"/>
          <cell r="H2739"/>
          <cell r="I2739"/>
          <cell r="J2739"/>
          <cell r="L2739"/>
        </row>
        <row r="2740">
          <cell r="A2740"/>
          <cell r="D2740"/>
          <cell r="E2740"/>
          <cell r="F2740"/>
          <cell r="G2740"/>
          <cell r="H2740"/>
          <cell r="I2740"/>
          <cell r="J2740"/>
          <cell r="L2740"/>
        </row>
        <row r="2741">
          <cell r="A2741"/>
          <cell r="D2741"/>
          <cell r="E2741"/>
          <cell r="F2741"/>
          <cell r="G2741"/>
          <cell r="H2741"/>
          <cell r="I2741"/>
          <cell r="J2741"/>
          <cell r="L2741"/>
        </row>
        <row r="2742">
          <cell r="A2742"/>
          <cell r="D2742"/>
          <cell r="E2742"/>
          <cell r="F2742"/>
          <cell r="G2742"/>
          <cell r="H2742"/>
          <cell r="I2742"/>
          <cell r="J2742"/>
          <cell r="L2742"/>
        </row>
        <row r="2743">
          <cell r="A2743"/>
          <cell r="D2743"/>
          <cell r="E2743"/>
          <cell r="F2743"/>
          <cell r="G2743"/>
          <cell r="H2743"/>
          <cell r="I2743"/>
          <cell r="J2743"/>
          <cell r="L2743"/>
        </row>
        <row r="2744">
          <cell r="A2744"/>
          <cell r="D2744"/>
          <cell r="E2744"/>
          <cell r="F2744"/>
          <cell r="G2744"/>
          <cell r="H2744"/>
          <cell r="I2744"/>
          <cell r="J2744"/>
          <cell r="L2744"/>
        </row>
        <row r="2745">
          <cell r="A2745"/>
          <cell r="D2745"/>
          <cell r="E2745"/>
          <cell r="F2745"/>
          <cell r="G2745"/>
          <cell r="H2745"/>
          <cell r="I2745"/>
          <cell r="J2745"/>
          <cell r="L2745"/>
        </row>
        <row r="2746">
          <cell r="A2746"/>
          <cell r="D2746"/>
          <cell r="E2746"/>
          <cell r="F2746"/>
          <cell r="G2746"/>
          <cell r="H2746"/>
          <cell r="I2746"/>
          <cell r="J2746"/>
          <cell r="L2746"/>
        </row>
        <row r="2747">
          <cell r="A2747"/>
          <cell r="D2747"/>
          <cell r="E2747"/>
          <cell r="F2747"/>
          <cell r="G2747"/>
          <cell r="H2747"/>
          <cell r="I2747"/>
          <cell r="J2747"/>
          <cell r="L2747"/>
        </row>
        <row r="2748">
          <cell r="A2748"/>
          <cell r="D2748"/>
          <cell r="E2748"/>
          <cell r="F2748"/>
          <cell r="G2748"/>
          <cell r="H2748"/>
          <cell r="I2748"/>
          <cell r="J2748"/>
          <cell r="L2748"/>
        </row>
        <row r="2749">
          <cell r="A2749"/>
          <cell r="D2749"/>
          <cell r="E2749"/>
          <cell r="F2749"/>
          <cell r="G2749"/>
          <cell r="H2749"/>
          <cell r="I2749"/>
          <cell r="J2749"/>
          <cell r="L2749"/>
        </row>
        <row r="2750">
          <cell r="A2750"/>
          <cell r="D2750"/>
          <cell r="E2750"/>
          <cell r="F2750"/>
          <cell r="G2750"/>
          <cell r="H2750"/>
          <cell r="I2750"/>
          <cell r="J2750"/>
          <cell r="L2750"/>
        </row>
        <row r="2751">
          <cell r="A2751"/>
          <cell r="D2751"/>
          <cell r="E2751"/>
          <cell r="F2751"/>
          <cell r="G2751"/>
          <cell r="H2751"/>
          <cell r="I2751"/>
          <cell r="J2751"/>
          <cell r="L2751"/>
        </row>
        <row r="2752">
          <cell r="A2752"/>
          <cell r="D2752"/>
          <cell r="E2752"/>
          <cell r="F2752"/>
          <cell r="G2752"/>
          <cell r="H2752"/>
          <cell r="I2752"/>
          <cell r="J2752"/>
          <cell r="L2752"/>
        </row>
        <row r="2753">
          <cell r="A2753"/>
          <cell r="D2753"/>
          <cell r="E2753"/>
          <cell r="F2753"/>
          <cell r="G2753"/>
          <cell r="H2753"/>
          <cell r="I2753"/>
          <cell r="J2753"/>
          <cell r="L2753"/>
        </row>
        <row r="2754">
          <cell r="A2754"/>
          <cell r="D2754"/>
          <cell r="E2754"/>
          <cell r="F2754"/>
          <cell r="G2754"/>
          <cell r="H2754"/>
          <cell r="I2754"/>
          <cell r="J2754"/>
          <cell r="L2754"/>
        </row>
        <row r="2755">
          <cell r="A2755"/>
          <cell r="D2755"/>
          <cell r="E2755"/>
          <cell r="F2755"/>
          <cell r="G2755"/>
          <cell r="H2755"/>
          <cell r="I2755"/>
          <cell r="J2755"/>
          <cell r="L2755"/>
        </row>
        <row r="2756">
          <cell r="A2756"/>
          <cell r="D2756"/>
          <cell r="E2756"/>
          <cell r="F2756"/>
          <cell r="G2756"/>
          <cell r="H2756"/>
          <cell r="I2756"/>
          <cell r="J2756"/>
          <cell r="L2756"/>
        </row>
        <row r="2757">
          <cell r="A2757"/>
          <cell r="D2757"/>
          <cell r="E2757"/>
          <cell r="F2757"/>
          <cell r="G2757"/>
          <cell r="H2757"/>
          <cell r="I2757"/>
          <cell r="J2757"/>
          <cell r="L2757"/>
        </row>
        <row r="2758">
          <cell r="A2758"/>
          <cell r="D2758"/>
          <cell r="E2758"/>
          <cell r="F2758"/>
          <cell r="G2758"/>
          <cell r="H2758"/>
          <cell r="I2758"/>
          <cell r="J2758"/>
          <cell r="L2758"/>
        </row>
        <row r="2759">
          <cell r="A2759"/>
          <cell r="D2759"/>
          <cell r="E2759"/>
          <cell r="F2759"/>
          <cell r="G2759"/>
          <cell r="H2759"/>
          <cell r="I2759"/>
          <cell r="J2759"/>
          <cell r="L2759"/>
        </row>
        <row r="2760">
          <cell r="A2760"/>
          <cell r="D2760"/>
          <cell r="E2760"/>
          <cell r="F2760"/>
          <cell r="G2760"/>
          <cell r="H2760"/>
          <cell r="I2760"/>
          <cell r="J2760"/>
          <cell r="L2760"/>
        </row>
        <row r="2761">
          <cell r="A2761"/>
          <cell r="D2761"/>
          <cell r="E2761"/>
          <cell r="F2761"/>
          <cell r="G2761"/>
          <cell r="H2761"/>
          <cell r="I2761"/>
          <cell r="J2761"/>
          <cell r="L2761"/>
        </row>
        <row r="2762">
          <cell r="A2762"/>
          <cell r="D2762"/>
          <cell r="E2762"/>
          <cell r="F2762"/>
          <cell r="G2762"/>
          <cell r="H2762"/>
          <cell r="I2762"/>
          <cell r="J2762"/>
          <cell r="L2762"/>
        </row>
        <row r="2763">
          <cell r="A2763"/>
          <cell r="D2763"/>
          <cell r="E2763"/>
          <cell r="F2763"/>
          <cell r="G2763"/>
          <cell r="H2763"/>
          <cell r="I2763"/>
          <cell r="J2763"/>
          <cell r="L2763"/>
        </row>
        <row r="2764">
          <cell r="A2764"/>
          <cell r="D2764"/>
          <cell r="E2764"/>
          <cell r="F2764"/>
          <cell r="G2764"/>
          <cell r="H2764"/>
          <cell r="I2764"/>
          <cell r="J2764"/>
          <cell r="L2764"/>
        </row>
        <row r="2765">
          <cell r="A2765"/>
          <cell r="D2765"/>
          <cell r="E2765"/>
          <cell r="F2765"/>
          <cell r="G2765"/>
          <cell r="H2765"/>
          <cell r="I2765"/>
          <cell r="J2765"/>
          <cell r="L2765"/>
        </row>
        <row r="2766">
          <cell r="A2766"/>
          <cell r="D2766"/>
          <cell r="E2766"/>
          <cell r="F2766"/>
          <cell r="G2766"/>
          <cell r="H2766"/>
          <cell r="I2766"/>
          <cell r="J2766"/>
          <cell r="L2766"/>
        </row>
        <row r="2767">
          <cell r="A2767"/>
          <cell r="D2767"/>
          <cell r="E2767"/>
          <cell r="F2767"/>
          <cell r="G2767"/>
          <cell r="H2767"/>
          <cell r="I2767"/>
          <cell r="J2767"/>
          <cell r="L2767"/>
        </row>
        <row r="2768">
          <cell r="A2768"/>
          <cell r="D2768"/>
          <cell r="E2768"/>
          <cell r="F2768"/>
          <cell r="G2768"/>
          <cell r="H2768"/>
          <cell r="I2768"/>
          <cell r="J2768"/>
          <cell r="L2768"/>
        </row>
        <row r="2769">
          <cell r="A2769"/>
          <cell r="D2769"/>
          <cell r="E2769"/>
          <cell r="F2769"/>
          <cell r="G2769"/>
          <cell r="H2769"/>
          <cell r="I2769"/>
          <cell r="J2769"/>
          <cell r="L2769"/>
        </row>
        <row r="2770">
          <cell r="A2770"/>
          <cell r="D2770"/>
          <cell r="E2770"/>
          <cell r="F2770"/>
          <cell r="G2770"/>
          <cell r="H2770"/>
          <cell r="I2770"/>
          <cell r="J2770"/>
          <cell r="L2770"/>
        </row>
        <row r="2771">
          <cell r="A2771"/>
          <cell r="D2771"/>
          <cell r="E2771"/>
          <cell r="F2771"/>
          <cell r="G2771"/>
          <cell r="H2771"/>
          <cell r="I2771"/>
          <cell r="J2771"/>
          <cell r="L2771"/>
        </row>
        <row r="2772">
          <cell r="A2772"/>
          <cell r="D2772"/>
          <cell r="E2772"/>
          <cell r="F2772"/>
          <cell r="G2772"/>
          <cell r="H2772"/>
          <cell r="I2772"/>
          <cell r="J2772"/>
          <cell r="L2772"/>
        </row>
        <row r="2773">
          <cell r="A2773"/>
          <cell r="D2773"/>
          <cell r="E2773"/>
          <cell r="F2773"/>
          <cell r="G2773"/>
          <cell r="H2773"/>
          <cell r="I2773"/>
          <cell r="J2773"/>
          <cell r="L2773"/>
        </row>
        <row r="2774">
          <cell r="A2774"/>
          <cell r="D2774"/>
          <cell r="E2774"/>
          <cell r="F2774"/>
          <cell r="G2774"/>
          <cell r="H2774"/>
          <cell r="I2774"/>
          <cell r="J2774"/>
          <cell r="L2774"/>
        </row>
        <row r="2775">
          <cell r="A2775"/>
          <cell r="D2775"/>
          <cell r="E2775"/>
          <cell r="F2775"/>
          <cell r="G2775"/>
          <cell r="H2775"/>
          <cell r="I2775"/>
          <cell r="J2775"/>
          <cell r="L2775"/>
        </row>
        <row r="2776">
          <cell r="A2776"/>
          <cell r="D2776"/>
          <cell r="E2776"/>
          <cell r="F2776"/>
          <cell r="G2776"/>
          <cell r="H2776"/>
          <cell r="I2776"/>
          <cell r="J2776"/>
          <cell r="L2776"/>
        </row>
        <row r="2777">
          <cell r="A2777"/>
          <cell r="D2777"/>
          <cell r="E2777"/>
          <cell r="F2777"/>
          <cell r="G2777"/>
          <cell r="H2777"/>
          <cell r="I2777"/>
          <cell r="J2777"/>
          <cell r="L2777"/>
        </row>
        <row r="2778">
          <cell r="A2778"/>
          <cell r="D2778"/>
          <cell r="E2778"/>
          <cell r="F2778"/>
          <cell r="G2778"/>
          <cell r="H2778"/>
          <cell r="I2778"/>
          <cell r="J2778"/>
          <cell r="L2778"/>
        </row>
        <row r="2779">
          <cell r="A2779"/>
          <cell r="D2779"/>
          <cell r="E2779"/>
          <cell r="F2779"/>
          <cell r="G2779"/>
          <cell r="H2779"/>
          <cell r="I2779"/>
          <cell r="J2779"/>
          <cell r="L2779"/>
        </row>
        <row r="2780">
          <cell r="A2780"/>
          <cell r="D2780"/>
          <cell r="E2780"/>
          <cell r="F2780"/>
          <cell r="G2780"/>
          <cell r="H2780"/>
          <cell r="I2780"/>
          <cell r="J2780"/>
          <cell r="L2780"/>
        </row>
        <row r="2781">
          <cell r="A2781"/>
          <cell r="D2781"/>
          <cell r="E2781"/>
          <cell r="F2781"/>
          <cell r="G2781"/>
          <cell r="H2781"/>
          <cell r="I2781"/>
          <cell r="J2781"/>
          <cell r="L2781"/>
        </row>
        <row r="2782">
          <cell r="A2782"/>
          <cell r="D2782"/>
          <cell r="E2782"/>
          <cell r="F2782"/>
          <cell r="G2782"/>
          <cell r="H2782"/>
          <cell r="I2782"/>
          <cell r="J2782"/>
          <cell r="L2782"/>
        </row>
        <row r="2783">
          <cell r="A2783"/>
          <cell r="D2783"/>
          <cell r="E2783"/>
          <cell r="F2783"/>
          <cell r="G2783"/>
          <cell r="H2783"/>
          <cell r="I2783"/>
          <cell r="J2783"/>
          <cell r="L2783"/>
        </row>
        <row r="2784">
          <cell r="A2784"/>
          <cell r="D2784"/>
          <cell r="E2784"/>
          <cell r="F2784"/>
          <cell r="G2784"/>
          <cell r="H2784"/>
          <cell r="I2784"/>
          <cell r="J2784"/>
          <cell r="L2784"/>
        </row>
        <row r="2785">
          <cell r="A2785"/>
          <cell r="D2785"/>
          <cell r="E2785"/>
          <cell r="F2785"/>
          <cell r="G2785"/>
          <cell r="H2785"/>
          <cell r="I2785"/>
          <cell r="J2785"/>
          <cell r="L2785"/>
        </row>
        <row r="2786">
          <cell r="A2786"/>
          <cell r="D2786"/>
          <cell r="E2786"/>
          <cell r="F2786"/>
          <cell r="G2786"/>
          <cell r="H2786"/>
          <cell r="I2786"/>
          <cell r="J2786"/>
          <cell r="L2786"/>
        </row>
        <row r="2787">
          <cell r="A2787"/>
          <cell r="D2787"/>
          <cell r="E2787"/>
          <cell r="F2787"/>
          <cell r="G2787"/>
          <cell r="H2787"/>
          <cell r="I2787"/>
          <cell r="J2787"/>
          <cell r="L2787"/>
        </row>
        <row r="2788">
          <cell r="A2788"/>
          <cell r="D2788"/>
          <cell r="E2788"/>
          <cell r="F2788"/>
          <cell r="G2788"/>
          <cell r="H2788"/>
          <cell r="I2788"/>
          <cell r="J2788"/>
          <cell r="L2788"/>
        </row>
        <row r="2789">
          <cell r="A2789"/>
          <cell r="D2789"/>
          <cell r="E2789"/>
          <cell r="F2789"/>
          <cell r="G2789"/>
          <cell r="H2789"/>
          <cell r="I2789"/>
          <cell r="J2789"/>
          <cell r="L2789"/>
        </row>
        <row r="2790">
          <cell r="A2790"/>
          <cell r="D2790"/>
          <cell r="E2790"/>
          <cell r="F2790"/>
          <cell r="G2790"/>
          <cell r="H2790"/>
          <cell r="I2790"/>
          <cell r="J2790"/>
          <cell r="L2790"/>
        </row>
        <row r="2791">
          <cell r="A2791"/>
          <cell r="D2791"/>
          <cell r="E2791"/>
          <cell r="F2791"/>
          <cell r="G2791"/>
          <cell r="H2791"/>
          <cell r="I2791"/>
          <cell r="J2791"/>
          <cell r="L2791"/>
        </row>
        <row r="2792">
          <cell r="A2792"/>
          <cell r="D2792"/>
          <cell r="E2792"/>
          <cell r="F2792"/>
          <cell r="G2792"/>
          <cell r="H2792"/>
          <cell r="I2792"/>
          <cell r="J2792"/>
          <cell r="L2792"/>
        </row>
        <row r="2793">
          <cell r="A2793"/>
          <cell r="D2793"/>
          <cell r="E2793"/>
          <cell r="F2793"/>
          <cell r="G2793"/>
          <cell r="H2793"/>
          <cell r="I2793"/>
          <cell r="J2793"/>
          <cell r="L2793"/>
        </row>
        <row r="2794">
          <cell r="A2794"/>
          <cell r="D2794"/>
          <cell r="E2794"/>
          <cell r="F2794"/>
          <cell r="G2794"/>
          <cell r="H2794"/>
          <cell r="I2794"/>
          <cell r="J2794"/>
          <cell r="L2794"/>
        </row>
        <row r="2795">
          <cell r="A2795"/>
          <cell r="D2795"/>
          <cell r="E2795"/>
          <cell r="F2795"/>
          <cell r="G2795"/>
          <cell r="H2795"/>
          <cell r="I2795"/>
          <cell r="J2795"/>
          <cell r="L2795"/>
        </row>
        <row r="2796">
          <cell r="A2796"/>
          <cell r="D2796"/>
          <cell r="E2796"/>
          <cell r="F2796"/>
          <cell r="G2796"/>
          <cell r="H2796"/>
          <cell r="I2796"/>
          <cell r="J2796"/>
          <cell r="L2796"/>
        </row>
        <row r="2797">
          <cell r="A2797"/>
          <cell r="D2797"/>
          <cell r="E2797"/>
          <cell r="F2797"/>
          <cell r="G2797"/>
          <cell r="H2797"/>
          <cell r="I2797"/>
          <cell r="J2797"/>
          <cell r="L2797"/>
        </row>
        <row r="2798">
          <cell r="A2798"/>
          <cell r="D2798"/>
          <cell r="E2798"/>
          <cell r="F2798"/>
          <cell r="G2798"/>
          <cell r="H2798"/>
          <cell r="I2798"/>
          <cell r="J2798"/>
          <cell r="L2798"/>
        </row>
        <row r="2799">
          <cell r="A2799"/>
          <cell r="D2799"/>
          <cell r="E2799"/>
          <cell r="F2799"/>
          <cell r="G2799"/>
          <cell r="H2799"/>
          <cell r="I2799"/>
          <cell r="J2799"/>
          <cell r="L2799"/>
        </row>
        <row r="2800">
          <cell r="A2800"/>
          <cell r="D2800"/>
          <cell r="E2800"/>
          <cell r="F2800"/>
          <cell r="G2800"/>
          <cell r="H2800"/>
          <cell r="I2800"/>
          <cell r="J2800"/>
          <cell r="L2800"/>
        </row>
        <row r="2801">
          <cell r="A2801"/>
          <cell r="D2801"/>
          <cell r="E2801"/>
          <cell r="F2801"/>
          <cell r="G2801"/>
          <cell r="H2801"/>
          <cell r="I2801"/>
          <cell r="J2801"/>
          <cell r="L2801"/>
        </row>
        <row r="2802">
          <cell r="A2802"/>
          <cell r="D2802"/>
          <cell r="E2802"/>
          <cell r="F2802"/>
          <cell r="G2802"/>
          <cell r="H2802"/>
          <cell r="I2802"/>
          <cell r="J2802"/>
          <cell r="L2802"/>
        </row>
        <row r="2803">
          <cell r="A2803"/>
          <cell r="D2803"/>
          <cell r="E2803"/>
          <cell r="F2803"/>
          <cell r="G2803"/>
          <cell r="H2803"/>
          <cell r="I2803"/>
          <cell r="J2803"/>
          <cell r="L2803"/>
        </row>
        <row r="2804">
          <cell r="A2804"/>
          <cell r="D2804"/>
          <cell r="E2804"/>
          <cell r="F2804"/>
          <cell r="G2804"/>
          <cell r="H2804"/>
          <cell r="I2804"/>
          <cell r="J2804"/>
          <cell r="L2804"/>
        </row>
        <row r="2805">
          <cell r="A2805"/>
          <cell r="D2805"/>
          <cell r="E2805"/>
          <cell r="F2805"/>
          <cell r="G2805"/>
          <cell r="H2805"/>
          <cell r="I2805"/>
          <cell r="J2805"/>
          <cell r="L2805"/>
        </row>
        <row r="2806">
          <cell r="A2806"/>
          <cell r="D2806"/>
          <cell r="E2806"/>
          <cell r="F2806"/>
          <cell r="G2806"/>
          <cell r="H2806"/>
          <cell r="I2806"/>
          <cell r="J2806"/>
          <cell r="L2806"/>
        </row>
        <row r="2807">
          <cell r="A2807"/>
          <cell r="D2807"/>
          <cell r="E2807"/>
          <cell r="F2807"/>
          <cell r="G2807"/>
          <cell r="H2807"/>
          <cell r="I2807"/>
          <cell r="J2807"/>
          <cell r="L2807"/>
        </row>
        <row r="2808">
          <cell r="A2808"/>
          <cell r="D2808"/>
          <cell r="E2808"/>
          <cell r="F2808"/>
          <cell r="G2808"/>
          <cell r="H2808"/>
          <cell r="I2808"/>
          <cell r="J2808"/>
          <cell r="L2808"/>
        </row>
        <row r="2809">
          <cell r="A2809"/>
          <cell r="D2809"/>
          <cell r="E2809"/>
          <cell r="F2809"/>
          <cell r="G2809"/>
          <cell r="H2809"/>
          <cell r="I2809"/>
          <cell r="J2809"/>
          <cell r="L2809"/>
        </row>
        <row r="2810">
          <cell r="A2810"/>
          <cell r="D2810"/>
          <cell r="E2810"/>
          <cell r="F2810"/>
          <cell r="G2810"/>
          <cell r="H2810"/>
          <cell r="I2810"/>
          <cell r="J2810"/>
          <cell r="L2810"/>
        </row>
        <row r="2811">
          <cell r="A2811"/>
          <cell r="D2811"/>
          <cell r="E2811"/>
          <cell r="F2811"/>
          <cell r="G2811"/>
          <cell r="H2811"/>
          <cell r="I2811"/>
          <cell r="J2811"/>
          <cell r="L2811"/>
        </row>
        <row r="2812">
          <cell r="A2812"/>
          <cell r="D2812"/>
          <cell r="E2812"/>
          <cell r="F2812"/>
          <cell r="G2812"/>
          <cell r="H2812"/>
          <cell r="I2812"/>
          <cell r="J2812"/>
          <cell r="L2812"/>
        </row>
        <row r="2813">
          <cell r="A2813"/>
          <cell r="D2813"/>
          <cell r="E2813"/>
          <cell r="F2813"/>
          <cell r="G2813"/>
          <cell r="H2813"/>
          <cell r="I2813"/>
          <cell r="J2813"/>
          <cell r="L2813"/>
        </row>
        <row r="2814">
          <cell r="A2814"/>
          <cell r="D2814"/>
          <cell r="E2814"/>
          <cell r="F2814"/>
          <cell r="G2814"/>
          <cell r="H2814"/>
          <cell r="I2814"/>
          <cell r="J2814"/>
          <cell r="L2814"/>
        </row>
        <row r="2815">
          <cell r="A2815"/>
          <cell r="D2815"/>
          <cell r="E2815"/>
          <cell r="F2815"/>
          <cell r="G2815"/>
          <cell r="H2815"/>
          <cell r="I2815"/>
          <cell r="J2815"/>
          <cell r="L2815"/>
        </row>
        <row r="2816">
          <cell r="A2816"/>
          <cell r="D2816"/>
          <cell r="E2816"/>
          <cell r="F2816"/>
          <cell r="G2816"/>
          <cell r="H2816"/>
          <cell r="I2816"/>
          <cell r="J2816"/>
          <cell r="L2816"/>
        </row>
        <row r="2817">
          <cell r="A2817"/>
          <cell r="D2817"/>
          <cell r="E2817"/>
          <cell r="F2817"/>
          <cell r="G2817"/>
          <cell r="H2817"/>
          <cell r="I2817"/>
          <cell r="J2817"/>
          <cell r="L2817"/>
        </row>
        <row r="2818">
          <cell r="A2818"/>
          <cell r="D2818"/>
          <cell r="E2818"/>
          <cell r="F2818"/>
          <cell r="G2818"/>
          <cell r="H2818"/>
          <cell r="I2818"/>
          <cell r="J2818"/>
          <cell r="L2818"/>
        </row>
        <row r="2819">
          <cell r="A2819"/>
          <cell r="D2819"/>
          <cell r="E2819"/>
          <cell r="F2819"/>
          <cell r="G2819"/>
          <cell r="H2819"/>
          <cell r="I2819"/>
          <cell r="J2819"/>
          <cell r="L2819"/>
        </row>
        <row r="2820">
          <cell r="A2820"/>
          <cell r="D2820"/>
          <cell r="E2820"/>
          <cell r="F2820"/>
          <cell r="G2820"/>
          <cell r="H2820"/>
          <cell r="I2820"/>
          <cell r="J2820"/>
          <cell r="L2820"/>
        </row>
        <row r="2821">
          <cell r="A2821"/>
          <cell r="D2821"/>
          <cell r="E2821"/>
          <cell r="F2821"/>
          <cell r="G2821"/>
          <cell r="H2821"/>
          <cell r="I2821"/>
          <cell r="J2821"/>
          <cell r="L2821"/>
        </row>
        <row r="2822">
          <cell r="A2822"/>
          <cell r="D2822"/>
          <cell r="E2822"/>
          <cell r="F2822"/>
          <cell r="G2822"/>
          <cell r="H2822"/>
          <cell r="I2822"/>
          <cell r="J2822"/>
          <cell r="L2822"/>
        </row>
        <row r="2823">
          <cell r="A2823"/>
          <cell r="D2823"/>
          <cell r="E2823"/>
          <cell r="F2823"/>
          <cell r="G2823"/>
          <cell r="H2823"/>
          <cell r="I2823"/>
          <cell r="J2823"/>
          <cell r="L2823"/>
        </row>
        <row r="2824">
          <cell r="A2824"/>
          <cell r="D2824"/>
          <cell r="E2824"/>
          <cell r="F2824"/>
          <cell r="G2824"/>
          <cell r="H2824"/>
          <cell r="I2824"/>
          <cell r="J2824"/>
          <cell r="L2824"/>
        </row>
        <row r="2825">
          <cell r="A2825"/>
          <cell r="D2825"/>
          <cell r="E2825"/>
          <cell r="F2825"/>
          <cell r="G2825"/>
          <cell r="H2825"/>
          <cell r="I2825"/>
          <cell r="J2825"/>
          <cell r="L2825"/>
        </row>
        <row r="2826">
          <cell r="A2826"/>
          <cell r="D2826"/>
          <cell r="E2826"/>
          <cell r="F2826"/>
          <cell r="G2826"/>
          <cell r="H2826"/>
          <cell r="I2826"/>
          <cell r="J2826"/>
          <cell r="L2826"/>
        </row>
        <row r="2827">
          <cell r="A2827"/>
          <cell r="D2827"/>
          <cell r="E2827"/>
          <cell r="F2827"/>
          <cell r="G2827"/>
          <cell r="H2827"/>
          <cell r="I2827"/>
          <cell r="J2827"/>
          <cell r="L2827"/>
        </row>
        <row r="2828">
          <cell r="A2828"/>
          <cell r="D2828"/>
          <cell r="E2828"/>
          <cell r="F2828"/>
          <cell r="G2828"/>
          <cell r="H2828"/>
          <cell r="I2828"/>
          <cell r="J2828"/>
          <cell r="L2828"/>
        </row>
        <row r="2829">
          <cell r="A2829"/>
          <cell r="D2829"/>
          <cell r="E2829"/>
          <cell r="F2829"/>
          <cell r="G2829"/>
          <cell r="H2829"/>
          <cell r="I2829"/>
          <cell r="J2829"/>
          <cell r="L2829"/>
        </row>
        <row r="2830">
          <cell r="A2830"/>
          <cell r="D2830"/>
          <cell r="E2830"/>
          <cell r="F2830"/>
          <cell r="G2830"/>
          <cell r="H2830"/>
          <cell r="I2830"/>
          <cell r="J2830"/>
          <cell r="L2830"/>
        </row>
        <row r="2831">
          <cell r="A2831"/>
          <cell r="D2831"/>
          <cell r="E2831"/>
          <cell r="F2831"/>
          <cell r="G2831"/>
          <cell r="H2831"/>
          <cell r="I2831"/>
          <cell r="J2831"/>
          <cell r="L2831"/>
        </row>
        <row r="2832">
          <cell r="A2832"/>
          <cell r="D2832"/>
          <cell r="E2832"/>
          <cell r="F2832"/>
          <cell r="G2832"/>
          <cell r="H2832"/>
          <cell r="I2832"/>
          <cell r="J2832"/>
          <cell r="L2832"/>
        </row>
        <row r="2833">
          <cell r="A2833"/>
          <cell r="D2833"/>
          <cell r="E2833"/>
          <cell r="F2833"/>
          <cell r="G2833"/>
          <cell r="H2833"/>
          <cell r="I2833"/>
          <cell r="J2833"/>
          <cell r="L2833"/>
        </row>
        <row r="2834">
          <cell r="A2834"/>
          <cell r="D2834"/>
          <cell r="E2834"/>
          <cell r="F2834"/>
          <cell r="G2834"/>
          <cell r="H2834"/>
          <cell r="I2834"/>
          <cell r="J2834"/>
          <cell r="L2834"/>
        </row>
        <row r="2835">
          <cell r="A2835"/>
          <cell r="D2835"/>
          <cell r="E2835"/>
          <cell r="F2835"/>
          <cell r="G2835"/>
          <cell r="H2835"/>
          <cell r="I2835"/>
          <cell r="J2835"/>
          <cell r="L2835"/>
        </row>
        <row r="2836">
          <cell r="A2836"/>
          <cell r="D2836"/>
          <cell r="E2836"/>
          <cell r="F2836"/>
          <cell r="G2836"/>
          <cell r="H2836"/>
          <cell r="I2836"/>
          <cell r="J2836"/>
          <cell r="L2836"/>
        </row>
        <row r="2837">
          <cell r="A2837"/>
          <cell r="D2837"/>
          <cell r="E2837"/>
          <cell r="F2837"/>
          <cell r="G2837"/>
          <cell r="H2837"/>
          <cell r="I2837"/>
          <cell r="J2837"/>
          <cell r="L2837"/>
        </row>
        <row r="2838">
          <cell r="A2838"/>
          <cell r="D2838"/>
          <cell r="E2838"/>
          <cell r="F2838"/>
          <cell r="G2838"/>
          <cell r="H2838"/>
          <cell r="I2838"/>
          <cell r="J2838"/>
          <cell r="L2838"/>
        </row>
        <row r="2839">
          <cell r="A2839"/>
          <cell r="D2839"/>
          <cell r="E2839"/>
          <cell r="F2839"/>
          <cell r="G2839"/>
          <cell r="H2839"/>
          <cell r="I2839"/>
          <cell r="J2839"/>
          <cell r="L2839"/>
        </row>
        <row r="2840">
          <cell r="A2840"/>
          <cell r="D2840"/>
          <cell r="E2840"/>
          <cell r="F2840"/>
          <cell r="G2840"/>
          <cell r="H2840"/>
          <cell r="I2840"/>
          <cell r="J2840"/>
          <cell r="L2840"/>
        </row>
        <row r="2841">
          <cell r="A2841"/>
          <cell r="D2841"/>
          <cell r="E2841"/>
          <cell r="F2841"/>
          <cell r="G2841"/>
          <cell r="H2841"/>
          <cell r="I2841"/>
          <cell r="J2841"/>
          <cell r="L2841"/>
        </row>
        <row r="2842">
          <cell r="A2842"/>
          <cell r="D2842"/>
          <cell r="E2842"/>
          <cell r="F2842"/>
          <cell r="G2842"/>
          <cell r="H2842"/>
          <cell r="I2842"/>
          <cell r="J2842"/>
          <cell r="L2842"/>
        </row>
        <row r="2843">
          <cell r="A2843"/>
          <cell r="D2843"/>
          <cell r="E2843"/>
          <cell r="F2843"/>
          <cell r="G2843"/>
          <cell r="H2843"/>
          <cell r="I2843"/>
          <cell r="J2843"/>
          <cell r="L2843"/>
        </row>
        <row r="2844">
          <cell r="A2844"/>
          <cell r="D2844"/>
          <cell r="E2844"/>
          <cell r="F2844"/>
          <cell r="G2844"/>
          <cell r="H2844"/>
          <cell r="I2844"/>
          <cell r="J2844"/>
          <cell r="L2844"/>
        </row>
        <row r="2845">
          <cell r="A2845"/>
          <cell r="D2845"/>
          <cell r="E2845"/>
          <cell r="F2845"/>
          <cell r="G2845"/>
          <cell r="H2845"/>
          <cell r="I2845"/>
          <cell r="J2845"/>
          <cell r="L2845"/>
        </row>
        <row r="2846">
          <cell r="A2846"/>
          <cell r="D2846"/>
          <cell r="E2846"/>
          <cell r="F2846"/>
          <cell r="G2846"/>
          <cell r="H2846"/>
          <cell r="I2846"/>
          <cell r="J2846"/>
          <cell r="L2846"/>
        </row>
        <row r="2847">
          <cell r="A2847"/>
          <cell r="D2847"/>
          <cell r="E2847"/>
          <cell r="F2847"/>
          <cell r="G2847"/>
          <cell r="H2847"/>
          <cell r="I2847"/>
          <cell r="J2847"/>
          <cell r="L2847"/>
        </row>
        <row r="2848">
          <cell r="A2848"/>
          <cell r="D2848"/>
          <cell r="E2848"/>
          <cell r="F2848"/>
          <cell r="G2848"/>
          <cell r="H2848"/>
          <cell r="I2848"/>
          <cell r="J2848"/>
          <cell r="L2848"/>
        </row>
        <row r="2849">
          <cell r="A2849"/>
          <cell r="D2849"/>
          <cell r="E2849"/>
          <cell r="F2849"/>
          <cell r="G2849"/>
          <cell r="H2849"/>
          <cell r="I2849"/>
          <cell r="J2849"/>
          <cell r="L2849"/>
        </row>
        <row r="2850">
          <cell r="A2850"/>
          <cell r="D2850"/>
          <cell r="E2850"/>
          <cell r="F2850"/>
          <cell r="G2850"/>
          <cell r="H2850"/>
          <cell r="I2850"/>
          <cell r="J2850"/>
          <cell r="L2850"/>
        </row>
        <row r="2851">
          <cell r="A2851"/>
          <cell r="D2851"/>
          <cell r="E2851"/>
          <cell r="F2851"/>
          <cell r="G2851"/>
          <cell r="H2851"/>
          <cell r="I2851"/>
          <cell r="J2851"/>
          <cell r="L2851"/>
        </row>
        <row r="2852">
          <cell r="A2852"/>
          <cell r="D2852"/>
          <cell r="E2852"/>
          <cell r="F2852"/>
          <cell r="G2852"/>
          <cell r="H2852"/>
          <cell r="I2852"/>
          <cell r="J2852"/>
          <cell r="L2852"/>
        </row>
        <row r="2853">
          <cell r="A2853"/>
          <cell r="D2853"/>
          <cell r="E2853"/>
          <cell r="F2853"/>
          <cell r="G2853"/>
          <cell r="H2853"/>
          <cell r="I2853"/>
          <cell r="J2853"/>
          <cell r="L2853"/>
        </row>
        <row r="2854">
          <cell r="A2854"/>
          <cell r="D2854"/>
          <cell r="E2854"/>
          <cell r="F2854"/>
          <cell r="G2854"/>
          <cell r="H2854"/>
          <cell r="I2854"/>
          <cell r="J2854"/>
          <cell r="L2854"/>
        </row>
        <row r="2855">
          <cell r="A2855"/>
          <cell r="D2855"/>
          <cell r="E2855"/>
          <cell r="F2855"/>
          <cell r="G2855"/>
          <cell r="H2855"/>
          <cell r="I2855"/>
          <cell r="J2855"/>
          <cell r="L2855"/>
        </row>
        <row r="2856">
          <cell r="A2856"/>
          <cell r="D2856"/>
          <cell r="E2856"/>
          <cell r="F2856"/>
          <cell r="G2856"/>
          <cell r="H2856"/>
          <cell r="I2856"/>
          <cell r="J2856"/>
          <cell r="L2856"/>
        </row>
        <row r="2857">
          <cell r="A2857"/>
          <cell r="D2857"/>
          <cell r="E2857"/>
          <cell r="F2857"/>
          <cell r="G2857"/>
          <cell r="H2857"/>
          <cell r="I2857"/>
          <cell r="J2857"/>
          <cell r="L2857"/>
        </row>
        <row r="2858">
          <cell r="A2858"/>
          <cell r="D2858"/>
          <cell r="E2858"/>
          <cell r="F2858"/>
          <cell r="G2858"/>
          <cell r="H2858"/>
          <cell r="I2858"/>
          <cell r="J2858"/>
          <cell r="L2858"/>
        </row>
        <row r="2859">
          <cell r="A2859"/>
          <cell r="D2859"/>
          <cell r="E2859"/>
          <cell r="F2859"/>
          <cell r="G2859"/>
          <cell r="H2859"/>
          <cell r="I2859"/>
          <cell r="J2859"/>
          <cell r="L2859"/>
        </row>
        <row r="2860">
          <cell r="A2860"/>
          <cell r="D2860"/>
          <cell r="E2860"/>
          <cell r="F2860"/>
          <cell r="G2860"/>
          <cell r="H2860"/>
          <cell r="I2860"/>
          <cell r="J2860"/>
          <cell r="L2860"/>
        </row>
        <row r="2861">
          <cell r="A2861"/>
          <cell r="D2861"/>
          <cell r="E2861"/>
          <cell r="F2861"/>
          <cell r="G2861"/>
          <cell r="H2861"/>
          <cell r="I2861"/>
          <cell r="J2861"/>
          <cell r="L2861"/>
        </row>
        <row r="2862">
          <cell r="A2862"/>
          <cell r="D2862"/>
          <cell r="E2862"/>
          <cell r="F2862"/>
          <cell r="G2862"/>
          <cell r="H2862"/>
          <cell r="I2862"/>
          <cell r="J2862"/>
          <cell r="L2862"/>
        </row>
        <row r="2863">
          <cell r="A2863"/>
          <cell r="D2863"/>
          <cell r="E2863"/>
          <cell r="F2863"/>
          <cell r="G2863"/>
          <cell r="H2863"/>
          <cell r="I2863"/>
          <cell r="J2863"/>
          <cell r="L2863"/>
        </row>
        <row r="2864">
          <cell r="A2864"/>
          <cell r="D2864"/>
          <cell r="E2864"/>
          <cell r="F2864"/>
          <cell r="G2864"/>
          <cell r="H2864"/>
          <cell r="I2864"/>
          <cell r="J2864"/>
          <cell r="L2864"/>
        </row>
        <row r="2865">
          <cell r="A2865"/>
          <cell r="D2865"/>
          <cell r="E2865"/>
          <cell r="F2865"/>
          <cell r="G2865"/>
          <cell r="H2865"/>
          <cell r="I2865"/>
          <cell r="J2865"/>
          <cell r="L2865"/>
        </row>
        <row r="2866">
          <cell r="A2866"/>
          <cell r="D2866"/>
          <cell r="E2866"/>
          <cell r="F2866"/>
          <cell r="G2866"/>
          <cell r="H2866"/>
          <cell r="I2866"/>
          <cell r="J2866"/>
          <cell r="L2866"/>
        </row>
        <row r="2867">
          <cell r="A2867"/>
          <cell r="D2867"/>
          <cell r="E2867"/>
          <cell r="F2867"/>
          <cell r="G2867"/>
          <cell r="H2867"/>
          <cell r="I2867"/>
          <cell r="J2867"/>
          <cell r="L2867"/>
        </row>
        <row r="2868">
          <cell r="A2868"/>
          <cell r="D2868"/>
          <cell r="E2868"/>
          <cell r="F2868"/>
          <cell r="G2868"/>
          <cell r="H2868"/>
          <cell r="I2868"/>
          <cell r="J2868"/>
          <cell r="L2868"/>
        </row>
        <row r="2869">
          <cell r="A2869"/>
          <cell r="D2869"/>
          <cell r="E2869"/>
          <cell r="F2869"/>
          <cell r="G2869"/>
          <cell r="H2869"/>
          <cell r="I2869"/>
          <cell r="J2869"/>
          <cell r="L2869"/>
        </row>
        <row r="2870">
          <cell r="A2870"/>
          <cell r="D2870"/>
          <cell r="E2870"/>
          <cell r="F2870"/>
          <cell r="G2870"/>
          <cell r="H2870"/>
          <cell r="I2870"/>
          <cell r="J2870"/>
          <cell r="L2870"/>
        </row>
        <row r="2871">
          <cell r="A2871"/>
          <cell r="D2871"/>
          <cell r="E2871"/>
          <cell r="F2871"/>
          <cell r="G2871"/>
          <cell r="H2871"/>
          <cell r="I2871"/>
          <cell r="J2871"/>
          <cell r="L2871"/>
        </row>
        <row r="2872">
          <cell r="A2872"/>
          <cell r="D2872"/>
          <cell r="E2872"/>
          <cell r="F2872"/>
          <cell r="G2872"/>
          <cell r="H2872"/>
          <cell r="I2872"/>
          <cell r="J2872"/>
          <cell r="L2872"/>
        </row>
        <row r="2873">
          <cell r="A2873"/>
          <cell r="D2873"/>
          <cell r="E2873"/>
          <cell r="F2873"/>
          <cell r="G2873"/>
          <cell r="H2873"/>
          <cell r="I2873"/>
          <cell r="J2873"/>
          <cell r="L2873"/>
        </row>
        <row r="2874">
          <cell r="A2874"/>
          <cell r="D2874"/>
          <cell r="E2874"/>
          <cell r="F2874"/>
          <cell r="G2874"/>
          <cell r="H2874"/>
          <cell r="I2874"/>
          <cell r="J2874"/>
          <cell r="L2874"/>
        </row>
        <row r="2875">
          <cell r="A2875"/>
          <cell r="D2875"/>
          <cell r="E2875"/>
          <cell r="F2875"/>
          <cell r="G2875"/>
          <cell r="H2875"/>
          <cell r="I2875"/>
          <cell r="J2875"/>
          <cell r="L2875"/>
        </row>
        <row r="2876">
          <cell r="A2876"/>
          <cell r="D2876"/>
          <cell r="E2876"/>
          <cell r="F2876"/>
          <cell r="G2876"/>
          <cell r="H2876"/>
          <cell r="I2876"/>
          <cell r="J2876"/>
          <cell r="L2876"/>
        </row>
        <row r="2877">
          <cell r="A2877"/>
          <cell r="D2877"/>
          <cell r="E2877"/>
          <cell r="F2877"/>
          <cell r="G2877"/>
          <cell r="H2877"/>
          <cell r="I2877"/>
          <cell r="J2877"/>
          <cell r="L2877"/>
        </row>
        <row r="2878">
          <cell r="A2878"/>
          <cell r="D2878"/>
          <cell r="E2878"/>
          <cell r="F2878"/>
          <cell r="G2878"/>
          <cell r="H2878"/>
          <cell r="I2878"/>
          <cell r="J2878"/>
          <cell r="L2878"/>
        </row>
        <row r="2879">
          <cell r="A2879"/>
          <cell r="D2879"/>
          <cell r="E2879"/>
          <cell r="F2879"/>
          <cell r="G2879"/>
          <cell r="H2879"/>
          <cell r="I2879"/>
          <cell r="J2879"/>
          <cell r="L2879"/>
        </row>
        <row r="2880">
          <cell r="A2880"/>
          <cell r="D2880"/>
          <cell r="E2880"/>
          <cell r="F2880"/>
          <cell r="G2880"/>
          <cell r="H2880"/>
          <cell r="I2880"/>
          <cell r="J2880"/>
          <cell r="L2880"/>
        </row>
        <row r="2881">
          <cell r="A2881"/>
          <cell r="D2881"/>
          <cell r="E2881"/>
          <cell r="F2881"/>
          <cell r="G2881"/>
          <cell r="H2881"/>
          <cell r="I2881"/>
          <cell r="J2881"/>
          <cell r="L2881"/>
        </row>
        <row r="2882">
          <cell r="A2882"/>
          <cell r="D2882"/>
          <cell r="E2882"/>
          <cell r="F2882"/>
          <cell r="G2882"/>
          <cell r="H2882"/>
          <cell r="I2882"/>
          <cell r="J2882"/>
          <cell r="L2882"/>
        </row>
        <row r="2883">
          <cell r="A2883"/>
          <cell r="D2883"/>
          <cell r="E2883"/>
          <cell r="F2883"/>
          <cell r="G2883"/>
          <cell r="H2883"/>
          <cell r="I2883"/>
          <cell r="J2883"/>
          <cell r="L2883"/>
        </row>
        <row r="2884">
          <cell r="A2884"/>
          <cell r="D2884"/>
          <cell r="E2884"/>
          <cell r="F2884"/>
          <cell r="G2884"/>
          <cell r="H2884"/>
          <cell r="I2884"/>
          <cell r="J2884"/>
          <cell r="L2884"/>
        </row>
        <row r="2885">
          <cell r="A2885"/>
          <cell r="D2885"/>
          <cell r="E2885"/>
          <cell r="F2885"/>
          <cell r="G2885"/>
          <cell r="H2885"/>
          <cell r="I2885"/>
          <cell r="J2885"/>
          <cell r="L2885"/>
        </row>
        <row r="2886">
          <cell r="A2886"/>
          <cell r="D2886"/>
          <cell r="E2886"/>
          <cell r="F2886"/>
          <cell r="G2886"/>
          <cell r="H2886"/>
          <cell r="I2886"/>
          <cell r="J2886"/>
          <cell r="L2886"/>
        </row>
        <row r="2887">
          <cell r="A2887"/>
          <cell r="D2887"/>
          <cell r="E2887"/>
          <cell r="F2887"/>
          <cell r="G2887"/>
          <cell r="H2887"/>
          <cell r="I2887"/>
          <cell r="J2887"/>
          <cell r="L2887"/>
        </row>
        <row r="2888">
          <cell r="A2888"/>
          <cell r="D2888"/>
          <cell r="E2888"/>
          <cell r="F2888"/>
          <cell r="G2888"/>
          <cell r="H2888"/>
          <cell r="I2888"/>
          <cell r="J2888"/>
          <cell r="L2888"/>
        </row>
        <row r="2889">
          <cell r="A2889"/>
          <cell r="D2889"/>
          <cell r="E2889"/>
          <cell r="F2889"/>
          <cell r="G2889"/>
          <cell r="H2889"/>
          <cell r="I2889"/>
          <cell r="J2889"/>
          <cell r="L2889"/>
        </row>
        <row r="2890">
          <cell r="A2890"/>
          <cell r="D2890"/>
          <cell r="E2890"/>
          <cell r="F2890"/>
          <cell r="G2890"/>
          <cell r="H2890"/>
          <cell r="I2890"/>
          <cell r="J2890"/>
          <cell r="L2890"/>
        </row>
        <row r="2891">
          <cell r="A2891"/>
          <cell r="D2891"/>
          <cell r="E2891"/>
          <cell r="F2891"/>
          <cell r="G2891"/>
          <cell r="H2891"/>
          <cell r="I2891"/>
          <cell r="J2891"/>
          <cell r="L2891"/>
        </row>
        <row r="2892">
          <cell r="A2892"/>
          <cell r="D2892"/>
          <cell r="E2892"/>
          <cell r="F2892"/>
          <cell r="G2892"/>
          <cell r="H2892"/>
          <cell r="I2892"/>
          <cell r="J2892"/>
          <cell r="L2892"/>
        </row>
        <row r="2893">
          <cell r="A2893"/>
          <cell r="D2893"/>
          <cell r="E2893"/>
          <cell r="F2893"/>
          <cell r="G2893"/>
          <cell r="H2893"/>
          <cell r="I2893"/>
          <cell r="J2893"/>
          <cell r="L2893"/>
        </row>
        <row r="2894">
          <cell r="A2894"/>
          <cell r="D2894"/>
          <cell r="E2894"/>
          <cell r="F2894"/>
          <cell r="G2894"/>
          <cell r="H2894"/>
          <cell r="I2894"/>
          <cell r="J2894"/>
          <cell r="L2894"/>
        </row>
        <row r="2895">
          <cell r="A2895"/>
          <cell r="D2895"/>
          <cell r="E2895"/>
          <cell r="F2895"/>
          <cell r="G2895"/>
          <cell r="H2895"/>
          <cell r="I2895"/>
          <cell r="J2895"/>
          <cell r="L2895"/>
        </row>
        <row r="2896">
          <cell r="A2896"/>
          <cell r="D2896"/>
          <cell r="E2896"/>
          <cell r="F2896"/>
          <cell r="G2896"/>
          <cell r="H2896"/>
          <cell r="I2896"/>
          <cell r="J2896"/>
          <cell r="L2896"/>
        </row>
        <row r="2897">
          <cell r="A2897"/>
          <cell r="D2897"/>
          <cell r="E2897"/>
          <cell r="F2897"/>
          <cell r="G2897"/>
          <cell r="H2897"/>
          <cell r="I2897"/>
          <cell r="J2897"/>
          <cell r="L2897"/>
        </row>
        <row r="2898">
          <cell r="A2898"/>
          <cell r="D2898"/>
          <cell r="E2898"/>
          <cell r="F2898"/>
          <cell r="G2898"/>
          <cell r="H2898"/>
          <cell r="I2898"/>
          <cell r="J2898"/>
          <cell r="L2898"/>
        </row>
        <row r="2899">
          <cell r="A2899"/>
          <cell r="D2899"/>
          <cell r="E2899"/>
          <cell r="F2899"/>
          <cell r="G2899"/>
          <cell r="H2899"/>
          <cell r="I2899"/>
          <cell r="J2899"/>
          <cell r="L2899"/>
        </row>
        <row r="2900">
          <cell r="A2900"/>
          <cell r="D2900"/>
          <cell r="E2900"/>
          <cell r="F2900"/>
          <cell r="G2900"/>
          <cell r="H2900"/>
          <cell r="I2900"/>
          <cell r="J2900"/>
          <cell r="L2900"/>
        </row>
        <row r="2901">
          <cell r="A2901"/>
          <cell r="D2901"/>
          <cell r="E2901"/>
          <cell r="F2901"/>
          <cell r="G2901"/>
          <cell r="H2901"/>
          <cell r="I2901"/>
          <cell r="J2901"/>
          <cell r="L2901"/>
        </row>
        <row r="2902">
          <cell r="A2902"/>
          <cell r="D2902"/>
          <cell r="E2902"/>
          <cell r="F2902"/>
          <cell r="G2902"/>
          <cell r="H2902"/>
          <cell r="I2902"/>
          <cell r="J2902"/>
          <cell r="L2902"/>
        </row>
        <row r="2903">
          <cell r="A2903"/>
          <cell r="D2903"/>
          <cell r="E2903"/>
          <cell r="F2903"/>
          <cell r="G2903"/>
          <cell r="H2903"/>
          <cell r="I2903"/>
          <cell r="J2903"/>
          <cell r="L2903"/>
        </row>
        <row r="2904">
          <cell r="A2904"/>
          <cell r="D2904"/>
          <cell r="E2904"/>
          <cell r="F2904"/>
          <cell r="G2904"/>
          <cell r="H2904"/>
          <cell r="I2904"/>
          <cell r="J2904"/>
          <cell r="L2904"/>
        </row>
        <row r="2905">
          <cell r="A2905"/>
          <cell r="D2905"/>
          <cell r="E2905"/>
          <cell r="F2905"/>
          <cell r="G2905"/>
          <cell r="H2905"/>
          <cell r="I2905"/>
          <cell r="J2905"/>
          <cell r="L2905"/>
        </row>
        <row r="2906">
          <cell r="A2906"/>
          <cell r="D2906"/>
          <cell r="E2906"/>
          <cell r="F2906"/>
          <cell r="G2906"/>
          <cell r="H2906"/>
          <cell r="I2906"/>
          <cell r="J2906"/>
          <cell r="L2906"/>
        </row>
        <row r="2907">
          <cell r="A2907"/>
          <cell r="D2907"/>
          <cell r="E2907"/>
          <cell r="F2907"/>
          <cell r="G2907"/>
          <cell r="H2907"/>
          <cell r="I2907"/>
          <cell r="J2907"/>
          <cell r="L2907"/>
        </row>
        <row r="2908">
          <cell r="A2908"/>
          <cell r="D2908"/>
          <cell r="E2908"/>
          <cell r="F2908"/>
          <cell r="G2908"/>
          <cell r="H2908"/>
          <cell r="I2908"/>
          <cell r="J2908"/>
          <cell r="L2908"/>
        </row>
        <row r="2909">
          <cell r="A2909"/>
          <cell r="D2909"/>
          <cell r="E2909"/>
          <cell r="F2909"/>
          <cell r="G2909"/>
          <cell r="H2909"/>
          <cell r="I2909"/>
          <cell r="J2909"/>
          <cell r="L2909"/>
        </row>
        <row r="2910">
          <cell r="A2910"/>
          <cell r="D2910"/>
          <cell r="E2910"/>
          <cell r="F2910"/>
          <cell r="G2910"/>
          <cell r="H2910"/>
          <cell r="I2910"/>
          <cell r="J2910"/>
          <cell r="L2910"/>
        </row>
        <row r="2911">
          <cell r="A2911"/>
          <cell r="D2911"/>
          <cell r="E2911"/>
          <cell r="F2911"/>
          <cell r="G2911"/>
          <cell r="H2911"/>
          <cell r="I2911"/>
          <cell r="J2911"/>
          <cell r="L2911"/>
        </row>
        <row r="2912">
          <cell r="A2912"/>
          <cell r="D2912"/>
          <cell r="E2912"/>
          <cell r="F2912"/>
          <cell r="G2912"/>
          <cell r="H2912"/>
          <cell r="I2912"/>
          <cell r="J2912"/>
          <cell r="L2912"/>
        </row>
        <row r="2913">
          <cell r="A2913"/>
          <cell r="D2913"/>
          <cell r="E2913"/>
          <cell r="F2913"/>
          <cell r="G2913"/>
          <cell r="H2913"/>
          <cell r="I2913"/>
          <cell r="J2913"/>
          <cell r="L2913"/>
        </row>
        <row r="2914">
          <cell r="A2914"/>
          <cell r="D2914"/>
          <cell r="E2914"/>
          <cell r="F2914"/>
          <cell r="G2914"/>
          <cell r="H2914"/>
          <cell r="I2914"/>
          <cell r="J2914"/>
          <cell r="L2914"/>
        </row>
        <row r="2915">
          <cell r="A2915"/>
          <cell r="D2915"/>
          <cell r="E2915"/>
          <cell r="F2915"/>
          <cell r="G2915"/>
          <cell r="H2915"/>
          <cell r="I2915"/>
          <cell r="J2915"/>
          <cell r="L2915"/>
        </row>
        <row r="2916">
          <cell r="A2916"/>
          <cell r="D2916"/>
          <cell r="E2916"/>
          <cell r="F2916"/>
          <cell r="G2916"/>
          <cell r="H2916"/>
          <cell r="I2916"/>
          <cell r="J2916"/>
          <cell r="L2916"/>
        </row>
        <row r="2917">
          <cell r="A2917"/>
          <cell r="D2917"/>
          <cell r="E2917"/>
          <cell r="F2917"/>
          <cell r="G2917"/>
          <cell r="H2917"/>
          <cell r="I2917"/>
          <cell r="J2917"/>
          <cell r="L2917"/>
        </row>
        <row r="2918">
          <cell r="A2918"/>
          <cell r="D2918"/>
          <cell r="E2918"/>
          <cell r="F2918"/>
          <cell r="G2918"/>
          <cell r="H2918"/>
          <cell r="I2918"/>
          <cell r="J2918"/>
          <cell r="L2918"/>
        </row>
        <row r="2919">
          <cell r="A2919"/>
          <cell r="D2919"/>
          <cell r="E2919"/>
          <cell r="F2919"/>
          <cell r="G2919"/>
          <cell r="H2919"/>
          <cell r="I2919"/>
          <cell r="J2919"/>
          <cell r="L2919"/>
        </row>
        <row r="2920">
          <cell r="A2920"/>
          <cell r="D2920"/>
          <cell r="E2920"/>
          <cell r="F2920"/>
          <cell r="G2920"/>
          <cell r="H2920"/>
          <cell r="I2920"/>
          <cell r="J2920"/>
          <cell r="L2920"/>
        </row>
        <row r="2921">
          <cell r="A2921"/>
          <cell r="D2921"/>
          <cell r="E2921"/>
          <cell r="F2921"/>
          <cell r="G2921"/>
          <cell r="H2921"/>
          <cell r="I2921"/>
          <cell r="J2921"/>
          <cell r="L2921"/>
        </row>
        <row r="2922">
          <cell r="A2922"/>
          <cell r="D2922"/>
          <cell r="E2922"/>
          <cell r="F2922"/>
          <cell r="G2922"/>
          <cell r="H2922"/>
          <cell r="I2922"/>
          <cell r="J2922"/>
          <cell r="L2922"/>
        </row>
        <row r="2923">
          <cell r="A2923"/>
          <cell r="D2923"/>
          <cell r="E2923"/>
          <cell r="F2923"/>
          <cell r="G2923"/>
          <cell r="H2923"/>
          <cell r="I2923"/>
          <cell r="J2923"/>
          <cell r="L2923"/>
        </row>
        <row r="2924">
          <cell r="A2924"/>
          <cell r="D2924"/>
          <cell r="E2924"/>
          <cell r="F2924"/>
          <cell r="G2924"/>
          <cell r="H2924"/>
          <cell r="I2924"/>
          <cell r="J2924"/>
          <cell r="L2924"/>
        </row>
        <row r="2925">
          <cell r="A2925"/>
          <cell r="D2925"/>
          <cell r="E2925"/>
          <cell r="F2925"/>
          <cell r="G2925"/>
          <cell r="H2925"/>
          <cell r="I2925"/>
          <cell r="J2925"/>
          <cell r="L2925"/>
        </row>
        <row r="2926">
          <cell r="A2926"/>
          <cell r="D2926"/>
          <cell r="E2926"/>
          <cell r="F2926"/>
          <cell r="G2926"/>
          <cell r="H2926"/>
          <cell r="I2926"/>
          <cell r="J2926"/>
          <cell r="L2926"/>
        </row>
        <row r="2927">
          <cell r="A2927"/>
          <cell r="D2927"/>
          <cell r="E2927"/>
          <cell r="F2927"/>
          <cell r="G2927"/>
          <cell r="H2927"/>
          <cell r="I2927"/>
          <cell r="J2927"/>
          <cell r="L2927"/>
        </row>
        <row r="2928">
          <cell r="A2928"/>
          <cell r="D2928"/>
          <cell r="E2928"/>
          <cell r="F2928"/>
          <cell r="G2928"/>
          <cell r="H2928"/>
          <cell r="I2928"/>
          <cell r="J2928"/>
          <cell r="L2928"/>
        </row>
        <row r="2929">
          <cell r="A2929"/>
          <cell r="D2929"/>
          <cell r="E2929"/>
          <cell r="F2929"/>
          <cell r="G2929"/>
          <cell r="H2929"/>
          <cell r="I2929"/>
          <cell r="J2929"/>
          <cell r="L2929"/>
        </row>
        <row r="2930">
          <cell r="A2930"/>
          <cell r="D2930"/>
          <cell r="E2930"/>
          <cell r="F2930"/>
          <cell r="G2930"/>
          <cell r="H2930"/>
          <cell r="I2930"/>
          <cell r="J2930"/>
          <cell r="L2930"/>
        </row>
        <row r="2931">
          <cell r="A2931"/>
          <cell r="D2931"/>
          <cell r="E2931"/>
          <cell r="F2931"/>
          <cell r="G2931"/>
          <cell r="H2931"/>
          <cell r="I2931"/>
          <cell r="J2931"/>
          <cell r="L2931"/>
        </row>
        <row r="2932">
          <cell r="A2932"/>
          <cell r="D2932"/>
          <cell r="E2932"/>
          <cell r="F2932"/>
          <cell r="G2932"/>
          <cell r="H2932"/>
          <cell r="I2932"/>
          <cell r="J2932"/>
          <cell r="L2932"/>
        </row>
        <row r="2933">
          <cell r="A2933"/>
          <cell r="D2933"/>
          <cell r="E2933"/>
          <cell r="F2933"/>
          <cell r="G2933"/>
          <cell r="H2933"/>
          <cell r="I2933"/>
          <cell r="J2933"/>
          <cell r="L2933"/>
        </row>
        <row r="2934">
          <cell r="A2934"/>
          <cell r="D2934"/>
          <cell r="E2934"/>
          <cell r="F2934"/>
          <cell r="G2934"/>
          <cell r="H2934"/>
          <cell r="I2934"/>
          <cell r="J2934"/>
          <cell r="L2934"/>
        </row>
        <row r="2935">
          <cell r="A2935"/>
          <cell r="D2935"/>
          <cell r="E2935"/>
          <cell r="F2935"/>
          <cell r="G2935"/>
          <cell r="H2935"/>
          <cell r="I2935"/>
          <cell r="J2935"/>
          <cell r="L2935"/>
        </row>
        <row r="2936">
          <cell r="A2936"/>
          <cell r="D2936"/>
          <cell r="E2936"/>
          <cell r="F2936"/>
          <cell r="G2936"/>
          <cell r="H2936"/>
          <cell r="I2936"/>
          <cell r="J2936"/>
          <cell r="L2936"/>
        </row>
        <row r="2937">
          <cell r="A2937"/>
          <cell r="D2937"/>
          <cell r="E2937"/>
          <cell r="F2937"/>
          <cell r="G2937"/>
          <cell r="H2937"/>
          <cell r="I2937"/>
          <cell r="J2937"/>
          <cell r="L2937"/>
        </row>
        <row r="2938">
          <cell r="A2938"/>
          <cell r="D2938"/>
          <cell r="E2938"/>
          <cell r="F2938"/>
          <cell r="G2938"/>
          <cell r="H2938"/>
          <cell r="I2938"/>
          <cell r="J2938"/>
          <cell r="L2938"/>
        </row>
        <row r="2939">
          <cell r="A2939"/>
          <cell r="D2939"/>
          <cell r="E2939"/>
          <cell r="F2939"/>
          <cell r="G2939"/>
          <cell r="H2939"/>
          <cell r="I2939"/>
          <cell r="J2939"/>
          <cell r="L2939"/>
        </row>
        <row r="2940">
          <cell r="A2940"/>
          <cell r="D2940"/>
          <cell r="E2940"/>
          <cell r="F2940"/>
          <cell r="G2940"/>
          <cell r="H2940"/>
          <cell r="I2940"/>
          <cell r="J2940"/>
          <cell r="L2940"/>
        </row>
        <row r="2941">
          <cell r="A2941"/>
          <cell r="D2941"/>
          <cell r="E2941"/>
          <cell r="F2941"/>
          <cell r="G2941"/>
          <cell r="H2941"/>
          <cell r="I2941"/>
          <cell r="J2941"/>
          <cell r="L2941"/>
        </row>
        <row r="2942">
          <cell r="A2942"/>
          <cell r="D2942"/>
          <cell r="E2942"/>
          <cell r="F2942"/>
          <cell r="G2942"/>
          <cell r="H2942"/>
          <cell r="I2942"/>
          <cell r="J2942"/>
          <cell r="L2942"/>
        </row>
        <row r="2943">
          <cell r="A2943"/>
          <cell r="D2943"/>
          <cell r="E2943"/>
          <cell r="F2943"/>
          <cell r="G2943"/>
          <cell r="H2943"/>
          <cell r="I2943"/>
          <cell r="J2943"/>
          <cell r="L2943"/>
        </row>
        <row r="2944">
          <cell r="A2944"/>
          <cell r="D2944"/>
          <cell r="E2944"/>
          <cell r="F2944"/>
          <cell r="G2944"/>
          <cell r="H2944"/>
          <cell r="I2944"/>
          <cell r="J2944"/>
          <cell r="L2944"/>
        </row>
        <row r="2945">
          <cell r="A2945"/>
          <cell r="D2945"/>
          <cell r="E2945"/>
          <cell r="F2945"/>
          <cell r="G2945"/>
          <cell r="H2945"/>
          <cell r="I2945"/>
          <cell r="J2945"/>
          <cell r="L2945"/>
        </row>
        <row r="2946">
          <cell r="A2946"/>
          <cell r="D2946"/>
          <cell r="E2946"/>
          <cell r="F2946"/>
          <cell r="G2946"/>
          <cell r="H2946"/>
          <cell r="I2946"/>
          <cell r="J2946"/>
          <cell r="L2946"/>
        </row>
        <row r="2947">
          <cell r="A2947"/>
          <cell r="D2947"/>
          <cell r="E2947"/>
          <cell r="F2947"/>
          <cell r="G2947"/>
          <cell r="H2947"/>
          <cell r="I2947"/>
          <cell r="J2947"/>
          <cell r="L2947"/>
        </row>
        <row r="2948">
          <cell r="A2948"/>
          <cell r="D2948"/>
          <cell r="E2948"/>
          <cell r="F2948"/>
          <cell r="G2948"/>
          <cell r="H2948"/>
          <cell r="I2948"/>
          <cell r="J2948"/>
          <cell r="L2948"/>
        </row>
        <row r="2949">
          <cell r="A2949"/>
          <cell r="D2949"/>
          <cell r="E2949"/>
          <cell r="F2949"/>
          <cell r="G2949"/>
          <cell r="H2949"/>
          <cell r="I2949"/>
          <cell r="J2949"/>
          <cell r="L2949"/>
        </row>
        <row r="2950">
          <cell r="A2950"/>
          <cell r="D2950"/>
          <cell r="E2950"/>
          <cell r="F2950"/>
          <cell r="G2950"/>
          <cell r="H2950"/>
          <cell r="I2950"/>
          <cell r="J2950"/>
          <cell r="L2950"/>
        </row>
        <row r="2951">
          <cell r="A2951"/>
          <cell r="D2951"/>
          <cell r="E2951"/>
          <cell r="F2951"/>
          <cell r="G2951"/>
          <cell r="H2951"/>
          <cell r="I2951"/>
          <cell r="J2951"/>
          <cell r="L2951"/>
        </row>
        <row r="2952">
          <cell r="A2952"/>
          <cell r="D2952"/>
          <cell r="E2952"/>
          <cell r="F2952"/>
          <cell r="G2952"/>
          <cell r="H2952"/>
          <cell r="I2952"/>
          <cell r="J2952"/>
          <cell r="L2952"/>
        </row>
        <row r="2953">
          <cell r="A2953"/>
          <cell r="D2953"/>
          <cell r="E2953"/>
          <cell r="F2953"/>
          <cell r="G2953"/>
          <cell r="H2953"/>
          <cell r="I2953"/>
          <cell r="J2953"/>
          <cell r="L2953"/>
        </row>
        <row r="2954">
          <cell r="A2954"/>
          <cell r="D2954"/>
          <cell r="E2954"/>
          <cell r="F2954"/>
          <cell r="G2954"/>
          <cell r="H2954"/>
          <cell r="I2954"/>
          <cell r="J2954"/>
          <cell r="L2954"/>
        </row>
        <row r="2955">
          <cell r="A2955"/>
          <cell r="D2955"/>
          <cell r="E2955"/>
          <cell r="F2955"/>
          <cell r="G2955"/>
          <cell r="H2955"/>
          <cell r="I2955"/>
          <cell r="J2955"/>
          <cell r="L2955"/>
        </row>
        <row r="2956">
          <cell r="A2956"/>
          <cell r="D2956"/>
          <cell r="E2956"/>
          <cell r="F2956"/>
          <cell r="G2956"/>
          <cell r="H2956"/>
          <cell r="I2956"/>
          <cell r="J2956"/>
          <cell r="L2956"/>
        </row>
        <row r="2957">
          <cell r="A2957"/>
          <cell r="D2957"/>
          <cell r="E2957"/>
          <cell r="F2957"/>
          <cell r="G2957"/>
          <cell r="H2957"/>
          <cell r="I2957"/>
          <cell r="J2957"/>
          <cell r="L2957"/>
        </row>
        <row r="2958">
          <cell r="A2958"/>
          <cell r="D2958"/>
          <cell r="E2958"/>
          <cell r="F2958"/>
          <cell r="G2958"/>
          <cell r="H2958"/>
          <cell r="I2958"/>
          <cell r="J2958"/>
          <cell r="L2958"/>
        </row>
        <row r="2959">
          <cell r="A2959"/>
          <cell r="D2959"/>
          <cell r="E2959"/>
          <cell r="F2959"/>
          <cell r="G2959"/>
          <cell r="H2959"/>
          <cell r="I2959"/>
          <cell r="J2959"/>
          <cell r="L2959"/>
        </row>
        <row r="2960">
          <cell r="A2960"/>
          <cell r="D2960"/>
          <cell r="E2960"/>
          <cell r="F2960"/>
          <cell r="G2960"/>
          <cell r="H2960"/>
          <cell r="I2960"/>
          <cell r="J2960"/>
          <cell r="L2960"/>
        </row>
        <row r="2961">
          <cell r="A2961"/>
          <cell r="D2961"/>
          <cell r="E2961"/>
          <cell r="F2961"/>
          <cell r="G2961"/>
          <cell r="H2961"/>
          <cell r="I2961"/>
          <cell r="J2961"/>
          <cell r="L2961"/>
        </row>
        <row r="2962">
          <cell r="A2962"/>
          <cell r="D2962"/>
          <cell r="E2962"/>
          <cell r="F2962"/>
          <cell r="G2962"/>
          <cell r="H2962"/>
          <cell r="I2962"/>
          <cell r="J2962"/>
          <cell r="L2962"/>
        </row>
        <row r="2963">
          <cell r="A2963"/>
          <cell r="D2963"/>
          <cell r="E2963"/>
          <cell r="F2963"/>
          <cell r="G2963"/>
          <cell r="H2963"/>
          <cell r="I2963"/>
          <cell r="J2963"/>
          <cell r="L2963"/>
        </row>
        <row r="2964">
          <cell r="A2964"/>
          <cell r="D2964"/>
          <cell r="E2964"/>
          <cell r="F2964"/>
          <cell r="G2964"/>
          <cell r="H2964"/>
          <cell r="I2964"/>
          <cell r="J2964"/>
          <cell r="L2964"/>
        </row>
        <row r="2965">
          <cell r="A2965"/>
          <cell r="D2965"/>
          <cell r="E2965"/>
          <cell r="F2965"/>
          <cell r="G2965"/>
          <cell r="H2965"/>
          <cell r="I2965"/>
          <cell r="J2965"/>
          <cell r="L2965"/>
        </row>
        <row r="2966">
          <cell r="A2966"/>
          <cell r="D2966"/>
          <cell r="E2966"/>
          <cell r="F2966"/>
          <cell r="G2966"/>
          <cell r="H2966"/>
          <cell r="I2966"/>
          <cell r="J2966"/>
          <cell r="L2966"/>
        </row>
        <row r="2967">
          <cell r="A2967"/>
          <cell r="D2967"/>
          <cell r="E2967"/>
          <cell r="F2967"/>
          <cell r="G2967"/>
          <cell r="H2967"/>
          <cell r="I2967"/>
          <cell r="J2967"/>
          <cell r="L2967"/>
        </row>
        <row r="2968">
          <cell r="A2968"/>
          <cell r="D2968"/>
          <cell r="E2968"/>
          <cell r="F2968"/>
          <cell r="G2968"/>
          <cell r="H2968"/>
          <cell r="I2968"/>
          <cell r="J2968"/>
          <cell r="L2968"/>
        </row>
        <row r="2969">
          <cell r="A2969"/>
          <cell r="D2969"/>
          <cell r="E2969"/>
          <cell r="F2969"/>
          <cell r="G2969"/>
          <cell r="H2969"/>
          <cell r="I2969"/>
          <cell r="J2969"/>
          <cell r="L2969"/>
        </row>
        <row r="2970">
          <cell r="A2970"/>
          <cell r="D2970"/>
          <cell r="E2970"/>
          <cell r="F2970"/>
          <cell r="G2970"/>
          <cell r="H2970"/>
          <cell r="I2970"/>
          <cell r="J2970"/>
          <cell r="L2970"/>
        </row>
        <row r="2971">
          <cell r="A2971"/>
          <cell r="D2971"/>
          <cell r="E2971"/>
          <cell r="F2971"/>
          <cell r="G2971"/>
          <cell r="H2971"/>
          <cell r="I2971"/>
          <cell r="J2971"/>
          <cell r="L2971"/>
        </row>
        <row r="2972">
          <cell r="A2972"/>
          <cell r="D2972"/>
          <cell r="E2972"/>
          <cell r="F2972"/>
          <cell r="G2972"/>
          <cell r="H2972"/>
          <cell r="I2972"/>
          <cell r="J2972"/>
          <cell r="L2972"/>
        </row>
        <row r="2973">
          <cell r="A2973"/>
          <cell r="D2973"/>
          <cell r="E2973"/>
          <cell r="F2973"/>
          <cell r="G2973"/>
          <cell r="H2973"/>
          <cell r="I2973"/>
          <cell r="J2973"/>
          <cell r="L2973"/>
        </row>
        <row r="2974">
          <cell r="A2974"/>
          <cell r="D2974"/>
          <cell r="E2974"/>
          <cell r="F2974"/>
          <cell r="G2974"/>
          <cell r="H2974"/>
          <cell r="I2974"/>
          <cell r="J2974"/>
          <cell r="L2974"/>
        </row>
        <row r="2975">
          <cell r="A2975"/>
          <cell r="D2975"/>
          <cell r="E2975"/>
          <cell r="F2975"/>
          <cell r="G2975"/>
          <cell r="H2975"/>
          <cell r="I2975"/>
          <cell r="J2975"/>
          <cell r="L2975"/>
        </row>
        <row r="2976">
          <cell r="A2976"/>
          <cell r="D2976"/>
          <cell r="E2976"/>
          <cell r="F2976"/>
          <cell r="G2976"/>
          <cell r="H2976"/>
          <cell r="I2976"/>
          <cell r="J2976"/>
          <cell r="L2976"/>
        </row>
        <row r="2977">
          <cell r="A2977"/>
          <cell r="D2977"/>
          <cell r="E2977"/>
          <cell r="F2977"/>
          <cell r="G2977"/>
          <cell r="H2977"/>
          <cell r="I2977"/>
          <cell r="J2977"/>
          <cell r="L2977"/>
        </row>
        <row r="2978">
          <cell r="A2978"/>
          <cell r="D2978"/>
          <cell r="E2978"/>
          <cell r="F2978"/>
          <cell r="G2978"/>
          <cell r="H2978"/>
          <cell r="I2978"/>
          <cell r="J2978"/>
          <cell r="L2978"/>
        </row>
        <row r="2979">
          <cell r="A2979"/>
          <cell r="D2979"/>
          <cell r="E2979"/>
          <cell r="F2979"/>
          <cell r="G2979"/>
          <cell r="H2979"/>
          <cell r="I2979"/>
          <cell r="J2979"/>
          <cell r="L2979"/>
        </row>
        <row r="2980">
          <cell r="A2980"/>
          <cell r="D2980"/>
          <cell r="E2980"/>
          <cell r="F2980"/>
          <cell r="G2980"/>
          <cell r="H2980"/>
          <cell r="I2980"/>
          <cell r="J2980"/>
          <cell r="L2980"/>
        </row>
        <row r="2981">
          <cell r="A2981"/>
          <cell r="D2981"/>
          <cell r="E2981"/>
          <cell r="F2981"/>
          <cell r="G2981"/>
          <cell r="H2981"/>
          <cell r="I2981"/>
          <cell r="J2981"/>
          <cell r="L2981"/>
        </row>
        <row r="2982">
          <cell r="A2982"/>
          <cell r="D2982"/>
          <cell r="E2982"/>
          <cell r="F2982"/>
          <cell r="G2982"/>
          <cell r="H2982"/>
          <cell r="I2982"/>
          <cell r="J2982"/>
          <cell r="L2982"/>
        </row>
        <row r="2983">
          <cell r="A2983"/>
          <cell r="D2983"/>
          <cell r="E2983"/>
          <cell r="F2983"/>
          <cell r="G2983"/>
          <cell r="H2983"/>
          <cell r="I2983"/>
          <cell r="J2983"/>
          <cell r="L2983"/>
        </row>
        <row r="2984">
          <cell r="A2984"/>
          <cell r="D2984"/>
          <cell r="E2984"/>
          <cell r="F2984"/>
          <cell r="G2984"/>
          <cell r="H2984"/>
          <cell r="I2984"/>
          <cell r="J2984"/>
          <cell r="L2984"/>
        </row>
        <row r="2985">
          <cell r="A2985"/>
          <cell r="D2985"/>
          <cell r="E2985"/>
          <cell r="F2985"/>
          <cell r="G2985"/>
          <cell r="H2985"/>
          <cell r="I2985"/>
          <cell r="J2985"/>
          <cell r="L2985"/>
        </row>
        <row r="2986">
          <cell r="A2986"/>
          <cell r="D2986"/>
          <cell r="E2986"/>
          <cell r="F2986"/>
          <cell r="G2986"/>
          <cell r="H2986"/>
          <cell r="I2986"/>
          <cell r="J2986"/>
          <cell r="L2986"/>
        </row>
        <row r="2987">
          <cell r="A2987"/>
          <cell r="D2987"/>
          <cell r="E2987"/>
          <cell r="F2987"/>
          <cell r="G2987"/>
          <cell r="H2987"/>
          <cell r="I2987"/>
          <cell r="J2987"/>
          <cell r="L2987"/>
        </row>
        <row r="2988">
          <cell r="A2988"/>
          <cell r="D2988"/>
          <cell r="E2988"/>
          <cell r="F2988"/>
          <cell r="G2988"/>
          <cell r="H2988"/>
          <cell r="I2988"/>
          <cell r="J2988"/>
          <cell r="L2988"/>
        </row>
        <row r="2989">
          <cell r="A2989"/>
          <cell r="D2989"/>
          <cell r="E2989"/>
          <cell r="F2989"/>
          <cell r="G2989"/>
          <cell r="H2989"/>
          <cell r="I2989"/>
          <cell r="J2989"/>
          <cell r="L2989"/>
        </row>
        <row r="2990">
          <cell r="A2990"/>
          <cell r="D2990"/>
          <cell r="E2990"/>
          <cell r="F2990"/>
          <cell r="G2990"/>
          <cell r="H2990"/>
          <cell r="I2990"/>
          <cell r="J2990"/>
          <cell r="L2990"/>
        </row>
        <row r="2991">
          <cell r="A2991"/>
          <cell r="D2991"/>
          <cell r="E2991"/>
          <cell r="F2991"/>
          <cell r="G2991"/>
          <cell r="H2991"/>
          <cell r="I2991"/>
          <cell r="J2991"/>
          <cell r="L2991"/>
        </row>
        <row r="2992">
          <cell r="A2992"/>
          <cell r="D2992"/>
          <cell r="E2992"/>
          <cell r="F2992"/>
          <cell r="G2992"/>
          <cell r="H2992"/>
          <cell r="I2992"/>
          <cell r="J2992"/>
          <cell r="L2992"/>
        </row>
        <row r="2993">
          <cell r="A2993"/>
          <cell r="D2993"/>
          <cell r="E2993"/>
          <cell r="F2993"/>
          <cell r="G2993"/>
          <cell r="H2993"/>
          <cell r="I2993"/>
          <cell r="J2993"/>
          <cell r="L2993"/>
        </row>
        <row r="2994">
          <cell r="A2994"/>
          <cell r="D2994"/>
          <cell r="E2994"/>
          <cell r="F2994"/>
          <cell r="G2994"/>
          <cell r="H2994"/>
          <cell r="I2994"/>
          <cell r="J2994"/>
          <cell r="L2994"/>
        </row>
        <row r="2995">
          <cell r="A2995"/>
          <cell r="D2995"/>
          <cell r="E2995"/>
          <cell r="F2995"/>
          <cell r="G2995"/>
          <cell r="H2995"/>
          <cell r="I2995"/>
          <cell r="J2995"/>
          <cell r="L2995"/>
        </row>
        <row r="2996">
          <cell r="A2996"/>
          <cell r="D2996"/>
          <cell r="E2996"/>
          <cell r="F2996"/>
          <cell r="G2996"/>
          <cell r="H2996"/>
          <cell r="I2996"/>
          <cell r="J2996"/>
          <cell r="L2996"/>
        </row>
        <row r="2997">
          <cell r="A2997"/>
          <cell r="D2997"/>
          <cell r="E2997"/>
          <cell r="F2997"/>
          <cell r="G2997"/>
          <cell r="H2997"/>
          <cell r="I2997"/>
          <cell r="J2997"/>
          <cell r="L2997"/>
        </row>
        <row r="2998">
          <cell r="A2998"/>
          <cell r="D2998"/>
          <cell r="E2998"/>
          <cell r="F2998"/>
          <cell r="G2998"/>
          <cell r="H2998"/>
          <cell r="I2998"/>
          <cell r="J2998"/>
          <cell r="L2998"/>
        </row>
        <row r="2999">
          <cell r="A2999"/>
          <cell r="D2999"/>
          <cell r="E2999"/>
          <cell r="F2999"/>
          <cell r="G2999"/>
          <cell r="H2999"/>
          <cell r="I2999"/>
          <cell r="J2999"/>
          <cell r="L2999"/>
        </row>
        <row r="3000">
          <cell r="A3000"/>
          <cell r="D3000"/>
          <cell r="E3000"/>
          <cell r="F3000"/>
          <cell r="G3000"/>
          <cell r="H3000"/>
          <cell r="I3000"/>
          <cell r="J3000"/>
          <cell r="L3000"/>
        </row>
        <row r="3001">
          <cell r="A3001"/>
          <cell r="D3001"/>
          <cell r="E3001"/>
          <cell r="F3001"/>
          <cell r="G3001"/>
          <cell r="H3001"/>
          <cell r="I3001"/>
          <cell r="J3001"/>
          <cell r="L3001"/>
        </row>
        <row r="3002">
          <cell r="A3002"/>
          <cell r="D3002"/>
          <cell r="E3002"/>
          <cell r="F3002"/>
          <cell r="G3002"/>
          <cell r="H3002"/>
          <cell r="I3002"/>
          <cell r="J3002"/>
          <cell r="L3002"/>
        </row>
        <row r="3003">
          <cell r="A3003"/>
          <cell r="D3003"/>
          <cell r="E3003"/>
          <cell r="F3003"/>
          <cell r="G3003"/>
          <cell r="H3003"/>
          <cell r="I3003"/>
          <cell r="J3003"/>
          <cell r="L3003"/>
        </row>
        <row r="3004">
          <cell r="A3004"/>
          <cell r="D3004"/>
          <cell r="E3004"/>
          <cell r="F3004"/>
          <cell r="G3004"/>
          <cell r="H3004"/>
          <cell r="I3004"/>
          <cell r="J3004"/>
          <cell r="L3004"/>
        </row>
        <row r="3005">
          <cell r="A3005"/>
          <cell r="D3005"/>
          <cell r="E3005"/>
          <cell r="F3005"/>
          <cell r="G3005"/>
          <cell r="H3005"/>
          <cell r="I3005"/>
          <cell r="J3005"/>
          <cell r="L3005"/>
        </row>
        <row r="3006">
          <cell r="A3006"/>
          <cell r="D3006"/>
          <cell r="E3006"/>
          <cell r="F3006"/>
          <cell r="G3006"/>
          <cell r="H3006"/>
          <cell r="I3006"/>
          <cell r="J3006"/>
          <cell r="L3006"/>
        </row>
        <row r="3007">
          <cell r="A3007"/>
          <cell r="D3007"/>
          <cell r="E3007"/>
          <cell r="F3007"/>
          <cell r="G3007"/>
          <cell r="H3007"/>
          <cell r="I3007"/>
          <cell r="J3007"/>
          <cell r="L3007"/>
        </row>
        <row r="3008">
          <cell r="A3008"/>
          <cell r="D3008"/>
          <cell r="E3008"/>
          <cell r="F3008"/>
          <cell r="G3008"/>
          <cell r="H3008"/>
          <cell r="I3008"/>
          <cell r="J3008"/>
          <cell r="L3008"/>
        </row>
        <row r="3009">
          <cell r="A3009"/>
          <cell r="D3009"/>
          <cell r="E3009"/>
          <cell r="F3009"/>
          <cell r="G3009"/>
          <cell r="H3009"/>
          <cell r="I3009"/>
          <cell r="J3009"/>
          <cell r="L3009"/>
        </row>
        <row r="3010">
          <cell r="A3010"/>
          <cell r="D3010"/>
          <cell r="E3010"/>
          <cell r="F3010"/>
          <cell r="G3010"/>
          <cell r="H3010"/>
          <cell r="I3010"/>
          <cell r="J3010"/>
          <cell r="L3010"/>
        </row>
        <row r="3011">
          <cell r="A3011"/>
          <cell r="D3011"/>
          <cell r="E3011"/>
          <cell r="F3011"/>
          <cell r="G3011"/>
          <cell r="H3011"/>
          <cell r="I3011"/>
          <cell r="J3011"/>
          <cell r="L3011"/>
        </row>
        <row r="3012">
          <cell r="A3012"/>
          <cell r="D3012"/>
          <cell r="E3012"/>
          <cell r="F3012"/>
          <cell r="G3012"/>
          <cell r="H3012"/>
          <cell r="I3012"/>
          <cell r="J3012"/>
          <cell r="L3012"/>
        </row>
        <row r="3013">
          <cell r="A3013"/>
          <cell r="D3013"/>
          <cell r="E3013"/>
          <cell r="F3013"/>
          <cell r="G3013"/>
          <cell r="H3013"/>
          <cell r="I3013"/>
          <cell r="J3013"/>
          <cell r="L3013"/>
        </row>
        <row r="3014">
          <cell r="A3014"/>
          <cell r="D3014"/>
          <cell r="E3014"/>
          <cell r="F3014"/>
          <cell r="G3014"/>
          <cell r="H3014"/>
          <cell r="I3014"/>
          <cell r="J3014"/>
          <cell r="L3014"/>
        </row>
        <row r="3015">
          <cell r="A3015"/>
          <cell r="D3015"/>
          <cell r="E3015"/>
          <cell r="F3015"/>
          <cell r="G3015"/>
          <cell r="H3015"/>
          <cell r="I3015"/>
          <cell r="J3015"/>
          <cell r="L3015"/>
        </row>
        <row r="3016">
          <cell r="A3016"/>
          <cell r="D3016"/>
          <cell r="E3016"/>
          <cell r="F3016"/>
          <cell r="G3016"/>
          <cell r="H3016"/>
          <cell r="I3016"/>
          <cell r="J3016"/>
          <cell r="L3016"/>
        </row>
        <row r="3017">
          <cell r="A3017"/>
          <cell r="D3017"/>
          <cell r="E3017"/>
          <cell r="F3017"/>
          <cell r="G3017"/>
          <cell r="H3017"/>
          <cell r="I3017"/>
          <cell r="J3017"/>
          <cell r="L3017"/>
        </row>
        <row r="3018">
          <cell r="A3018"/>
          <cell r="D3018"/>
          <cell r="E3018"/>
          <cell r="F3018"/>
          <cell r="G3018"/>
          <cell r="H3018"/>
          <cell r="I3018"/>
          <cell r="J3018"/>
          <cell r="L3018"/>
        </row>
        <row r="3019">
          <cell r="A3019"/>
          <cell r="D3019"/>
          <cell r="E3019"/>
          <cell r="F3019"/>
          <cell r="G3019"/>
          <cell r="H3019"/>
          <cell r="I3019"/>
          <cell r="J3019"/>
          <cell r="L3019"/>
        </row>
        <row r="3020">
          <cell r="A3020"/>
          <cell r="D3020"/>
          <cell r="E3020"/>
          <cell r="F3020"/>
          <cell r="G3020"/>
          <cell r="H3020"/>
          <cell r="I3020"/>
          <cell r="J3020"/>
          <cell r="L3020"/>
        </row>
        <row r="3021">
          <cell r="A3021"/>
          <cell r="D3021"/>
          <cell r="E3021"/>
          <cell r="F3021"/>
          <cell r="G3021"/>
          <cell r="H3021"/>
          <cell r="I3021"/>
          <cell r="J3021"/>
          <cell r="L3021"/>
        </row>
        <row r="3022">
          <cell r="A3022"/>
          <cell r="D3022"/>
          <cell r="E3022"/>
          <cell r="F3022"/>
          <cell r="G3022"/>
          <cell r="H3022"/>
          <cell r="I3022"/>
          <cell r="J3022"/>
          <cell r="L3022"/>
        </row>
        <row r="3023">
          <cell r="A3023"/>
          <cell r="D3023"/>
          <cell r="E3023"/>
          <cell r="F3023"/>
          <cell r="G3023"/>
          <cell r="H3023"/>
          <cell r="I3023"/>
          <cell r="J3023"/>
          <cell r="L3023"/>
        </row>
        <row r="3024">
          <cell r="A3024"/>
          <cell r="D3024"/>
          <cell r="E3024"/>
          <cell r="F3024"/>
          <cell r="G3024"/>
          <cell r="H3024"/>
          <cell r="I3024"/>
          <cell r="J3024"/>
          <cell r="L3024"/>
        </row>
        <row r="3025">
          <cell r="A3025"/>
          <cell r="D3025"/>
          <cell r="E3025"/>
          <cell r="F3025"/>
          <cell r="G3025"/>
          <cell r="H3025"/>
          <cell r="I3025"/>
          <cell r="J3025"/>
          <cell r="L3025"/>
        </row>
        <row r="3026">
          <cell r="A3026"/>
          <cell r="D3026"/>
          <cell r="E3026"/>
          <cell r="F3026"/>
          <cell r="G3026"/>
          <cell r="H3026"/>
          <cell r="I3026"/>
          <cell r="J3026"/>
          <cell r="L3026"/>
        </row>
        <row r="3027">
          <cell r="A3027"/>
          <cell r="D3027"/>
          <cell r="E3027"/>
          <cell r="F3027"/>
          <cell r="G3027"/>
          <cell r="H3027"/>
          <cell r="I3027"/>
          <cell r="J3027"/>
          <cell r="L3027"/>
        </row>
        <row r="3028">
          <cell r="A3028"/>
          <cell r="D3028"/>
          <cell r="E3028"/>
          <cell r="F3028"/>
          <cell r="G3028"/>
          <cell r="H3028"/>
          <cell r="I3028"/>
          <cell r="J3028"/>
          <cell r="L3028"/>
        </row>
        <row r="3029">
          <cell r="A3029"/>
          <cell r="D3029"/>
          <cell r="E3029"/>
          <cell r="F3029"/>
          <cell r="G3029"/>
          <cell r="H3029"/>
          <cell r="I3029"/>
          <cell r="J3029"/>
          <cell r="L3029"/>
        </row>
        <row r="3030">
          <cell r="A3030"/>
          <cell r="D3030"/>
          <cell r="E3030"/>
          <cell r="F3030"/>
          <cell r="G3030"/>
          <cell r="H3030"/>
          <cell r="I3030"/>
          <cell r="J3030"/>
          <cell r="L3030"/>
        </row>
        <row r="3031">
          <cell r="A3031"/>
          <cell r="D3031"/>
          <cell r="E3031"/>
          <cell r="F3031"/>
          <cell r="G3031"/>
          <cell r="H3031"/>
          <cell r="I3031"/>
          <cell r="J3031"/>
          <cell r="L3031"/>
        </row>
        <row r="3032">
          <cell r="A3032"/>
          <cell r="D3032"/>
          <cell r="E3032"/>
          <cell r="F3032"/>
          <cell r="G3032"/>
          <cell r="H3032"/>
          <cell r="I3032"/>
          <cell r="J3032"/>
          <cell r="L3032"/>
        </row>
        <row r="3033">
          <cell r="A3033"/>
          <cell r="D3033"/>
          <cell r="E3033"/>
          <cell r="F3033"/>
          <cell r="G3033"/>
          <cell r="H3033"/>
          <cell r="I3033"/>
          <cell r="J3033"/>
          <cell r="L3033"/>
        </row>
        <row r="3034">
          <cell r="A3034"/>
          <cell r="D3034"/>
          <cell r="E3034"/>
          <cell r="F3034"/>
          <cell r="G3034"/>
          <cell r="H3034"/>
          <cell r="I3034"/>
          <cell r="J3034"/>
          <cell r="L3034"/>
        </row>
        <row r="3035">
          <cell r="A3035"/>
          <cell r="D3035"/>
          <cell r="E3035"/>
          <cell r="F3035"/>
          <cell r="G3035"/>
          <cell r="H3035"/>
          <cell r="I3035"/>
          <cell r="J3035"/>
          <cell r="L3035"/>
        </row>
        <row r="3036">
          <cell r="A3036"/>
          <cell r="D3036"/>
          <cell r="E3036"/>
          <cell r="F3036"/>
          <cell r="G3036"/>
          <cell r="H3036"/>
          <cell r="I3036"/>
          <cell r="J3036"/>
          <cell r="L3036"/>
        </row>
        <row r="3037">
          <cell r="A3037"/>
          <cell r="D3037"/>
          <cell r="E3037"/>
          <cell r="F3037"/>
          <cell r="G3037"/>
          <cell r="H3037"/>
          <cell r="I3037"/>
          <cell r="J3037"/>
          <cell r="L3037"/>
        </row>
        <row r="3038">
          <cell r="A3038"/>
          <cell r="D3038"/>
          <cell r="E3038"/>
          <cell r="F3038"/>
          <cell r="G3038"/>
          <cell r="H3038"/>
          <cell r="I3038"/>
          <cell r="J3038"/>
          <cell r="L3038"/>
        </row>
        <row r="3039">
          <cell r="A3039"/>
          <cell r="D3039"/>
          <cell r="E3039"/>
          <cell r="F3039"/>
          <cell r="G3039"/>
          <cell r="H3039"/>
          <cell r="I3039"/>
          <cell r="J3039"/>
          <cell r="L3039"/>
        </row>
        <row r="3040">
          <cell r="A3040"/>
          <cell r="D3040"/>
          <cell r="E3040"/>
          <cell r="F3040"/>
          <cell r="G3040"/>
          <cell r="H3040"/>
          <cell r="I3040"/>
          <cell r="J3040"/>
          <cell r="L3040"/>
        </row>
        <row r="3041">
          <cell r="A3041"/>
          <cell r="D3041"/>
          <cell r="E3041"/>
          <cell r="F3041"/>
          <cell r="G3041"/>
          <cell r="H3041"/>
          <cell r="I3041"/>
          <cell r="J3041"/>
          <cell r="L3041"/>
        </row>
        <row r="3042">
          <cell r="A3042"/>
          <cell r="D3042"/>
          <cell r="E3042"/>
          <cell r="F3042"/>
          <cell r="G3042"/>
          <cell r="H3042"/>
          <cell r="I3042"/>
          <cell r="J3042"/>
          <cell r="L3042"/>
        </row>
        <row r="3043">
          <cell r="A3043"/>
          <cell r="D3043"/>
          <cell r="E3043"/>
          <cell r="F3043"/>
          <cell r="G3043"/>
          <cell r="H3043"/>
          <cell r="I3043"/>
          <cell r="J3043"/>
          <cell r="L3043"/>
        </row>
        <row r="3044">
          <cell r="A3044"/>
          <cell r="D3044"/>
          <cell r="E3044"/>
          <cell r="F3044"/>
          <cell r="G3044"/>
          <cell r="H3044"/>
          <cell r="I3044"/>
          <cell r="J3044"/>
          <cell r="L3044"/>
        </row>
        <row r="3045">
          <cell r="A3045"/>
          <cell r="D3045"/>
          <cell r="E3045"/>
          <cell r="F3045"/>
          <cell r="G3045"/>
          <cell r="H3045"/>
          <cell r="I3045"/>
          <cell r="J3045"/>
          <cell r="L3045"/>
        </row>
        <row r="3046">
          <cell r="A3046"/>
          <cell r="D3046"/>
          <cell r="E3046"/>
          <cell r="F3046"/>
          <cell r="G3046"/>
          <cell r="H3046"/>
          <cell r="I3046"/>
          <cell r="J3046"/>
          <cell r="L3046"/>
        </row>
        <row r="3047">
          <cell r="A3047"/>
          <cell r="D3047"/>
          <cell r="E3047"/>
          <cell r="F3047"/>
          <cell r="G3047"/>
          <cell r="H3047"/>
          <cell r="I3047"/>
          <cell r="J3047"/>
          <cell r="L3047"/>
        </row>
        <row r="3048">
          <cell r="A3048"/>
          <cell r="D3048"/>
          <cell r="E3048"/>
          <cell r="F3048"/>
          <cell r="G3048"/>
          <cell r="H3048"/>
          <cell r="I3048"/>
          <cell r="J3048"/>
          <cell r="L3048"/>
        </row>
        <row r="3049">
          <cell r="A3049"/>
          <cell r="D3049"/>
          <cell r="E3049"/>
          <cell r="F3049"/>
          <cell r="G3049"/>
          <cell r="H3049"/>
          <cell r="I3049"/>
          <cell r="J3049"/>
          <cell r="L3049"/>
        </row>
        <row r="3050">
          <cell r="A3050"/>
          <cell r="D3050"/>
          <cell r="E3050"/>
          <cell r="F3050"/>
          <cell r="G3050"/>
          <cell r="H3050"/>
          <cell r="I3050"/>
          <cell r="J3050"/>
          <cell r="L3050"/>
        </row>
        <row r="3051">
          <cell r="A3051"/>
          <cell r="D3051"/>
          <cell r="E3051"/>
          <cell r="F3051"/>
          <cell r="G3051"/>
          <cell r="H3051"/>
          <cell r="I3051"/>
          <cell r="J3051"/>
          <cell r="L3051"/>
        </row>
        <row r="3052">
          <cell r="A3052"/>
          <cell r="D3052"/>
          <cell r="E3052"/>
          <cell r="F3052"/>
          <cell r="G3052"/>
          <cell r="H3052"/>
          <cell r="I3052"/>
          <cell r="J3052"/>
          <cell r="L3052"/>
        </row>
        <row r="3053">
          <cell r="A3053"/>
          <cell r="D3053"/>
          <cell r="E3053"/>
          <cell r="F3053"/>
          <cell r="G3053"/>
          <cell r="H3053"/>
          <cell r="I3053"/>
          <cell r="J3053"/>
          <cell r="L3053"/>
        </row>
        <row r="3054">
          <cell r="A3054"/>
          <cell r="D3054"/>
          <cell r="E3054"/>
          <cell r="F3054"/>
          <cell r="G3054"/>
          <cell r="H3054"/>
          <cell r="I3054"/>
          <cell r="J3054"/>
          <cell r="L3054"/>
        </row>
        <row r="3055">
          <cell r="A3055"/>
          <cell r="D3055"/>
          <cell r="E3055"/>
          <cell r="F3055"/>
          <cell r="G3055"/>
          <cell r="H3055"/>
          <cell r="I3055"/>
          <cell r="J3055"/>
          <cell r="L3055"/>
        </row>
        <row r="3056">
          <cell r="A3056"/>
          <cell r="D3056"/>
          <cell r="E3056"/>
          <cell r="F3056"/>
          <cell r="G3056"/>
          <cell r="H3056"/>
          <cell r="I3056"/>
          <cell r="J3056"/>
          <cell r="L3056"/>
        </row>
        <row r="3057">
          <cell r="A3057"/>
          <cell r="D3057"/>
          <cell r="E3057"/>
          <cell r="F3057"/>
          <cell r="G3057"/>
          <cell r="H3057"/>
          <cell r="I3057"/>
          <cell r="J3057"/>
          <cell r="L3057"/>
        </row>
        <row r="3058">
          <cell r="A3058"/>
          <cell r="D3058"/>
          <cell r="E3058"/>
          <cell r="F3058"/>
          <cell r="G3058"/>
          <cell r="H3058"/>
          <cell r="I3058"/>
          <cell r="J3058"/>
          <cell r="L3058"/>
        </row>
        <row r="3059">
          <cell r="A3059"/>
          <cell r="D3059"/>
          <cell r="E3059"/>
          <cell r="F3059"/>
          <cell r="G3059"/>
          <cell r="H3059"/>
          <cell r="I3059"/>
          <cell r="J3059"/>
          <cell r="L3059"/>
        </row>
        <row r="3060">
          <cell r="A3060"/>
          <cell r="D3060"/>
          <cell r="E3060"/>
          <cell r="F3060"/>
          <cell r="G3060"/>
          <cell r="H3060"/>
          <cell r="I3060"/>
          <cell r="J3060"/>
          <cell r="L3060"/>
        </row>
        <row r="3061">
          <cell r="A3061"/>
          <cell r="D3061"/>
          <cell r="E3061"/>
          <cell r="F3061"/>
          <cell r="G3061"/>
          <cell r="H3061"/>
          <cell r="I3061"/>
          <cell r="J3061"/>
          <cell r="L3061"/>
        </row>
        <row r="3062">
          <cell r="A3062"/>
          <cell r="D3062"/>
          <cell r="E3062"/>
          <cell r="F3062"/>
          <cell r="G3062"/>
          <cell r="H3062"/>
          <cell r="I3062"/>
          <cell r="J3062"/>
          <cell r="L3062"/>
        </row>
        <row r="3063">
          <cell r="A3063"/>
          <cell r="D3063"/>
          <cell r="E3063"/>
          <cell r="F3063"/>
          <cell r="G3063"/>
          <cell r="H3063"/>
          <cell r="I3063"/>
          <cell r="J3063"/>
          <cell r="L3063"/>
        </row>
        <row r="3064">
          <cell r="A3064"/>
          <cell r="D3064"/>
          <cell r="E3064"/>
          <cell r="F3064"/>
          <cell r="G3064"/>
          <cell r="H3064"/>
          <cell r="I3064"/>
          <cell r="J3064"/>
          <cell r="L3064"/>
        </row>
        <row r="3065">
          <cell r="A3065"/>
          <cell r="D3065"/>
          <cell r="E3065"/>
          <cell r="F3065"/>
          <cell r="G3065"/>
          <cell r="H3065"/>
          <cell r="I3065"/>
          <cell r="J3065"/>
          <cell r="L3065"/>
        </row>
        <row r="3066">
          <cell r="A3066"/>
          <cell r="D3066"/>
          <cell r="E3066"/>
          <cell r="F3066"/>
          <cell r="G3066"/>
          <cell r="H3066"/>
          <cell r="I3066"/>
          <cell r="J3066"/>
          <cell r="L3066"/>
        </row>
        <row r="3067">
          <cell r="A3067"/>
          <cell r="D3067"/>
          <cell r="E3067"/>
          <cell r="F3067"/>
          <cell r="G3067"/>
          <cell r="H3067"/>
          <cell r="I3067"/>
          <cell r="J3067"/>
          <cell r="L3067"/>
        </row>
        <row r="3068">
          <cell r="A3068"/>
          <cell r="D3068"/>
          <cell r="E3068"/>
          <cell r="F3068"/>
          <cell r="G3068"/>
          <cell r="H3068"/>
          <cell r="I3068"/>
          <cell r="J3068"/>
          <cell r="L3068"/>
        </row>
        <row r="3069">
          <cell r="A3069"/>
          <cell r="D3069"/>
          <cell r="E3069"/>
          <cell r="F3069"/>
          <cell r="G3069"/>
          <cell r="H3069"/>
          <cell r="I3069"/>
          <cell r="J3069"/>
          <cell r="L3069"/>
        </row>
        <row r="3070">
          <cell r="A3070"/>
          <cell r="D3070"/>
          <cell r="E3070"/>
          <cell r="F3070"/>
          <cell r="G3070"/>
          <cell r="H3070"/>
          <cell r="I3070"/>
          <cell r="J3070"/>
          <cell r="L3070"/>
        </row>
        <row r="3071">
          <cell r="A3071"/>
          <cell r="D3071"/>
          <cell r="E3071"/>
          <cell r="F3071"/>
          <cell r="G3071"/>
          <cell r="H3071"/>
          <cell r="I3071"/>
          <cell r="J3071"/>
          <cell r="L3071"/>
        </row>
        <row r="3072">
          <cell r="A3072"/>
          <cell r="D3072"/>
          <cell r="E3072"/>
          <cell r="F3072"/>
          <cell r="G3072"/>
          <cell r="H3072"/>
          <cell r="I3072"/>
          <cell r="J3072"/>
          <cell r="L3072"/>
        </row>
        <row r="3073">
          <cell r="A3073"/>
          <cell r="D3073"/>
          <cell r="E3073"/>
          <cell r="F3073"/>
          <cell r="G3073"/>
          <cell r="H3073"/>
          <cell r="I3073"/>
          <cell r="J3073"/>
          <cell r="L3073"/>
        </row>
        <row r="3074">
          <cell r="A3074"/>
          <cell r="D3074"/>
          <cell r="E3074"/>
          <cell r="F3074"/>
          <cell r="G3074"/>
          <cell r="H3074"/>
          <cell r="I3074"/>
          <cell r="J3074"/>
          <cell r="L3074"/>
        </row>
        <row r="3075">
          <cell r="A3075"/>
          <cell r="D3075"/>
          <cell r="E3075"/>
          <cell r="F3075"/>
          <cell r="G3075"/>
          <cell r="H3075"/>
          <cell r="I3075"/>
          <cell r="J3075"/>
          <cell r="L3075"/>
        </row>
        <row r="3076">
          <cell r="A3076"/>
          <cell r="D3076"/>
          <cell r="E3076"/>
          <cell r="F3076"/>
          <cell r="G3076"/>
          <cell r="H3076"/>
          <cell r="I3076"/>
          <cell r="J3076"/>
          <cell r="L3076"/>
        </row>
        <row r="3077">
          <cell r="A3077"/>
          <cell r="D3077"/>
          <cell r="E3077"/>
          <cell r="F3077"/>
          <cell r="G3077"/>
          <cell r="H3077"/>
          <cell r="I3077"/>
          <cell r="J3077"/>
          <cell r="L3077"/>
        </row>
        <row r="3078">
          <cell r="A3078"/>
          <cell r="D3078"/>
          <cell r="E3078"/>
          <cell r="F3078"/>
          <cell r="G3078"/>
          <cell r="H3078"/>
          <cell r="I3078"/>
          <cell r="J3078"/>
          <cell r="L3078"/>
        </row>
        <row r="3079">
          <cell r="A3079"/>
          <cell r="D3079"/>
          <cell r="E3079"/>
          <cell r="F3079"/>
          <cell r="G3079"/>
          <cell r="H3079"/>
          <cell r="I3079"/>
          <cell r="J3079"/>
          <cell r="L3079"/>
        </row>
        <row r="3080">
          <cell r="A3080"/>
          <cell r="D3080"/>
          <cell r="E3080"/>
          <cell r="F3080"/>
          <cell r="G3080"/>
          <cell r="H3080"/>
          <cell r="I3080"/>
          <cell r="J3080"/>
          <cell r="L3080"/>
        </row>
        <row r="3081">
          <cell r="A3081"/>
          <cell r="D3081"/>
          <cell r="E3081"/>
          <cell r="F3081"/>
          <cell r="G3081"/>
          <cell r="H3081"/>
          <cell r="I3081"/>
          <cell r="J3081"/>
          <cell r="L3081"/>
        </row>
        <row r="3082">
          <cell r="A3082"/>
          <cell r="D3082"/>
          <cell r="E3082"/>
          <cell r="F3082"/>
          <cell r="G3082"/>
          <cell r="H3082"/>
          <cell r="I3082"/>
          <cell r="J3082"/>
          <cell r="L3082"/>
        </row>
        <row r="3083">
          <cell r="A3083"/>
          <cell r="D3083"/>
          <cell r="E3083"/>
          <cell r="F3083"/>
          <cell r="G3083"/>
          <cell r="H3083"/>
          <cell r="I3083"/>
          <cell r="J3083"/>
          <cell r="L3083"/>
        </row>
        <row r="3084">
          <cell r="A3084"/>
          <cell r="D3084"/>
          <cell r="E3084"/>
          <cell r="F3084"/>
          <cell r="G3084"/>
          <cell r="H3084"/>
          <cell r="I3084"/>
          <cell r="J3084"/>
          <cell r="L3084"/>
        </row>
        <row r="3085">
          <cell r="A3085"/>
          <cell r="D3085"/>
          <cell r="E3085"/>
          <cell r="F3085"/>
          <cell r="G3085"/>
          <cell r="H3085"/>
          <cell r="I3085"/>
          <cell r="J3085"/>
          <cell r="L3085"/>
        </row>
        <row r="3086">
          <cell r="A3086"/>
          <cell r="D3086"/>
          <cell r="E3086"/>
          <cell r="F3086"/>
          <cell r="G3086"/>
          <cell r="H3086"/>
          <cell r="I3086"/>
          <cell r="J3086"/>
          <cell r="L3086"/>
        </row>
        <row r="3087">
          <cell r="A3087"/>
          <cell r="D3087"/>
          <cell r="E3087"/>
          <cell r="F3087"/>
          <cell r="G3087"/>
          <cell r="H3087"/>
          <cell r="I3087"/>
          <cell r="J3087"/>
          <cell r="L3087"/>
        </row>
        <row r="3088">
          <cell r="A3088"/>
          <cell r="D3088"/>
          <cell r="E3088"/>
          <cell r="F3088"/>
          <cell r="G3088"/>
          <cell r="H3088"/>
          <cell r="I3088"/>
          <cell r="J3088"/>
          <cell r="L3088"/>
        </row>
        <row r="3089">
          <cell r="A3089"/>
          <cell r="D3089"/>
          <cell r="E3089"/>
          <cell r="F3089"/>
          <cell r="G3089"/>
          <cell r="H3089"/>
          <cell r="I3089"/>
          <cell r="J3089"/>
          <cell r="L3089"/>
        </row>
        <row r="3090">
          <cell r="A3090"/>
          <cell r="D3090"/>
          <cell r="E3090"/>
          <cell r="F3090"/>
          <cell r="G3090"/>
          <cell r="H3090"/>
          <cell r="I3090"/>
          <cell r="J3090"/>
          <cell r="L3090"/>
        </row>
        <row r="3091">
          <cell r="A3091"/>
          <cell r="D3091"/>
          <cell r="E3091"/>
          <cell r="F3091"/>
          <cell r="G3091"/>
          <cell r="H3091"/>
          <cell r="I3091"/>
          <cell r="J3091"/>
          <cell r="L3091"/>
        </row>
        <row r="3092">
          <cell r="A3092"/>
          <cell r="D3092"/>
          <cell r="E3092"/>
          <cell r="F3092"/>
          <cell r="G3092"/>
          <cell r="H3092"/>
          <cell r="I3092"/>
          <cell r="J3092"/>
          <cell r="L3092"/>
        </row>
        <row r="3093">
          <cell r="A3093"/>
          <cell r="D3093"/>
          <cell r="E3093"/>
          <cell r="F3093"/>
          <cell r="G3093"/>
          <cell r="H3093"/>
          <cell r="I3093"/>
          <cell r="J3093"/>
          <cell r="L3093"/>
        </row>
        <row r="3094">
          <cell r="A3094"/>
          <cell r="D3094"/>
          <cell r="E3094"/>
          <cell r="F3094"/>
          <cell r="G3094"/>
          <cell r="H3094"/>
          <cell r="I3094"/>
          <cell r="J3094"/>
          <cell r="L3094"/>
        </row>
        <row r="3095">
          <cell r="A3095"/>
          <cell r="D3095"/>
          <cell r="E3095"/>
          <cell r="F3095"/>
          <cell r="G3095"/>
          <cell r="H3095"/>
          <cell r="I3095"/>
          <cell r="J3095"/>
          <cell r="L3095"/>
        </row>
        <row r="3096">
          <cell r="A3096"/>
          <cell r="D3096"/>
          <cell r="E3096"/>
          <cell r="F3096"/>
          <cell r="G3096"/>
          <cell r="H3096"/>
          <cell r="I3096"/>
          <cell r="J3096"/>
          <cell r="L3096"/>
        </row>
        <row r="3097">
          <cell r="A3097"/>
          <cell r="D3097"/>
          <cell r="E3097"/>
          <cell r="F3097"/>
          <cell r="G3097"/>
          <cell r="H3097"/>
          <cell r="I3097"/>
          <cell r="J3097"/>
          <cell r="L3097"/>
        </row>
        <row r="3098">
          <cell r="A3098"/>
          <cell r="D3098"/>
          <cell r="E3098"/>
          <cell r="F3098"/>
          <cell r="G3098"/>
          <cell r="H3098"/>
          <cell r="I3098"/>
          <cell r="J3098"/>
          <cell r="L3098"/>
        </row>
        <row r="3099">
          <cell r="A3099"/>
          <cell r="D3099"/>
          <cell r="E3099"/>
          <cell r="F3099"/>
          <cell r="G3099"/>
          <cell r="H3099"/>
          <cell r="I3099"/>
          <cell r="J3099"/>
          <cell r="L3099"/>
        </row>
        <row r="3100">
          <cell r="A3100"/>
          <cell r="D3100"/>
          <cell r="E3100"/>
          <cell r="F3100"/>
          <cell r="G3100"/>
          <cell r="H3100"/>
          <cell r="I3100"/>
          <cell r="J3100"/>
          <cell r="L3100"/>
        </row>
        <row r="3101">
          <cell r="A3101"/>
          <cell r="D3101"/>
          <cell r="E3101"/>
          <cell r="F3101"/>
          <cell r="G3101"/>
          <cell r="H3101"/>
          <cell r="I3101"/>
          <cell r="J3101"/>
          <cell r="L3101"/>
        </row>
        <row r="3102">
          <cell r="A3102"/>
          <cell r="D3102"/>
          <cell r="E3102"/>
          <cell r="F3102"/>
          <cell r="G3102"/>
          <cell r="H3102"/>
          <cell r="I3102"/>
          <cell r="J3102"/>
          <cell r="L3102"/>
        </row>
        <row r="3103">
          <cell r="A3103"/>
          <cell r="D3103"/>
          <cell r="E3103"/>
          <cell r="F3103"/>
          <cell r="G3103"/>
          <cell r="H3103"/>
          <cell r="I3103"/>
          <cell r="J3103"/>
          <cell r="L3103"/>
        </row>
        <row r="3104">
          <cell r="A3104"/>
          <cell r="D3104"/>
          <cell r="E3104"/>
          <cell r="F3104"/>
          <cell r="G3104"/>
          <cell r="H3104"/>
          <cell r="I3104"/>
          <cell r="J3104"/>
          <cell r="L3104"/>
        </row>
        <row r="3105">
          <cell r="A3105"/>
          <cell r="D3105"/>
          <cell r="E3105"/>
          <cell r="F3105"/>
          <cell r="G3105"/>
          <cell r="H3105"/>
          <cell r="I3105"/>
          <cell r="J3105"/>
          <cell r="L3105"/>
        </row>
        <row r="3106">
          <cell r="A3106"/>
          <cell r="D3106"/>
          <cell r="E3106"/>
          <cell r="F3106"/>
          <cell r="G3106"/>
          <cell r="H3106"/>
          <cell r="I3106"/>
          <cell r="J3106"/>
          <cell r="L3106"/>
        </row>
        <row r="3107">
          <cell r="A3107"/>
          <cell r="D3107"/>
          <cell r="E3107"/>
          <cell r="F3107"/>
          <cell r="G3107"/>
          <cell r="H3107"/>
          <cell r="I3107"/>
          <cell r="J3107"/>
          <cell r="L3107"/>
        </row>
        <row r="3108">
          <cell r="A3108"/>
          <cell r="D3108"/>
          <cell r="E3108"/>
          <cell r="F3108"/>
          <cell r="G3108"/>
          <cell r="H3108"/>
          <cell r="I3108"/>
          <cell r="J3108"/>
          <cell r="L3108"/>
        </row>
        <row r="3109">
          <cell r="A3109"/>
          <cell r="D3109"/>
          <cell r="E3109"/>
          <cell r="F3109"/>
          <cell r="G3109"/>
          <cell r="H3109"/>
          <cell r="I3109"/>
          <cell r="J3109"/>
          <cell r="L3109"/>
        </row>
        <row r="3110">
          <cell r="A3110"/>
          <cell r="D3110"/>
          <cell r="E3110"/>
          <cell r="F3110"/>
          <cell r="G3110"/>
          <cell r="H3110"/>
          <cell r="I3110"/>
          <cell r="J3110"/>
          <cell r="L3110"/>
        </row>
        <row r="3111">
          <cell r="A3111"/>
          <cell r="D3111"/>
          <cell r="E3111"/>
          <cell r="F3111"/>
          <cell r="G3111"/>
          <cell r="H3111"/>
          <cell r="I3111"/>
          <cell r="J3111"/>
          <cell r="L3111"/>
        </row>
        <row r="3112">
          <cell r="A3112"/>
          <cell r="D3112"/>
          <cell r="E3112"/>
          <cell r="F3112"/>
          <cell r="G3112"/>
          <cell r="H3112"/>
          <cell r="I3112"/>
          <cell r="J3112"/>
          <cell r="L3112"/>
        </row>
        <row r="3113">
          <cell r="A3113"/>
          <cell r="D3113"/>
          <cell r="E3113"/>
          <cell r="F3113"/>
          <cell r="G3113"/>
          <cell r="H3113"/>
          <cell r="I3113"/>
          <cell r="J3113"/>
          <cell r="L3113"/>
        </row>
        <row r="3114">
          <cell r="A3114"/>
          <cell r="D3114"/>
          <cell r="E3114"/>
          <cell r="F3114"/>
          <cell r="G3114"/>
          <cell r="H3114"/>
          <cell r="I3114"/>
          <cell r="J3114"/>
          <cell r="L3114"/>
        </row>
        <row r="3115">
          <cell r="A3115"/>
          <cell r="D3115"/>
          <cell r="E3115"/>
          <cell r="F3115"/>
          <cell r="G3115"/>
          <cell r="H3115"/>
          <cell r="I3115"/>
          <cell r="J3115"/>
          <cell r="L3115"/>
        </row>
        <row r="3116">
          <cell r="A3116"/>
          <cell r="D3116"/>
          <cell r="E3116"/>
          <cell r="F3116"/>
          <cell r="G3116"/>
          <cell r="H3116"/>
          <cell r="I3116"/>
          <cell r="J3116"/>
          <cell r="L3116"/>
        </row>
        <row r="3117">
          <cell r="A3117"/>
          <cell r="D3117"/>
          <cell r="E3117"/>
          <cell r="F3117"/>
          <cell r="G3117"/>
          <cell r="H3117"/>
          <cell r="I3117"/>
          <cell r="J3117"/>
          <cell r="L3117"/>
        </row>
        <row r="3118">
          <cell r="A3118"/>
          <cell r="D3118"/>
          <cell r="E3118"/>
          <cell r="F3118"/>
          <cell r="G3118"/>
          <cell r="H3118"/>
          <cell r="I3118"/>
          <cell r="J3118"/>
          <cell r="L3118"/>
        </row>
        <row r="3119">
          <cell r="A3119"/>
          <cell r="D3119"/>
          <cell r="E3119"/>
          <cell r="F3119"/>
          <cell r="G3119"/>
          <cell r="H3119"/>
          <cell r="I3119"/>
          <cell r="J3119"/>
          <cell r="L3119"/>
        </row>
        <row r="3120">
          <cell r="A3120"/>
          <cell r="D3120"/>
          <cell r="E3120"/>
          <cell r="F3120"/>
          <cell r="G3120"/>
          <cell r="H3120"/>
          <cell r="I3120"/>
          <cell r="J3120"/>
          <cell r="L3120"/>
        </row>
        <row r="3121">
          <cell r="A3121"/>
          <cell r="D3121"/>
          <cell r="E3121"/>
          <cell r="F3121"/>
          <cell r="G3121"/>
          <cell r="H3121"/>
          <cell r="I3121"/>
          <cell r="J3121"/>
          <cell r="L3121"/>
        </row>
        <row r="3122">
          <cell r="A3122"/>
          <cell r="D3122"/>
          <cell r="E3122"/>
          <cell r="F3122"/>
          <cell r="G3122"/>
          <cell r="H3122"/>
          <cell r="I3122"/>
          <cell r="J3122"/>
          <cell r="L3122"/>
        </row>
        <row r="3123">
          <cell r="A3123"/>
          <cell r="D3123"/>
          <cell r="E3123"/>
          <cell r="F3123"/>
          <cell r="G3123"/>
          <cell r="H3123"/>
          <cell r="I3123"/>
          <cell r="J3123"/>
          <cell r="L3123"/>
        </row>
        <row r="3124">
          <cell r="A3124"/>
          <cell r="D3124"/>
          <cell r="E3124"/>
          <cell r="F3124"/>
          <cell r="G3124"/>
          <cell r="H3124"/>
          <cell r="I3124"/>
          <cell r="J3124"/>
          <cell r="L3124"/>
        </row>
        <row r="3125">
          <cell r="A3125"/>
          <cell r="D3125"/>
          <cell r="E3125"/>
          <cell r="F3125"/>
          <cell r="G3125"/>
          <cell r="H3125"/>
          <cell r="I3125"/>
          <cell r="J3125"/>
          <cell r="L3125"/>
        </row>
        <row r="3126">
          <cell r="A3126"/>
          <cell r="D3126"/>
          <cell r="E3126"/>
          <cell r="F3126"/>
          <cell r="G3126"/>
          <cell r="H3126"/>
          <cell r="I3126"/>
          <cell r="J3126"/>
          <cell r="L3126"/>
        </row>
        <row r="3127">
          <cell r="A3127"/>
          <cell r="D3127"/>
          <cell r="E3127"/>
          <cell r="F3127"/>
          <cell r="G3127"/>
          <cell r="H3127"/>
          <cell r="I3127"/>
          <cell r="J3127"/>
          <cell r="L3127"/>
        </row>
        <row r="3128">
          <cell r="A3128"/>
          <cell r="D3128"/>
          <cell r="E3128"/>
          <cell r="F3128"/>
          <cell r="G3128"/>
          <cell r="H3128"/>
          <cell r="I3128"/>
          <cell r="J3128"/>
          <cell r="L3128"/>
        </row>
        <row r="3129">
          <cell r="A3129"/>
          <cell r="D3129"/>
          <cell r="E3129"/>
          <cell r="F3129"/>
          <cell r="G3129"/>
          <cell r="H3129"/>
          <cell r="I3129"/>
          <cell r="J3129"/>
          <cell r="L3129"/>
        </row>
        <row r="3130">
          <cell r="A3130"/>
          <cell r="D3130"/>
          <cell r="E3130"/>
          <cell r="F3130"/>
          <cell r="G3130"/>
          <cell r="H3130"/>
          <cell r="I3130"/>
          <cell r="J3130"/>
          <cell r="L3130"/>
        </row>
        <row r="3131">
          <cell r="A3131"/>
          <cell r="D3131"/>
          <cell r="E3131"/>
          <cell r="F3131"/>
          <cell r="G3131"/>
          <cell r="H3131"/>
          <cell r="I3131"/>
          <cell r="J3131"/>
          <cell r="L3131"/>
        </row>
        <row r="3132">
          <cell r="A3132"/>
          <cell r="D3132"/>
          <cell r="E3132"/>
          <cell r="F3132"/>
          <cell r="G3132"/>
          <cell r="H3132"/>
          <cell r="I3132"/>
          <cell r="J3132"/>
          <cell r="L3132"/>
        </row>
        <row r="3133">
          <cell r="A3133"/>
          <cell r="D3133"/>
          <cell r="E3133"/>
          <cell r="F3133"/>
          <cell r="G3133"/>
          <cell r="H3133"/>
          <cell r="I3133"/>
          <cell r="J3133"/>
          <cell r="L3133"/>
        </row>
        <row r="3134">
          <cell r="A3134"/>
          <cell r="D3134"/>
          <cell r="E3134"/>
          <cell r="F3134"/>
          <cell r="G3134"/>
          <cell r="H3134"/>
          <cell r="I3134"/>
          <cell r="J3134"/>
          <cell r="L3134"/>
        </row>
        <row r="3135">
          <cell r="A3135"/>
          <cell r="D3135"/>
          <cell r="E3135"/>
          <cell r="F3135"/>
          <cell r="G3135"/>
          <cell r="H3135"/>
          <cell r="I3135"/>
          <cell r="J3135"/>
          <cell r="L3135"/>
        </row>
        <row r="3136">
          <cell r="A3136"/>
          <cell r="D3136"/>
          <cell r="E3136"/>
          <cell r="F3136"/>
          <cell r="G3136"/>
          <cell r="H3136"/>
          <cell r="I3136"/>
          <cell r="J3136"/>
          <cell r="L3136"/>
        </row>
        <row r="3137">
          <cell r="A3137"/>
          <cell r="D3137"/>
          <cell r="E3137"/>
          <cell r="F3137"/>
          <cell r="G3137"/>
          <cell r="H3137"/>
          <cell r="I3137"/>
          <cell r="J3137"/>
          <cell r="L3137"/>
        </row>
        <row r="3138">
          <cell r="A3138"/>
          <cell r="D3138"/>
          <cell r="E3138"/>
          <cell r="F3138"/>
          <cell r="G3138"/>
          <cell r="H3138"/>
          <cell r="I3138"/>
          <cell r="J3138"/>
          <cell r="L3138"/>
        </row>
        <row r="3139">
          <cell r="A3139"/>
          <cell r="D3139"/>
          <cell r="E3139"/>
          <cell r="F3139"/>
          <cell r="G3139"/>
          <cell r="H3139"/>
          <cell r="I3139"/>
          <cell r="J3139"/>
          <cell r="L3139"/>
        </row>
        <row r="3140">
          <cell r="A3140"/>
          <cell r="D3140"/>
          <cell r="E3140"/>
          <cell r="F3140"/>
          <cell r="G3140"/>
          <cell r="H3140"/>
          <cell r="I3140"/>
          <cell r="J3140"/>
          <cell r="L3140"/>
        </row>
        <row r="3141">
          <cell r="A3141"/>
          <cell r="D3141"/>
          <cell r="E3141"/>
          <cell r="F3141"/>
          <cell r="G3141"/>
          <cell r="H3141"/>
          <cell r="I3141"/>
          <cell r="J3141"/>
          <cell r="L3141"/>
        </row>
        <row r="3142">
          <cell r="A3142"/>
          <cell r="D3142"/>
          <cell r="E3142"/>
          <cell r="F3142"/>
          <cell r="G3142"/>
          <cell r="H3142"/>
          <cell r="I3142"/>
          <cell r="J3142"/>
          <cell r="L3142"/>
        </row>
        <row r="3143">
          <cell r="A3143"/>
          <cell r="D3143"/>
          <cell r="E3143"/>
          <cell r="F3143"/>
          <cell r="G3143"/>
          <cell r="H3143"/>
          <cell r="I3143"/>
          <cell r="J3143"/>
          <cell r="L3143"/>
        </row>
        <row r="3144">
          <cell r="A3144"/>
          <cell r="D3144"/>
          <cell r="E3144"/>
          <cell r="F3144"/>
          <cell r="G3144"/>
          <cell r="H3144"/>
          <cell r="I3144"/>
          <cell r="J3144"/>
          <cell r="L3144"/>
        </row>
        <row r="3145">
          <cell r="A3145"/>
          <cell r="D3145"/>
          <cell r="E3145"/>
          <cell r="F3145"/>
          <cell r="G3145"/>
          <cell r="H3145"/>
          <cell r="I3145"/>
          <cell r="J3145"/>
          <cell r="L3145"/>
        </row>
        <row r="3146">
          <cell r="A3146"/>
          <cell r="D3146"/>
          <cell r="E3146"/>
          <cell r="F3146"/>
          <cell r="G3146"/>
          <cell r="H3146"/>
          <cell r="I3146"/>
          <cell r="J3146"/>
          <cell r="L3146"/>
        </row>
        <row r="3147">
          <cell r="A3147"/>
          <cell r="D3147"/>
          <cell r="E3147"/>
          <cell r="F3147"/>
          <cell r="G3147"/>
          <cell r="H3147"/>
          <cell r="I3147"/>
          <cell r="J3147"/>
          <cell r="L3147"/>
        </row>
        <row r="3148">
          <cell r="A3148"/>
          <cell r="D3148"/>
          <cell r="E3148"/>
          <cell r="F3148"/>
          <cell r="G3148"/>
          <cell r="H3148"/>
          <cell r="I3148"/>
          <cell r="J3148"/>
          <cell r="L3148"/>
        </row>
        <row r="3149">
          <cell r="A3149"/>
          <cell r="D3149"/>
          <cell r="E3149"/>
          <cell r="F3149"/>
          <cell r="G3149"/>
          <cell r="H3149"/>
          <cell r="I3149"/>
          <cell r="J3149"/>
          <cell r="L3149"/>
        </row>
        <row r="3150">
          <cell r="A3150"/>
          <cell r="D3150"/>
          <cell r="E3150"/>
          <cell r="F3150"/>
          <cell r="G3150"/>
          <cell r="H3150"/>
          <cell r="I3150"/>
          <cell r="J3150"/>
          <cell r="L3150"/>
        </row>
        <row r="3151">
          <cell r="A3151"/>
          <cell r="D3151"/>
          <cell r="E3151"/>
          <cell r="F3151"/>
          <cell r="G3151"/>
          <cell r="H3151"/>
          <cell r="I3151"/>
          <cell r="J3151"/>
          <cell r="L3151"/>
        </row>
        <row r="3152">
          <cell r="A3152"/>
          <cell r="D3152"/>
          <cell r="E3152"/>
          <cell r="F3152"/>
          <cell r="G3152"/>
          <cell r="H3152"/>
          <cell r="I3152"/>
          <cell r="J3152"/>
          <cell r="L3152"/>
        </row>
        <row r="3153">
          <cell r="A3153"/>
          <cell r="D3153"/>
          <cell r="E3153"/>
          <cell r="F3153"/>
          <cell r="G3153"/>
          <cell r="H3153"/>
          <cell r="I3153"/>
          <cell r="J3153"/>
          <cell r="L3153"/>
        </row>
        <row r="3154">
          <cell r="A3154"/>
          <cell r="D3154"/>
          <cell r="E3154"/>
          <cell r="F3154"/>
          <cell r="G3154"/>
          <cell r="H3154"/>
          <cell r="I3154"/>
          <cell r="J3154"/>
          <cell r="L3154"/>
        </row>
        <row r="3155">
          <cell r="A3155"/>
          <cell r="D3155"/>
          <cell r="E3155"/>
          <cell r="F3155"/>
          <cell r="G3155"/>
          <cell r="H3155"/>
          <cell r="I3155"/>
          <cell r="J3155"/>
          <cell r="L3155"/>
        </row>
        <row r="3156">
          <cell r="A3156"/>
          <cell r="D3156"/>
          <cell r="E3156"/>
          <cell r="F3156"/>
          <cell r="G3156"/>
          <cell r="H3156"/>
          <cell r="I3156"/>
          <cell r="J3156"/>
          <cell r="L3156"/>
        </row>
        <row r="3157">
          <cell r="A3157"/>
          <cell r="D3157"/>
          <cell r="E3157"/>
          <cell r="F3157"/>
          <cell r="G3157"/>
          <cell r="H3157"/>
          <cell r="I3157"/>
          <cell r="J3157"/>
          <cell r="L3157"/>
        </row>
        <row r="3158">
          <cell r="A3158"/>
          <cell r="D3158"/>
          <cell r="E3158"/>
          <cell r="F3158"/>
          <cell r="G3158"/>
          <cell r="H3158"/>
          <cell r="I3158"/>
          <cell r="J3158"/>
          <cell r="L3158"/>
        </row>
        <row r="3159">
          <cell r="A3159"/>
          <cell r="D3159"/>
          <cell r="E3159"/>
          <cell r="F3159"/>
          <cell r="G3159"/>
          <cell r="H3159"/>
          <cell r="I3159"/>
          <cell r="J3159"/>
          <cell r="L3159"/>
        </row>
        <row r="3160">
          <cell r="A3160"/>
          <cell r="D3160"/>
          <cell r="E3160"/>
          <cell r="F3160"/>
          <cell r="G3160"/>
          <cell r="H3160"/>
          <cell r="I3160"/>
          <cell r="J3160"/>
          <cell r="L3160"/>
        </row>
        <row r="3161">
          <cell r="A3161"/>
          <cell r="D3161"/>
          <cell r="E3161"/>
          <cell r="F3161"/>
          <cell r="G3161"/>
          <cell r="H3161"/>
          <cell r="I3161"/>
          <cell r="J3161"/>
          <cell r="L3161"/>
        </row>
        <row r="3162">
          <cell r="A3162"/>
          <cell r="D3162"/>
          <cell r="E3162"/>
          <cell r="F3162"/>
          <cell r="G3162"/>
          <cell r="H3162"/>
          <cell r="I3162"/>
          <cell r="J3162"/>
          <cell r="L3162"/>
        </row>
        <row r="3163">
          <cell r="A3163"/>
          <cell r="D3163"/>
          <cell r="E3163"/>
          <cell r="F3163"/>
          <cell r="G3163"/>
          <cell r="H3163"/>
          <cell r="I3163"/>
          <cell r="J3163"/>
          <cell r="L3163"/>
        </row>
        <row r="3164">
          <cell r="A3164"/>
          <cell r="D3164"/>
          <cell r="E3164"/>
          <cell r="F3164"/>
          <cell r="G3164"/>
          <cell r="H3164"/>
          <cell r="I3164"/>
          <cell r="J3164"/>
          <cell r="L3164"/>
        </row>
        <row r="3165">
          <cell r="A3165"/>
          <cell r="D3165"/>
          <cell r="E3165"/>
          <cell r="F3165"/>
          <cell r="G3165"/>
          <cell r="H3165"/>
          <cell r="I3165"/>
          <cell r="J3165"/>
          <cell r="L3165"/>
        </row>
        <row r="3166">
          <cell r="A3166"/>
          <cell r="D3166"/>
          <cell r="E3166"/>
          <cell r="F3166"/>
          <cell r="G3166"/>
          <cell r="H3166"/>
          <cell r="I3166"/>
          <cell r="J3166"/>
          <cell r="L3166"/>
        </row>
        <row r="3167">
          <cell r="A3167"/>
          <cell r="D3167"/>
          <cell r="E3167"/>
          <cell r="F3167"/>
          <cell r="G3167"/>
          <cell r="H3167"/>
          <cell r="I3167"/>
          <cell r="J3167"/>
          <cell r="L3167"/>
        </row>
        <row r="3168">
          <cell r="A3168"/>
          <cell r="D3168"/>
          <cell r="E3168"/>
          <cell r="F3168"/>
          <cell r="G3168"/>
          <cell r="H3168"/>
          <cell r="I3168"/>
          <cell r="J3168"/>
          <cell r="L3168"/>
        </row>
        <row r="3169">
          <cell r="A3169"/>
          <cell r="D3169"/>
          <cell r="E3169"/>
          <cell r="F3169"/>
          <cell r="G3169"/>
          <cell r="H3169"/>
          <cell r="I3169"/>
          <cell r="J3169"/>
          <cell r="L3169"/>
        </row>
        <row r="3170">
          <cell r="A3170"/>
          <cell r="D3170"/>
          <cell r="E3170"/>
          <cell r="F3170"/>
          <cell r="G3170"/>
          <cell r="H3170"/>
          <cell r="I3170"/>
          <cell r="J3170"/>
          <cell r="L3170"/>
        </row>
        <row r="3171">
          <cell r="A3171"/>
          <cell r="D3171"/>
          <cell r="E3171"/>
          <cell r="F3171"/>
          <cell r="G3171"/>
          <cell r="H3171"/>
          <cell r="I3171"/>
          <cell r="J3171"/>
          <cell r="L3171"/>
        </row>
        <row r="3172">
          <cell r="A3172"/>
          <cell r="D3172"/>
          <cell r="E3172"/>
          <cell r="F3172"/>
          <cell r="G3172"/>
          <cell r="H3172"/>
          <cell r="I3172"/>
          <cell r="J3172"/>
          <cell r="L3172"/>
        </row>
        <row r="3173">
          <cell r="A3173"/>
          <cell r="D3173"/>
          <cell r="E3173"/>
          <cell r="F3173"/>
          <cell r="G3173"/>
          <cell r="H3173"/>
          <cell r="I3173"/>
          <cell r="J3173"/>
          <cell r="L3173"/>
        </row>
        <row r="3174">
          <cell r="A3174"/>
          <cell r="D3174"/>
          <cell r="E3174"/>
          <cell r="F3174"/>
          <cell r="G3174"/>
          <cell r="H3174"/>
          <cell r="I3174"/>
          <cell r="J3174"/>
          <cell r="L3174"/>
        </row>
        <row r="3175">
          <cell r="A3175"/>
          <cell r="D3175"/>
          <cell r="E3175"/>
          <cell r="F3175"/>
          <cell r="G3175"/>
          <cell r="H3175"/>
          <cell r="I3175"/>
          <cell r="J3175"/>
          <cell r="L3175"/>
        </row>
        <row r="3176">
          <cell r="A3176"/>
          <cell r="D3176"/>
          <cell r="E3176"/>
          <cell r="F3176"/>
          <cell r="G3176"/>
          <cell r="H3176"/>
          <cell r="I3176"/>
          <cell r="J3176"/>
          <cell r="L3176"/>
        </row>
        <row r="3177">
          <cell r="A3177"/>
          <cell r="D3177"/>
          <cell r="E3177"/>
          <cell r="F3177"/>
          <cell r="G3177"/>
          <cell r="H3177"/>
          <cell r="I3177"/>
          <cell r="J3177"/>
          <cell r="L3177"/>
        </row>
        <row r="3178">
          <cell r="A3178"/>
          <cell r="D3178"/>
          <cell r="E3178"/>
          <cell r="F3178"/>
          <cell r="G3178"/>
          <cell r="H3178"/>
          <cell r="I3178"/>
          <cell r="J3178"/>
          <cell r="L3178"/>
        </row>
        <row r="3179">
          <cell r="A3179"/>
          <cell r="D3179"/>
          <cell r="E3179"/>
          <cell r="F3179"/>
          <cell r="G3179"/>
          <cell r="H3179"/>
          <cell r="I3179"/>
          <cell r="J3179"/>
          <cell r="L3179"/>
        </row>
        <row r="3180">
          <cell r="A3180"/>
          <cell r="D3180"/>
          <cell r="E3180"/>
          <cell r="F3180"/>
          <cell r="G3180"/>
          <cell r="H3180"/>
          <cell r="I3180"/>
          <cell r="J3180"/>
          <cell r="L3180"/>
        </row>
        <row r="3181">
          <cell r="A3181"/>
          <cell r="D3181"/>
          <cell r="E3181"/>
          <cell r="F3181"/>
          <cell r="G3181"/>
          <cell r="H3181"/>
          <cell r="I3181"/>
          <cell r="J3181"/>
          <cell r="L3181"/>
        </row>
        <row r="3182">
          <cell r="A3182"/>
          <cell r="D3182"/>
          <cell r="E3182"/>
          <cell r="F3182"/>
          <cell r="G3182"/>
          <cell r="H3182"/>
          <cell r="I3182"/>
          <cell r="J3182"/>
          <cell r="L3182"/>
        </row>
        <row r="3183">
          <cell r="A3183"/>
          <cell r="D3183"/>
          <cell r="E3183"/>
          <cell r="F3183"/>
          <cell r="G3183"/>
          <cell r="H3183"/>
          <cell r="I3183"/>
          <cell r="J3183"/>
          <cell r="L3183"/>
        </row>
        <row r="3184">
          <cell r="A3184"/>
          <cell r="D3184"/>
          <cell r="E3184"/>
          <cell r="F3184"/>
          <cell r="G3184"/>
          <cell r="H3184"/>
          <cell r="I3184"/>
          <cell r="J3184"/>
          <cell r="L3184"/>
        </row>
        <row r="3185">
          <cell r="A3185"/>
          <cell r="D3185"/>
          <cell r="E3185"/>
          <cell r="F3185"/>
          <cell r="G3185"/>
          <cell r="H3185"/>
          <cell r="I3185"/>
          <cell r="J3185"/>
          <cell r="L3185"/>
        </row>
        <row r="3186">
          <cell r="A3186"/>
          <cell r="D3186"/>
          <cell r="E3186"/>
          <cell r="F3186"/>
          <cell r="G3186"/>
          <cell r="H3186"/>
          <cell r="I3186"/>
          <cell r="J3186"/>
          <cell r="L3186"/>
        </row>
        <row r="3187">
          <cell r="A3187"/>
          <cell r="D3187"/>
          <cell r="E3187"/>
          <cell r="F3187"/>
          <cell r="G3187"/>
          <cell r="H3187"/>
          <cell r="I3187"/>
          <cell r="J3187"/>
          <cell r="L3187"/>
        </row>
        <row r="3188">
          <cell r="A3188"/>
          <cell r="D3188"/>
          <cell r="E3188"/>
          <cell r="F3188"/>
          <cell r="G3188"/>
          <cell r="H3188"/>
          <cell r="I3188"/>
          <cell r="J3188"/>
          <cell r="L3188"/>
        </row>
        <row r="3189">
          <cell r="A3189"/>
          <cell r="D3189"/>
          <cell r="E3189"/>
          <cell r="F3189"/>
          <cell r="G3189"/>
          <cell r="H3189"/>
          <cell r="I3189"/>
          <cell r="J3189"/>
          <cell r="L3189"/>
        </row>
        <row r="3190">
          <cell r="A3190"/>
          <cell r="D3190"/>
          <cell r="E3190"/>
          <cell r="F3190"/>
          <cell r="G3190"/>
          <cell r="H3190"/>
          <cell r="I3190"/>
          <cell r="J3190"/>
          <cell r="L3190"/>
        </row>
        <row r="3191">
          <cell r="A3191"/>
          <cell r="D3191"/>
          <cell r="E3191"/>
          <cell r="F3191"/>
          <cell r="G3191"/>
          <cell r="H3191"/>
          <cell r="I3191"/>
          <cell r="J3191"/>
          <cell r="L3191"/>
        </row>
        <row r="3192">
          <cell r="A3192"/>
          <cell r="D3192"/>
          <cell r="E3192"/>
          <cell r="F3192"/>
          <cell r="G3192"/>
          <cell r="H3192"/>
          <cell r="I3192"/>
          <cell r="J3192"/>
          <cell r="L3192"/>
        </row>
        <row r="3193">
          <cell r="A3193"/>
          <cell r="D3193"/>
          <cell r="E3193"/>
          <cell r="F3193"/>
          <cell r="G3193"/>
          <cell r="H3193"/>
          <cell r="I3193"/>
          <cell r="J3193"/>
          <cell r="L3193"/>
        </row>
        <row r="3194">
          <cell r="A3194"/>
          <cell r="D3194"/>
          <cell r="E3194"/>
          <cell r="F3194"/>
          <cell r="G3194"/>
          <cell r="H3194"/>
          <cell r="I3194"/>
          <cell r="J3194"/>
          <cell r="L3194"/>
        </row>
        <row r="3195">
          <cell r="A3195"/>
          <cell r="D3195"/>
          <cell r="E3195"/>
          <cell r="F3195"/>
          <cell r="G3195"/>
          <cell r="H3195"/>
          <cell r="I3195"/>
          <cell r="J3195"/>
          <cell r="L3195"/>
        </row>
        <row r="3196">
          <cell r="A3196"/>
          <cell r="D3196"/>
          <cell r="E3196"/>
          <cell r="F3196"/>
          <cell r="G3196"/>
          <cell r="H3196"/>
          <cell r="I3196"/>
          <cell r="J3196"/>
          <cell r="L3196"/>
        </row>
        <row r="3197">
          <cell r="A3197"/>
          <cell r="D3197"/>
          <cell r="E3197"/>
          <cell r="F3197"/>
          <cell r="G3197"/>
          <cell r="H3197"/>
          <cell r="I3197"/>
          <cell r="J3197"/>
          <cell r="L3197"/>
        </row>
        <row r="3198">
          <cell r="A3198"/>
          <cell r="D3198"/>
          <cell r="E3198"/>
          <cell r="F3198"/>
          <cell r="G3198"/>
          <cell r="H3198"/>
          <cell r="I3198"/>
          <cell r="J3198"/>
          <cell r="L3198"/>
        </row>
        <row r="3199">
          <cell r="A3199"/>
          <cell r="D3199"/>
          <cell r="E3199"/>
          <cell r="F3199"/>
          <cell r="G3199"/>
          <cell r="H3199"/>
          <cell r="I3199"/>
          <cell r="J3199"/>
          <cell r="L3199"/>
        </row>
        <row r="3200">
          <cell r="A3200"/>
          <cell r="D3200"/>
          <cell r="E3200"/>
          <cell r="F3200"/>
          <cell r="G3200"/>
          <cell r="H3200"/>
          <cell r="I3200"/>
          <cell r="J3200"/>
          <cell r="L3200"/>
        </row>
        <row r="3201">
          <cell r="A3201"/>
          <cell r="D3201"/>
          <cell r="E3201"/>
          <cell r="F3201"/>
          <cell r="G3201"/>
          <cell r="H3201"/>
          <cell r="I3201"/>
          <cell r="J3201"/>
          <cell r="L3201"/>
        </row>
        <row r="3202">
          <cell r="A3202"/>
          <cell r="D3202"/>
          <cell r="E3202"/>
          <cell r="F3202"/>
          <cell r="G3202"/>
          <cell r="H3202"/>
          <cell r="I3202"/>
          <cell r="J3202"/>
          <cell r="L3202"/>
        </row>
        <row r="3203">
          <cell r="A3203"/>
          <cell r="D3203"/>
          <cell r="E3203"/>
          <cell r="F3203"/>
          <cell r="G3203"/>
          <cell r="H3203"/>
          <cell r="I3203"/>
          <cell r="J3203"/>
          <cell r="L3203"/>
        </row>
        <row r="3204">
          <cell r="A3204"/>
          <cell r="D3204"/>
          <cell r="E3204"/>
          <cell r="F3204"/>
          <cell r="G3204"/>
          <cell r="H3204"/>
          <cell r="I3204"/>
          <cell r="J3204"/>
          <cell r="L3204"/>
        </row>
        <row r="3205">
          <cell r="A3205"/>
          <cell r="D3205"/>
          <cell r="E3205"/>
          <cell r="F3205"/>
          <cell r="G3205"/>
          <cell r="H3205"/>
          <cell r="I3205"/>
          <cell r="J3205"/>
          <cell r="L3205"/>
        </row>
        <row r="3206">
          <cell r="A3206"/>
          <cell r="D3206"/>
          <cell r="E3206"/>
          <cell r="F3206"/>
          <cell r="G3206"/>
          <cell r="H3206"/>
          <cell r="I3206"/>
          <cell r="J3206"/>
          <cell r="L3206"/>
        </row>
        <row r="3207">
          <cell r="A3207"/>
          <cell r="D3207"/>
          <cell r="E3207"/>
          <cell r="F3207"/>
          <cell r="G3207"/>
          <cell r="H3207"/>
          <cell r="I3207"/>
          <cell r="J3207"/>
          <cell r="L3207"/>
        </row>
        <row r="3208">
          <cell r="A3208"/>
          <cell r="D3208"/>
          <cell r="E3208"/>
          <cell r="F3208"/>
          <cell r="G3208"/>
          <cell r="H3208"/>
          <cell r="I3208"/>
          <cell r="J3208"/>
          <cell r="L3208"/>
        </row>
        <row r="3209">
          <cell r="A3209"/>
          <cell r="D3209"/>
          <cell r="E3209"/>
          <cell r="F3209"/>
          <cell r="G3209"/>
          <cell r="H3209"/>
          <cell r="I3209"/>
          <cell r="J3209"/>
          <cell r="L3209"/>
        </row>
        <row r="3210">
          <cell r="A3210"/>
          <cell r="D3210"/>
          <cell r="E3210"/>
          <cell r="F3210"/>
          <cell r="G3210"/>
          <cell r="H3210"/>
          <cell r="I3210"/>
          <cell r="J3210"/>
          <cell r="L3210"/>
        </row>
        <row r="3211">
          <cell r="A3211"/>
          <cell r="D3211"/>
          <cell r="E3211"/>
          <cell r="F3211"/>
          <cell r="G3211"/>
          <cell r="H3211"/>
          <cell r="I3211"/>
          <cell r="J3211"/>
          <cell r="L3211"/>
        </row>
        <row r="3212">
          <cell r="A3212"/>
          <cell r="D3212"/>
          <cell r="E3212"/>
          <cell r="F3212"/>
          <cell r="G3212"/>
          <cell r="H3212"/>
          <cell r="I3212"/>
          <cell r="J3212"/>
          <cell r="L3212"/>
        </row>
        <row r="3213">
          <cell r="A3213"/>
          <cell r="D3213"/>
          <cell r="E3213"/>
          <cell r="F3213"/>
          <cell r="G3213"/>
          <cell r="H3213"/>
          <cell r="I3213"/>
          <cell r="J3213"/>
          <cell r="L3213"/>
        </row>
        <row r="3214">
          <cell r="A3214"/>
          <cell r="D3214"/>
          <cell r="E3214"/>
          <cell r="F3214"/>
          <cell r="G3214"/>
          <cell r="H3214"/>
          <cell r="I3214"/>
          <cell r="J3214"/>
          <cell r="L3214"/>
        </row>
        <row r="3215">
          <cell r="A3215"/>
          <cell r="D3215"/>
          <cell r="E3215"/>
          <cell r="F3215"/>
          <cell r="G3215"/>
          <cell r="H3215"/>
          <cell r="I3215"/>
          <cell r="J3215"/>
          <cell r="L3215"/>
        </row>
        <row r="3216">
          <cell r="A3216"/>
          <cell r="D3216"/>
          <cell r="E3216"/>
          <cell r="F3216"/>
          <cell r="G3216"/>
          <cell r="H3216"/>
          <cell r="I3216"/>
          <cell r="J3216"/>
          <cell r="L3216"/>
        </row>
        <row r="3217">
          <cell r="A3217"/>
          <cell r="D3217"/>
          <cell r="E3217"/>
          <cell r="F3217"/>
          <cell r="G3217"/>
          <cell r="H3217"/>
          <cell r="I3217"/>
          <cell r="J3217"/>
          <cell r="L3217"/>
        </row>
        <row r="3218">
          <cell r="A3218"/>
          <cell r="D3218"/>
          <cell r="E3218"/>
          <cell r="F3218"/>
          <cell r="G3218"/>
          <cell r="H3218"/>
          <cell r="I3218"/>
          <cell r="J3218"/>
          <cell r="L3218"/>
        </row>
        <row r="3219">
          <cell r="A3219"/>
          <cell r="D3219"/>
          <cell r="E3219"/>
          <cell r="F3219"/>
          <cell r="G3219"/>
          <cell r="H3219"/>
          <cell r="I3219"/>
          <cell r="J3219"/>
          <cell r="L3219"/>
        </row>
        <row r="3220">
          <cell r="A3220"/>
          <cell r="D3220"/>
          <cell r="E3220"/>
          <cell r="F3220"/>
          <cell r="G3220"/>
          <cell r="H3220"/>
          <cell r="I3220"/>
          <cell r="J3220"/>
          <cell r="L3220"/>
        </row>
        <row r="3221">
          <cell r="A3221"/>
          <cell r="D3221"/>
          <cell r="E3221"/>
          <cell r="F3221"/>
          <cell r="G3221"/>
          <cell r="H3221"/>
          <cell r="I3221"/>
          <cell r="J3221"/>
          <cell r="L3221"/>
        </row>
        <row r="3222">
          <cell r="A3222"/>
          <cell r="D3222"/>
          <cell r="E3222"/>
          <cell r="F3222"/>
          <cell r="G3222"/>
          <cell r="H3222"/>
          <cell r="I3222"/>
          <cell r="J3222"/>
          <cell r="L3222"/>
        </row>
        <row r="3223">
          <cell r="A3223"/>
          <cell r="D3223"/>
          <cell r="E3223"/>
          <cell r="F3223"/>
          <cell r="G3223"/>
          <cell r="H3223"/>
          <cell r="I3223"/>
          <cell r="J3223"/>
          <cell r="L3223"/>
        </row>
        <row r="3224">
          <cell r="A3224"/>
          <cell r="D3224"/>
          <cell r="E3224"/>
          <cell r="F3224"/>
          <cell r="G3224"/>
          <cell r="H3224"/>
          <cell r="I3224"/>
          <cell r="J3224"/>
          <cell r="L3224"/>
        </row>
        <row r="3225">
          <cell r="A3225"/>
          <cell r="D3225"/>
          <cell r="E3225"/>
          <cell r="F3225"/>
          <cell r="G3225"/>
          <cell r="H3225"/>
          <cell r="I3225"/>
          <cell r="J3225"/>
          <cell r="L3225"/>
        </row>
        <row r="3226">
          <cell r="A3226"/>
          <cell r="D3226"/>
          <cell r="E3226"/>
          <cell r="F3226"/>
          <cell r="G3226"/>
          <cell r="H3226"/>
          <cell r="I3226"/>
          <cell r="J3226"/>
          <cell r="L3226"/>
        </row>
        <row r="3227">
          <cell r="A3227"/>
          <cell r="D3227"/>
          <cell r="E3227"/>
          <cell r="F3227"/>
          <cell r="G3227"/>
          <cell r="H3227"/>
          <cell r="I3227"/>
          <cell r="J3227"/>
          <cell r="L3227"/>
        </row>
        <row r="3228">
          <cell r="A3228"/>
          <cell r="D3228"/>
          <cell r="E3228"/>
          <cell r="F3228"/>
          <cell r="G3228"/>
          <cell r="H3228"/>
          <cell r="I3228"/>
          <cell r="J3228"/>
          <cell r="L3228"/>
        </row>
        <row r="3229">
          <cell r="A3229"/>
          <cell r="D3229"/>
          <cell r="E3229"/>
          <cell r="F3229"/>
          <cell r="G3229"/>
          <cell r="H3229"/>
          <cell r="I3229"/>
          <cell r="J3229"/>
          <cell r="L3229"/>
        </row>
        <row r="3230">
          <cell r="A3230"/>
          <cell r="D3230"/>
          <cell r="E3230"/>
          <cell r="F3230"/>
          <cell r="G3230"/>
          <cell r="H3230"/>
          <cell r="I3230"/>
          <cell r="J3230"/>
          <cell r="L3230"/>
        </row>
        <row r="3231">
          <cell r="A3231"/>
          <cell r="D3231"/>
          <cell r="E3231"/>
          <cell r="F3231"/>
          <cell r="G3231"/>
          <cell r="H3231"/>
          <cell r="I3231"/>
          <cell r="J3231"/>
          <cell r="L3231"/>
        </row>
        <row r="3232">
          <cell r="A3232"/>
          <cell r="D3232"/>
          <cell r="E3232"/>
          <cell r="F3232"/>
          <cell r="G3232"/>
          <cell r="H3232"/>
          <cell r="I3232"/>
          <cell r="J3232"/>
          <cell r="L3232"/>
        </row>
        <row r="3233">
          <cell r="A3233"/>
          <cell r="D3233"/>
          <cell r="E3233"/>
          <cell r="F3233"/>
          <cell r="G3233"/>
          <cell r="H3233"/>
          <cell r="I3233"/>
          <cell r="J3233"/>
          <cell r="L3233"/>
        </row>
        <row r="3234">
          <cell r="A3234"/>
          <cell r="D3234"/>
          <cell r="E3234"/>
          <cell r="F3234"/>
          <cell r="G3234"/>
          <cell r="H3234"/>
          <cell r="I3234"/>
          <cell r="J3234"/>
          <cell r="L3234"/>
        </row>
        <row r="3235">
          <cell r="A3235"/>
          <cell r="D3235"/>
          <cell r="E3235"/>
          <cell r="F3235"/>
          <cell r="G3235"/>
          <cell r="H3235"/>
          <cell r="I3235"/>
          <cell r="J3235"/>
          <cell r="L3235"/>
        </row>
        <row r="3236">
          <cell r="A3236"/>
          <cell r="D3236"/>
          <cell r="E3236"/>
          <cell r="F3236"/>
          <cell r="G3236"/>
          <cell r="H3236"/>
          <cell r="I3236"/>
          <cell r="J3236"/>
          <cell r="L3236"/>
        </row>
        <row r="3237">
          <cell r="A3237"/>
          <cell r="D3237"/>
          <cell r="E3237"/>
          <cell r="F3237"/>
          <cell r="G3237"/>
          <cell r="H3237"/>
          <cell r="I3237"/>
          <cell r="J3237"/>
          <cell r="L3237"/>
        </row>
        <row r="3238">
          <cell r="A3238"/>
          <cell r="D3238"/>
          <cell r="E3238"/>
          <cell r="F3238"/>
          <cell r="G3238"/>
          <cell r="H3238"/>
          <cell r="I3238"/>
          <cell r="J3238"/>
          <cell r="L3238"/>
        </row>
        <row r="3239">
          <cell r="A3239"/>
          <cell r="D3239"/>
          <cell r="E3239"/>
          <cell r="F3239"/>
          <cell r="G3239"/>
          <cell r="H3239"/>
          <cell r="I3239"/>
          <cell r="J3239"/>
          <cell r="L3239"/>
        </row>
        <row r="3240">
          <cell r="A3240"/>
          <cell r="D3240"/>
          <cell r="E3240"/>
          <cell r="F3240"/>
          <cell r="G3240"/>
          <cell r="H3240"/>
          <cell r="I3240"/>
          <cell r="J3240"/>
          <cell r="L3240"/>
        </row>
        <row r="3241">
          <cell r="A3241"/>
          <cell r="D3241"/>
          <cell r="E3241"/>
          <cell r="F3241"/>
          <cell r="G3241"/>
          <cell r="H3241"/>
          <cell r="I3241"/>
          <cell r="J3241"/>
          <cell r="L3241"/>
        </row>
        <row r="3242">
          <cell r="A3242"/>
          <cell r="D3242"/>
          <cell r="E3242"/>
          <cell r="F3242"/>
          <cell r="G3242"/>
          <cell r="H3242"/>
          <cell r="I3242"/>
          <cell r="J3242"/>
          <cell r="L3242"/>
        </row>
        <row r="3243">
          <cell r="A3243"/>
          <cell r="D3243"/>
          <cell r="E3243"/>
          <cell r="F3243"/>
          <cell r="G3243"/>
          <cell r="H3243"/>
          <cell r="I3243"/>
          <cell r="J3243"/>
          <cell r="L3243"/>
        </row>
        <row r="3244">
          <cell r="A3244"/>
          <cell r="D3244"/>
          <cell r="E3244"/>
          <cell r="F3244"/>
          <cell r="G3244"/>
          <cell r="H3244"/>
          <cell r="I3244"/>
          <cell r="J3244"/>
          <cell r="L3244"/>
        </row>
        <row r="3245">
          <cell r="A3245"/>
          <cell r="D3245"/>
          <cell r="E3245"/>
          <cell r="F3245"/>
          <cell r="G3245"/>
          <cell r="H3245"/>
          <cell r="I3245"/>
          <cell r="J3245"/>
          <cell r="L3245"/>
        </row>
        <row r="3246">
          <cell r="A3246"/>
          <cell r="D3246"/>
          <cell r="E3246"/>
          <cell r="F3246"/>
          <cell r="G3246"/>
          <cell r="H3246"/>
          <cell r="I3246"/>
          <cell r="J3246"/>
          <cell r="L3246"/>
        </row>
        <row r="3247">
          <cell r="A3247"/>
          <cell r="D3247"/>
          <cell r="E3247"/>
          <cell r="F3247"/>
          <cell r="G3247"/>
          <cell r="H3247"/>
          <cell r="I3247"/>
          <cell r="J3247"/>
          <cell r="L3247"/>
        </row>
        <row r="3248">
          <cell r="A3248"/>
          <cell r="D3248"/>
          <cell r="E3248"/>
          <cell r="F3248"/>
          <cell r="G3248"/>
          <cell r="H3248"/>
          <cell r="I3248"/>
          <cell r="J3248"/>
          <cell r="L3248"/>
        </row>
        <row r="3249">
          <cell r="A3249"/>
          <cell r="D3249"/>
          <cell r="E3249"/>
          <cell r="F3249"/>
          <cell r="G3249"/>
          <cell r="H3249"/>
          <cell r="I3249"/>
          <cell r="J3249"/>
          <cell r="L3249"/>
        </row>
        <row r="3250">
          <cell r="A3250"/>
          <cell r="D3250"/>
          <cell r="E3250"/>
          <cell r="F3250"/>
          <cell r="G3250"/>
          <cell r="H3250"/>
          <cell r="I3250"/>
          <cell r="J3250"/>
          <cell r="L3250"/>
        </row>
        <row r="3251">
          <cell r="A3251"/>
          <cell r="D3251"/>
          <cell r="E3251"/>
          <cell r="F3251"/>
          <cell r="G3251"/>
          <cell r="H3251"/>
          <cell r="I3251"/>
          <cell r="J3251"/>
          <cell r="L3251"/>
        </row>
        <row r="3252">
          <cell r="A3252"/>
          <cell r="D3252"/>
          <cell r="E3252"/>
          <cell r="F3252"/>
          <cell r="G3252"/>
          <cell r="H3252"/>
          <cell r="I3252"/>
          <cell r="J3252"/>
          <cell r="L3252"/>
        </row>
        <row r="3253">
          <cell r="A3253"/>
          <cell r="D3253"/>
          <cell r="E3253"/>
          <cell r="F3253"/>
          <cell r="G3253"/>
          <cell r="H3253"/>
          <cell r="I3253"/>
          <cell r="J3253"/>
          <cell r="L3253"/>
        </row>
        <row r="3254">
          <cell r="A3254"/>
          <cell r="D3254"/>
          <cell r="E3254"/>
          <cell r="F3254"/>
          <cell r="G3254"/>
          <cell r="H3254"/>
          <cell r="I3254"/>
          <cell r="J3254"/>
          <cell r="L3254"/>
        </row>
        <row r="3255">
          <cell r="A3255"/>
          <cell r="D3255"/>
          <cell r="E3255"/>
          <cell r="F3255"/>
          <cell r="G3255"/>
          <cell r="H3255"/>
          <cell r="I3255"/>
          <cell r="J3255"/>
          <cell r="L3255"/>
        </row>
        <row r="3256">
          <cell r="A3256"/>
          <cell r="D3256"/>
          <cell r="E3256"/>
          <cell r="F3256"/>
          <cell r="G3256"/>
          <cell r="H3256"/>
          <cell r="I3256"/>
          <cell r="J3256"/>
          <cell r="L3256"/>
        </row>
        <row r="3257">
          <cell r="A3257"/>
          <cell r="D3257"/>
          <cell r="E3257"/>
          <cell r="F3257"/>
          <cell r="G3257"/>
          <cell r="H3257"/>
          <cell r="I3257"/>
          <cell r="J3257"/>
          <cell r="L3257"/>
        </row>
        <row r="3258">
          <cell r="A3258"/>
          <cell r="D3258"/>
          <cell r="E3258"/>
          <cell r="F3258"/>
          <cell r="G3258"/>
          <cell r="H3258"/>
          <cell r="I3258"/>
          <cell r="J3258"/>
          <cell r="L3258"/>
        </row>
        <row r="3259">
          <cell r="A3259"/>
          <cell r="D3259"/>
          <cell r="E3259"/>
          <cell r="F3259"/>
          <cell r="G3259"/>
          <cell r="H3259"/>
          <cell r="I3259"/>
          <cell r="J3259"/>
          <cell r="L3259"/>
        </row>
        <row r="3260">
          <cell r="A3260"/>
          <cell r="D3260"/>
          <cell r="E3260"/>
          <cell r="F3260"/>
          <cell r="G3260"/>
          <cell r="H3260"/>
          <cell r="I3260"/>
          <cell r="J3260"/>
          <cell r="L3260"/>
        </row>
        <row r="3261">
          <cell r="A3261"/>
          <cell r="D3261"/>
          <cell r="E3261"/>
          <cell r="F3261"/>
          <cell r="G3261"/>
          <cell r="H3261"/>
          <cell r="I3261"/>
          <cell r="J3261"/>
          <cell r="L3261"/>
        </row>
        <row r="3262">
          <cell r="A3262"/>
          <cell r="D3262"/>
          <cell r="E3262"/>
          <cell r="F3262"/>
          <cell r="G3262"/>
          <cell r="H3262"/>
          <cell r="I3262"/>
          <cell r="J3262"/>
          <cell r="L3262"/>
        </row>
        <row r="3263">
          <cell r="A3263"/>
          <cell r="D3263"/>
          <cell r="E3263"/>
          <cell r="F3263"/>
          <cell r="G3263"/>
          <cell r="H3263"/>
          <cell r="I3263"/>
          <cell r="J3263"/>
          <cell r="L3263"/>
        </row>
        <row r="3264">
          <cell r="A3264"/>
          <cell r="D3264"/>
          <cell r="E3264"/>
          <cell r="F3264"/>
          <cell r="G3264"/>
          <cell r="H3264"/>
          <cell r="I3264"/>
          <cell r="J3264"/>
          <cell r="L3264"/>
        </row>
        <row r="3265">
          <cell r="A3265"/>
          <cell r="D3265"/>
          <cell r="E3265"/>
          <cell r="F3265"/>
          <cell r="G3265"/>
          <cell r="H3265"/>
          <cell r="I3265"/>
          <cell r="J3265"/>
          <cell r="L3265"/>
        </row>
        <row r="3266">
          <cell r="A3266"/>
          <cell r="D3266"/>
          <cell r="E3266"/>
          <cell r="F3266"/>
          <cell r="G3266"/>
          <cell r="H3266"/>
          <cell r="I3266"/>
          <cell r="J3266"/>
          <cell r="L3266"/>
        </row>
        <row r="3267">
          <cell r="A3267"/>
          <cell r="D3267"/>
          <cell r="E3267"/>
          <cell r="F3267"/>
          <cell r="G3267"/>
          <cell r="H3267"/>
          <cell r="I3267"/>
          <cell r="J3267"/>
          <cell r="L3267"/>
        </row>
        <row r="3268">
          <cell r="A3268"/>
          <cell r="D3268"/>
          <cell r="E3268"/>
          <cell r="F3268"/>
          <cell r="G3268"/>
          <cell r="H3268"/>
          <cell r="I3268"/>
          <cell r="J3268"/>
          <cell r="L3268"/>
        </row>
        <row r="3269">
          <cell r="A3269"/>
          <cell r="D3269"/>
          <cell r="E3269"/>
          <cell r="F3269"/>
          <cell r="G3269"/>
          <cell r="H3269"/>
          <cell r="I3269"/>
          <cell r="J3269"/>
          <cell r="L3269"/>
        </row>
        <row r="3270">
          <cell r="A3270"/>
          <cell r="D3270"/>
          <cell r="E3270"/>
          <cell r="F3270"/>
          <cell r="G3270"/>
          <cell r="H3270"/>
          <cell r="I3270"/>
          <cell r="J3270"/>
          <cell r="L3270"/>
        </row>
        <row r="3271">
          <cell r="A3271"/>
          <cell r="D3271"/>
          <cell r="E3271"/>
          <cell r="F3271"/>
          <cell r="G3271"/>
          <cell r="H3271"/>
          <cell r="I3271"/>
          <cell r="J3271"/>
          <cell r="L3271"/>
        </row>
        <row r="3272">
          <cell r="A3272"/>
          <cell r="D3272"/>
          <cell r="E3272"/>
          <cell r="F3272"/>
          <cell r="G3272"/>
          <cell r="H3272"/>
          <cell r="I3272"/>
          <cell r="J3272"/>
          <cell r="L3272"/>
        </row>
        <row r="3273">
          <cell r="A3273"/>
          <cell r="D3273"/>
          <cell r="E3273"/>
          <cell r="F3273"/>
          <cell r="G3273"/>
          <cell r="H3273"/>
          <cell r="I3273"/>
          <cell r="J3273"/>
          <cell r="L3273"/>
        </row>
        <row r="3274">
          <cell r="A3274"/>
          <cell r="D3274"/>
          <cell r="E3274"/>
          <cell r="F3274"/>
          <cell r="G3274"/>
          <cell r="H3274"/>
          <cell r="I3274"/>
          <cell r="J3274"/>
          <cell r="L3274"/>
        </row>
        <row r="3275">
          <cell r="A3275"/>
          <cell r="D3275"/>
          <cell r="E3275"/>
          <cell r="F3275"/>
          <cell r="G3275"/>
          <cell r="H3275"/>
          <cell r="I3275"/>
          <cell r="J3275"/>
          <cell r="L3275"/>
        </row>
        <row r="3276">
          <cell r="A3276"/>
          <cell r="D3276"/>
          <cell r="E3276"/>
          <cell r="F3276"/>
          <cell r="G3276"/>
          <cell r="H3276"/>
          <cell r="I3276"/>
          <cell r="J3276"/>
          <cell r="L3276"/>
        </row>
        <row r="3277">
          <cell r="A3277"/>
          <cell r="D3277"/>
          <cell r="E3277"/>
          <cell r="F3277"/>
          <cell r="G3277"/>
          <cell r="H3277"/>
          <cell r="I3277"/>
          <cell r="J3277"/>
          <cell r="L3277"/>
        </row>
        <row r="3278">
          <cell r="A3278"/>
          <cell r="D3278"/>
          <cell r="E3278"/>
          <cell r="F3278"/>
          <cell r="G3278"/>
          <cell r="H3278"/>
          <cell r="I3278"/>
          <cell r="J3278"/>
          <cell r="L3278"/>
        </row>
        <row r="3279">
          <cell r="A3279"/>
          <cell r="D3279"/>
          <cell r="E3279"/>
          <cell r="F3279"/>
          <cell r="G3279"/>
          <cell r="H3279"/>
          <cell r="I3279"/>
          <cell r="J3279"/>
          <cell r="L3279"/>
        </row>
        <row r="3280">
          <cell r="A3280"/>
          <cell r="D3280"/>
          <cell r="E3280"/>
          <cell r="F3280"/>
          <cell r="G3280"/>
          <cell r="H3280"/>
          <cell r="I3280"/>
          <cell r="J3280"/>
          <cell r="L3280"/>
        </row>
        <row r="3281">
          <cell r="A3281"/>
          <cell r="D3281"/>
          <cell r="E3281"/>
          <cell r="F3281"/>
          <cell r="G3281"/>
          <cell r="H3281"/>
          <cell r="I3281"/>
          <cell r="J3281"/>
          <cell r="L3281"/>
        </row>
        <row r="3282">
          <cell r="A3282"/>
          <cell r="D3282"/>
          <cell r="E3282"/>
          <cell r="F3282"/>
          <cell r="G3282"/>
          <cell r="H3282"/>
          <cell r="I3282"/>
          <cell r="J3282"/>
          <cell r="L3282"/>
        </row>
        <row r="3283">
          <cell r="A3283"/>
          <cell r="D3283"/>
          <cell r="E3283"/>
          <cell r="F3283"/>
          <cell r="G3283"/>
          <cell r="H3283"/>
          <cell r="I3283"/>
          <cell r="J3283"/>
          <cell r="L3283"/>
        </row>
        <row r="3284">
          <cell r="A3284"/>
          <cell r="D3284"/>
          <cell r="E3284"/>
          <cell r="F3284"/>
          <cell r="G3284"/>
          <cell r="H3284"/>
          <cell r="I3284"/>
          <cell r="J3284"/>
          <cell r="L3284"/>
        </row>
        <row r="3285">
          <cell r="A3285"/>
          <cell r="D3285"/>
          <cell r="E3285"/>
          <cell r="F3285"/>
          <cell r="G3285"/>
          <cell r="H3285"/>
          <cell r="I3285"/>
          <cell r="J3285"/>
          <cell r="L3285"/>
        </row>
        <row r="3286">
          <cell r="A3286"/>
          <cell r="D3286"/>
          <cell r="E3286"/>
          <cell r="F3286"/>
          <cell r="G3286"/>
          <cell r="H3286"/>
          <cell r="I3286"/>
          <cell r="J3286"/>
          <cell r="L3286"/>
        </row>
        <row r="3287">
          <cell r="A3287"/>
          <cell r="D3287"/>
          <cell r="E3287"/>
          <cell r="F3287"/>
          <cell r="G3287"/>
          <cell r="H3287"/>
          <cell r="I3287"/>
          <cell r="J3287"/>
          <cell r="L3287"/>
        </row>
        <row r="3288">
          <cell r="A3288"/>
          <cell r="D3288"/>
          <cell r="E3288"/>
          <cell r="F3288"/>
          <cell r="G3288"/>
          <cell r="H3288"/>
          <cell r="I3288"/>
          <cell r="J3288"/>
          <cell r="L3288"/>
        </row>
        <row r="3289">
          <cell r="A3289"/>
          <cell r="D3289"/>
          <cell r="E3289"/>
          <cell r="F3289"/>
          <cell r="G3289"/>
          <cell r="H3289"/>
          <cell r="I3289"/>
          <cell r="J3289"/>
          <cell r="L3289"/>
        </row>
        <row r="3290">
          <cell r="A3290"/>
          <cell r="D3290"/>
          <cell r="E3290"/>
          <cell r="F3290"/>
          <cell r="G3290"/>
          <cell r="H3290"/>
          <cell r="I3290"/>
          <cell r="J3290"/>
          <cell r="L3290"/>
        </row>
        <row r="3291">
          <cell r="A3291"/>
          <cell r="D3291"/>
          <cell r="E3291"/>
          <cell r="F3291"/>
          <cell r="G3291"/>
          <cell r="H3291"/>
          <cell r="I3291"/>
          <cell r="J3291"/>
          <cell r="L3291"/>
        </row>
        <row r="3292">
          <cell r="A3292"/>
          <cell r="D3292"/>
          <cell r="E3292"/>
          <cell r="F3292"/>
          <cell r="G3292"/>
          <cell r="H3292"/>
          <cell r="I3292"/>
          <cell r="J3292"/>
          <cell r="L3292"/>
        </row>
        <row r="3293">
          <cell r="A3293"/>
          <cell r="D3293"/>
          <cell r="E3293"/>
          <cell r="F3293"/>
          <cell r="G3293"/>
          <cell r="H3293"/>
          <cell r="I3293"/>
          <cell r="J3293"/>
          <cell r="L3293"/>
        </row>
        <row r="3294">
          <cell r="A3294"/>
          <cell r="D3294"/>
          <cell r="E3294"/>
          <cell r="F3294"/>
          <cell r="G3294"/>
          <cell r="H3294"/>
          <cell r="I3294"/>
          <cell r="J3294"/>
          <cell r="L3294"/>
        </row>
        <row r="3295">
          <cell r="A3295"/>
          <cell r="D3295"/>
          <cell r="E3295"/>
          <cell r="F3295"/>
          <cell r="G3295"/>
          <cell r="H3295"/>
          <cell r="I3295"/>
          <cell r="J3295"/>
          <cell r="L3295"/>
        </row>
        <row r="3296">
          <cell r="A3296"/>
          <cell r="D3296"/>
          <cell r="E3296"/>
          <cell r="F3296"/>
          <cell r="G3296"/>
          <cell r="H3296"/>
          <cell r="I3296"/>
          <cell r="J3296"/>
          <cell r="L3296"/>
        </row>
        <row r="3297">
          <cell r="A3297"/>
          <cell r="D3297"/>
          <cell r="E3297"/>
          <cell r="F3297"/>
          <cell r="G3297"/>
          <cell r="H3297"/>
          <cell r="I3297"/>
          <cell r="J3297"/>
          <cell r="L3297"/>
        </row>
        <row r="3298">
          <cell r="A3298"/>
          <cell r="D3298"/>
          <cell r="E3298"/>
          <cell r="F3298"/>
          <cell r="G3298"/>
          <cell r="H3298"/>
          <cell r="I3298"/>
          <cell r="J3298"/>
          <cell r="L3298"/>
        </row>
        <row r="3299">
          <cell r="A3299"/>
          <cell r="D3299"/>
          <cell r="E3299"/>
          <cell r="F3299"/>
          <cell r="G3299"/>
          <cell r="H3299"/>
          <cell r="I3299"/>
          <cell r="J3299"/>
          <cell r="L3299"/>
        </row>
        <row r="3300">
          <cell r="A3300"/>
          <cell r="D3300"/>
          <cell r="E3300"/>
          <cell r="F3300"/>
          <cell r="G3300"/>
          <cell r="H3300"/>
          <cell r="I3300"/>
          <cell r="J3300"/>
          <cell r="L3300"/>
        </row>
        <row r="3301">
          <cell r="A3301"/>
          <cell r="D3301"/>
          <cell r="E3301"/>
          <cell r="F3301"/>
          <cell r="G3301"/>
          <cell r="H3301"/>
          <cell r="I3301"/>
          <cell r="J3301"/>
          <cell r="L3301"/>
        </row>
        <row r="3302">
          <cell r="A3302"/>
          <cell r="D3302"/>
          <cell r="E3302"/>
          <cell r="F3302"/>
          <cell r="G3302"/>
          <cell r="H3302"/>
          <cell r="I3302"/>
          <cell r="J3302"/>
          <cell r="L3302"/>
        </row>
        <row r="3303">
          <cell r="A3303"/>
          <cell r="D3303"/>
          <cell r="E3303"/>
          <cell r="F3303"/>
          <cell r="G3303"/>
          <cell r="H3303"/>
          <cell r="I3303"/>
          <cell r="J3303"/>
          <cell r="L3303"/>
        </row>
        <row r="3304">
          <cell r="A3304"/>
          <cell r="D3304"/>
          <cell r="E3304"/>
          <cell r="F3304"/>
          <cell r="G3304"/>
          <cell r="H3304"/>
          <cell r="I3304"/>
          <cell r="J3304"/>
          <cell r="L3304"/>
        </row>
        <row r="3305">
          <cell r="A3305"/>
          <cell r="D3305"/>
          <cell r="E3305"/>
          <cell r="F3305"/>
          <cell r="G3305"/>
          <cell r="H3305"/>
          <cell r="I3305"/>
          <cell r="J3305"/>
          <cell r="L3305"/>
        </row>
        <row r="3306">
          <cell r="A3306"/>
          <cell r="D3306"/>
          <cell r="E3306"/>
          <cell r="F3306"/>
          <cell r="G3306"/>
          <cell r="H3306"/>
          <cell r="I3306"/>
          <cell r="J3306"/>
          <cell r="L3306"/>
        </row>
        <row r="3307">
          <cell r="A3307"/>
          <cell r="D3307"/>
          <cell r="E3307"/>
          <cell r="F3307"/>
          <cell r="G3307"/>
          <cell r="H3307"/>
          <cell r="I3307"/>
          <cell r="J3307"/>
          <cell r="L3307"/>
        </row>
        <row r="3308">
          <cell r="A3308"/>
          <cell r="D3308"/>
          <cell r="E3308"/>
          <cell r="F3308"/>
          <cell r="G3308"/>
          <cell r="H3308"/>
          <cell r="I3308"/>
          <cell r="J3308"/>
          <cell r="L3308"/>
        </row>
        <row r="3309">
          <cell r="A3309"/>
          <cell r="D3309"/>
          <cell r="E3309"/>
          <cell r="F3309"/>
          <cell r="G3309"/>
          <cell r="H3309"/>
          <cell r="I3309"/>
          <cell r="J3309"/>
          <cell r="L3309"/>
        </row>
        <row r="3310">
          <cell r="A3310"/>
          <cell r="D3310"/>
          <cell r="E3310"/>
          <cell r="F3310"/>
          <cell r="G3310"/>
          <cell r="H3310"/>
          <cell r="I3310"/>
          <cell r="J3310"/>
          <cell r="L3310"/>
        </row>
        <row r="3311">
          <cell r="A3311"/>
          <cell r="D3311"/>
          <cell r="E3311"/>
          <cell r="F3311"/>
          <cell r="G3311"/>
          <cell r="H3311"/>
          <cell r="I3311"/>
          <cell r="J3311"/>
          <cell r="L3311"/>
        </row>
        <row r="3312">
          <cell r="A3312"/>
          <cell r="D3312"/>
          <cell r="E3312"/>
          <cell r="F3312"/>
          <cell r="G3312"/>
          <cell r="H3312"/>
          <cell r="I3312"/>
          <cell r="J3312"/>
          <cell r="L3312"/>
        </row>
        <row r="3313">
          <cell r="A3313"/>
          <cell r="D3313"/>
          <cell r="E3313"/>
          <cell r="F3313"/>
          <cell r="G3313"/>
          <cell r="H3313"/>
          <cell r="I3313"/>
          <cell r="J3313"/>
          <cell r="L3313"/>
        </row>
        <row r="3314">
          <cell r="A3314"/>
          <cell r="D3314"/>
          <cell r="E3314"/>
          <cell r="F3314"/>
          <cell r="G3314"/>
          <cell r="H3314"/>
          <cell r="I3314"/>
          <cell r="J3314"/>
          <cell r="L3314"/>
        </row>
        <row r="3315">
          <cell r="A3315"/>
          <cell r="D3315"/>
          <cell r="E3315"/>
          <cell r="F3315"/>
          <cell r="G3315"/>
          <cell r="H3315"/>
          <cell r="I3315"/>
          <cell r="J3315"/>
          <cell r="L3315"/>
        </row>
        <row r="3316">
          <cell r="A3316"/>
          <cell r="D3316"/>
          <cell r="E3316"/>
          <cell r="F3316"/>
          <cell r="G3316"/>
          <cell r="H3316"/>
          <cell r="I3316"/>
          <cell r="J3316"/>
          <cell r="L3316"/>
        </row>
        <row r="3317">
          <cell r="A3317"/>
          <cell r="D3317"/>
          <cell r="E3317"/>
          <cell r="F3317"/>
          <cell r="G3317"/>
          <cell r="H3317"/>
          <cell r="I3317"/>
          <cell r="J3317"/>
          <cell r="L3317"/>
        </row>
        <row r="3318">
          <cell r="A3318"/>
          <cell r="D3318"/>
          <cell r="E3318"/>
          <cell r="F3318"/>
          <cell r="G3318"/>
          <cell r="H3318"/>
          <cell r="I3318"/>
          <cell r="J3318"/>
          <cell r="L3318"/>
        </row>
        <row r="3319">
          <cell r="A3319"/>
          <cell r="D3319"/>
          <cell r="E3319"/>
          <cell r="F3319"/>
          <cell r="G3319"/>
          <cell r="H3319"/>
          <cell r="I3319"/>
          <cell r="J3319"/>
          <cell r="L3319"/>
        </row>
        <row r="3320">
          <cell r="A3320"/>
          <cell r="D3320"/>
          <cell r="E3320"/>
          <cell r="F3320"/>
          <cell r="G3320"/>
          <cell r="H3320"/>
          <cell r="I3320"/>
          <cell r="J3320"/>
          <cell r="L3320"/>
        </row>
        <row r="3321">
          <cell r="A3321"/>
          <cell r="D3321"/>
          <cell r="E3321"/>
          <cell r="F3321"/>
          <cell r="G3321"/>
          <cell r="H3321"/>
          <cell r="I3321"/>
          <cell r="J3321"/>
          <cell r="L3321"/>
        </row>
        <row r="3322">
          <cell r="A3322"/>
          <cell r="D3322"/>
          <cell r="E3322"/>
          <cell r="F3322"/>
          <cell r="G3322"/>
          <cell r="H3322"/>
          <cell r="I3322"/>
          <cell r="J3322"/>
          <cell r="L3322"/>
        </row>
        <row r="3323">
          <cell r="A3323"/>
          <cell r="D3323"/>
          <cell r="E3323"/>
          <cell r="F3323"/>
          <cell r="G3323"/>
          <cell r="H3323"/>
          <cell r="I3323"/>
          <cell r="J3323"/>
          <cell r="L3323"/>
        </row>
        <row r="3324">
          <cell r="A3324"/>
          <cell r="D3324"/>
          <cell r="E3324"/>
          <cell r="F3324"/>
          <cell r="G3324"/>
          <cell r="H3324"/>
          <cell r="I3324"/>
          <cell r="J3324"/>
          <cell r="L3324"/>
        </row>
        <row r="3325">
          <cell r="A3325"/>
          <cell r="D3325"/>
          <cell r="E3325"/>
          <cell r="F3325"/>
          <cell r="G3325"/>
          <cell r="H3325"/>
          <cell r="I3325"/>
          <cell r="J3325"/>
          <cell r="L3325"/>
        </row>
        <row r="3326">
          <cell r="A3326"/>
          <cell r="D3326"/>
          <cell r="E3326"/>
          <cell r="F3326"/>
          <cell r="G3326"/>
          <cell r="H3326"/>
          <cell r="I3326"/>
          <cell r="J3326"/>
          <cell r="L3326"/>
        </row>
        <row r="3327">
          <cell r="A3327"/>
          <cell r="D3327"/>
          <cell r="E3327"/>
          <cell r="F3327"/>
          <cell r="G3327"/>
          <cell r="H3327"/>
          <cell r="I3327"/>
          <cell r="J3327"/>
          <cell r="L3327"/>
        </row>
        <row r="3328">
          <cell r="A3328"/>
          <cell r="D3328"/>
          <cell r="E3328"/>
          <cell r="F3328"/>
          <cell r="G3328"/>
          <cell r="H3328"/>
          <cell r="I3328"/>
          <cell r="J3328"/>
          <cell r="L3328"/>
        </row>
        <row r="3329">
          <cell r="A3329"/>
          <cell r="D3329"/>
          <cell r="E3329"/>
          <cell r="F3329"/>
          <cell r="G3329"/>
          <cell r="H3329"/>
          <cell r="I3329"/>
          <cell r="J3329"/>
          <cell r="L3329"/>
        </row>
        <row r="3330">
          <cell r="A3330"/>
          <cell r="D3330"/>
          <cell r="E3330"/>
          <cell r="F3330"/>
          <cell r="G3330"/>
          <cell r="H3330"/>
          <cell r="I3330"/>
          <cell r="J3330"/>
          <cell r="L3330"/>
        </row>
        <row r="3331">
          <cell r="A3331"/>
          <cell r="D3331"/>
          <cell r="E3331"/>
          <cell r="F3331"/>
          <cell r="G3331"/>
          <cell r="H3331"/>
          <cell r="I3331"/>
          <cell r="J3331"/>
          <cell r="L3331"/>
        </row>
        <row r="3332">
          <cell r="A3332"/>
          <cell r="D3332"/>
          <cell r="E3332"/>
          <cell r="F3332"/>
          <cell r="G3332"/>
          <cell r="H3332"/>
          <cell r="I3332"/>
          <cell r="J3332"/>
          <cell r="L3332"/>
        </row>
        <row r="3333">
          <cell r="A3333"/>
          <cell r="D3333"/>
          <cell r="E3333"/>
          <cell r="F3333"/>
          <cell r="G3333"/>
          <cell r="H3333"/>
          <cell r="I3333"/>
          <cell r="J3333"/>
          <cell r="L3333"/>
        </row>
        <row r="3334">
          <cell r="A3334"/>
          <cell r="D3334"/>
          <cell r="E3334"/>
          <cell r="F3334"/>
          <cell r="G3334"/>
          <cell r="H3334"/>
          <cell r="I3334"/>
          <cell r="J3334"/>
          <cell r="L3334"/>
        </row>
        <row r="3335">
          <cell r="A3335"/>
          <cell r="D3335"/>
          <cell r="E3335"/>
          <cell r="F3335"/>
          <cell r="G3335"/>
          <cell r="H3335"/>
          <cell r="I3335"/>
          <cell r="J3335"/>
          <cell r="L3335"/>
        </row>
        <row r="3336">
          <cell r="A3336"/>
          <cell r="D3336"/>
          <cell r="E3336"/>
          <cell r="F3336"/>
          <cell r="G3336"/>
          <cell r="H3336"/>
          <cell r="I3336"/>
          <cell r="J3336"/>
          <cell r="L3336"/>
        </row>
        <row r="3337">
          <cell r="A3337"/>
          <cell r="D3337"/>
          <cell r="E3337"/>
          <cell r="F3337"/>
          <cell r="G3337"/>
          <cell r="H3337"/>
          <cell r="I3337"/>
          <cell r="J3337"/>
          <cell r="L3337"/>
        </row>
        <row r="3338">
          <cell r="A3338"/>
          <cell r="D3338"/>
          <cell r="E3338"/>
          <cell r="F3338"/>
          <cell r="G3338"/>
          <cell r="H3338"/>
          <cell r="I3338"/>
          <cell r="J3338"/>
          <cell r="L3338"/>
        </row>
        <row r="3339">
          <cell r="A3339"/>
          <cell r="D3339"/>
          <cell r="E3339"/>
          <cell r="F3339"/>
          <cell r="G3339"/>
          <cell r="H3339"/>
          <cell r="I3339"/>
          <cell r="J3339"/>
          <cell r="L3339"/>
        </row>
        <row r="3340">
          <cell r="A3340"/>
          <cell r="D3340"/>
          <cell r="E3340"/>
          <cell r="F3340"/>
          <cell r="G3340"/>
          <cell r="H3340"/>
          <cell r="I3340"/>
          <cell r="J3340"/>
          <cell r="L3340"/>
        </row>
        <row r="3341">
          <cell r="A3341"/>
          <cell r="D3341"/>
          <cell r="E3341"/>
          <cell r="F3341"/>
          <cell r="G3341"/>
          <cell r="H3341"/>
          <cell r="I3341"/>
          <cell r="J3341"/>
          <cell r="L3341"/>
        </row>
        <row r="3342">
          <cell r="A3342"/>
          <cell r="D3342"/>
          <cell r="E3342"/>
          <cell r="F3342"/>
          <cell r="G3342"/>
          <cell r="H3342"/>
          <cell r="I3342"/>
          <cell r="J3342"/>
          <cell r="L3342"/>
        </row>
        <row r="3343">
          <cell r="A3343"/>
          <cell r="D3343"/>
          <cell r="E3343"/>
          <cell r="F3343"/>
          <cell r="G3343"/>
          <cell r="H3343"/>
          <cell r="I3343"/>
          <cell r="J3343"/>
          <cell r="L3343"/>
        </row>
        <row r="3344">
          <cell r="A3344"/>
          <cell r="D3344"/>
          <cell r="E3344"/>
          <cell r="F3344"/>
          <cell r="G3344"/>
          <cell r="H3344"/>
          <cell r="I3344"/>
          <cell r="J3344"/>
          <cell r="L3344"/>
        </row>
        <row r="3345">
          <cell r="A3345"/>
          <cell r="D3345"/>
          <cell r="E3345"/>
          <cell r="F3345"/>
          <cell r="G3345"/>
          <cell r="H3345"/>
          <cell r="I3345"/>
          <cell r="J3345"/>
          <cell r="L3345"/>
        </row>
        <row r="3346">
          <cell r="A3346"/>
          <cell r="D3346"/>
          <cell r="E3346"/>
          <cell r="F3346"/>
          <cell r="G3346"/>
          <cell r="H3346"/>
          <cell r="I3346"/>
          <cell r="J3346"/>
          <cell r="L3346"/>
        </row>
        <row r="3347">
          <cell r="A3347"/>
          <cell r="D3347"/>
          <cell r="E3347"/>
          <cell r="F3347"/>
          <cell r="G3347"/>
          <cell r="H3347"/>
          <cell r="I3347"/>
          <cell r="J3347"/>
          <cell r="L3347"/>
        </row>
        <row r="3348">
          <cell r="A3348"/>
          <cell r="D3348"/>
          <cell r="E3348"/>
          <cell r="F3348"/>
          <cell r="G3348"/>
          <cell r="H3348"/>
          <cell r="I3348"/>
          <cell r="J3348"/>
          <cell r="L3348"/>
        </row>
        <row r="3349">
          <cell r="A3349"/>
          <cell r="D3349"/>
          <cell r="E3349"/>
          <cell r="F3349"/>
          <cell r="G3349"/>
          <cell r="H3349"/>
          <cell r="I3349"/>
          <cell r="J3349"/>
          <cell r="L3349"/>
        </row>
        <row r="3350">
          <cell r="A3350"/>
          <cell r="D3350"/>
          <cell r="E3350"/>
          <cell r="F3350"/>
          <cell r="G3350"/>
          <cell r="H3350"/>
          <cell r="I3350"/>
          <cell r="J3350"/>
          <cell r="L3350"/>
        </row>
        <row r="3351">
          <cell r="A3351"/>
          <cell r="D3351"/>
          <cell r="E3351"/>
          <cell r="F3351"/>
          <cell r="G3351"/>
          <cell r="H3351"/>
          <cell r="I3351"/>
          <cell r="J3351"/>
          <cell r="L3351"/>
        </row>
        <row r="3352">
          <cell r="A3352"/>
          <cell r="D3352"/>
          <cell r="E3352"/>
          <cell r="F3352"/>
          <cell r="G3352"/>
          <cell r="H3352"/>
          <cell r="I3352"/>
          <cell r="J3352"/>
          <cell r="L3352"/>
        </row>
        <row r="3353">
          <cell r="A3353"/>
          <cell r="D3353"/>
          <cell r="E3353"/>
          <cell r="F3353"/>
          <cell r="G3353"/>
          <cell r="H3353"/>
          <cell r="I3353"/>
          <cell r="J3353"/>
          <cell r="L3353"/>
        </row>
        <row r="3354">
          <cell r="A3354"/>
          <cell r="D3354"/>
          <cell r="E3354"/>
          <cell r="F3354"/>
          <cell r="G3354"/>
          <cell r="H3354"/>
          <cell r="I3354"/>
          <cell r="J3354"/>
          <cell r="L3354"/>
        </row>
        <row r="3355">
          <cell r="A3355"/>
          <cell r="D3355"/>
          <cell r="E3355"/>
          <cell r="F3355"/>
          <cell r="G3355"/>
          <cell r="H3355"/>
          <cell r="I3355"/>
          <cell r="J3355"/>
          <cell r="L3355"/>
        </row>
        <row r="3356">
          <cell r="A3356"/>
          <cell r="D3356"/>
          <cell r="E3356"/>
          <cell r="F3356"/>
          <cell r="G3356"/>
          <cell r="H3356"/>
          <cell r="I3356"/>
          <cell r="J3356"/>
          <cell r="L3356"/>
        </row>
        <row r="3357">
          <cell r="A3357"/>
          <cell r="D3357"/>
          <cell r="E3357"/>
          <cell r="F3357"/>
          <cell r="G3357"/>
          <cell r="H3357"/>
          <cell r="I3357"/>
          <cell r="J3357"/>
          <cell r="L3357"/>
        </row>
        <row r="3358">
          <cell r="A3358"/>
          <cell r="D3358"/>
          <cell r="E3358"/>
          <cell r="F3358"/>
          <cell r="G3358"/>
          <cell r="H3358"/>
          <cell r="I3358"/>
          <cell r="J3358"/>
          <cell r="L3358"/>
        </row>
        <row r="3359">
          <cell r="A3359"/>
          <cell r="D3359"/>
          <cell r="E3359"/>
          <cell r="F3359"/>
          <cell r="G3359"/>
          <cell r="H3359"/>
          <cell r="I3359"/>
          <cell r="J3359"/>
          <cell r="L3359"/>
        </row>
        <row r="3360">
          <cell r="A3360"/>
          <cell r="D3360"/>
          <cell r="E3360"/>
          <cell r="F3360"/>
          <cell r="G3360"/>
          <cell r="H3360"/>
          <cell r="I3360"/>
          <cell r="J3360"/>
          <cell r="L3360"/>
        </row>
        <row r="3361">
          <cell r="A3361"/>
          <cell r="D3361"/>
          <cell r="E3361"/>
          <cell r="F3361"/>
          <cell r="G3361"/>
          <cell r="H3361"/>
          <cell r="I3361"/>
          <cell r="J3361"/>
          <cell r="L3361"/>
        </row>
        <row r="3362">
          <cell r="A3362"/>
          <cell r="D3362"/>
          <cell r="E3362"/>
          <cell r="F3362"/>
          <cell r="G3362"/>
          <cell r="H3362"/>
          <cell r="I3362"/>
          <cell r="J3362"/>
          <cell r="L3362"/>
        </row>
        <row r="3363">
          <cell r="A3363"/>
          <cell r="D3363"/>
          <cell r="E3363"/>
          <cell r="F3363"/>
          <cell r="G3363"/>
          <cell r="H3363"/>
          <cell r="I3363"/>
          <cell r="J3363"/>
          <cell r="L3363"/>
        </row>
        <row r="3364">
          <cell r="A3364"/>
          <cell r="D3364"/>
          <cell r="E3364"/>
          <cell r="F3364"/>
          <cell r="G3364"/>
          <cell r="H3364"/>
          <cell r="I3364"/>
          <cell r="J3364"/>
          <cell r="L3364"/>
        </row>
        <row r="3365">
          <cell r="A3365"/>
          <cell r="D3365"/>
          <cell r="E3365"/>
          <cell r="F3365"/>
          <cell r="G3365"/>
          <cell r="H3365"/>
          <cell r="I3365"/>
          <cell r="J3365"/>
          <cell r="L3365"/>
        </row>
        <row r="3366">
          <cell r="A3366"/>
          <cell r="D3366"/>
          <cell r="E3366"/>
          <cell r="F3366"/>
          <cell r="G3366"/>
          <cell r="H3366"/>
          <cell r="I3366"/>
          <cell r="J3366"/>
          <cell r="L3366"/>
        </row>
        <row r="3367">
          <cell r="A3367"/>
          <cell r="D3367"/>
          <cell r="E3367"/>
          <cell r="F3367"/>
          <cell r="G3367"/>
          <cell r="H3367"/>
          <cell r="I3367"/>
          <cell r="J3367"/>
          <cell r="L3367"/>
        </row>
        <row r="3368">
          <cell r="A3368"/>
          <cell r="D3368"/>
          <cell r="E3368"/>
          <cell r="F3368"/>
          <cell r="G3368"/>
          <cell r="H3368"/>
          <cell r="I3368"/>
          <cell r="J3368"/>
          <cell r="L3368"/>
        </row>
        <row r="3369">
          <cell r="A3369"/>
          <cell r="D3369"/>
          <cell r="E3369"/>
          <cell r="F3369"/>
          <cell r="G3369"/>
          <cell r="H3369"/>
          <cell r="I3369"/>
          <cell r="J3369"/>
          <cell r="L3369"/>
        </row>
        <row r="3370">
          <cell r="A3370"/>
          <cell r="D3370"/>
          <cell r="E3370"/>
          <cell r="F3370"/>
          <cell r="G3370"/>
          <cell r="H3370"/>
          <cell r="I3370"/>
          <cell r="J3370"/>
          <cell r="L3370"/>
        </row>
        <row r="3371">
          <cell r="A3371"/>
          <cell r="D3371"/>
          <cell r="E3371"/>
          <cell r="F3371"/>
          <cell r="G3371"/>
          <cell r="H3371"/>
          <cell r="I3371"/>
          <cell r="J3371"/>
          <cell r="L3371"/>
        </row>
        <row r="3372">
          <cell r="A3372"/>
          <cell r="D3372"/>
          <cell r="E3372"/>
          <cell r="F3372"/>
          <cell r="G3372"/>
          <cell r="H3372"/>
          <cell r="I3372"/>
          <cell r="J3372"/>
          <cell r="L3372"/>
        </row>
        <row r="3373">
          <cell r="A3373"/>
          <cell r="D3373"/>
          <cell r="E3373"/>
          <cell r="F3373"/>
          <cell r="G3373"/>
          <cell r="H3373"/>
          <cell r="I3373"/>
          <cell r="J3373"/>
          <cell r="L3373"/>
        </row>
        <row r="3374">
          <cell r="A3374"/>
          <cell r="D3374"/>
          <cell r="E3374"/>
          <cell r="F3374"/>
          <cell r="G3374"/>
          <cell r="H3374"/>
          <cell r="I3374"/>
          <cell r="J3374"/>
          <cell r="L3374"/>
        </row>
        <row r="3375">
          <cell r="A3375"/>
          <cell r="D3375"/>
          <cell r="E3375"/>
          <cell r="F3375"/>
          <cell r="G3375"/>
          <cell r="H3375"/>
          <cell r="I3375"/>
          <cell r="J3375"/>
          <cell r="L3375"/>
        </row>
        <row r="3376">
          <cell r="A3376"/>
          <cell r="D3376"/>
          <cell r="E3376"/>
          <cell r="F3376"/>
          <cell r="G3376"/>
          <cell r="H3376"/>
          <cell r="I3376"/>
          <cell r="J3376"/>
          <cell r="L3376"/>
        </row>
        <row r="3377">
          <cell r="A3377"/>
          <cell r="D3377"/>
          <cell r="E3377"/>
          <cell r="F3377"/>
          <cell r="G3377"/>
          <cell r="H3377"/>
          <cell r="I3377"/>
          <cell r="J3377"/>
          <cell r="L3377"/>
        </row>
        <row r="3378">
          <cell r="A3378"/>
          <cell r="D3378"/>
          <cell r="E3378"/>
          <cell r="F3378"/>
          <cell r="G3378"/>
          <cell r="H3378"/>
          <cell r="I3378"/>
          <cell r="J3378"/>
          <cell r="L3378"/>
        </row>
        <row r="3379">
          <cell r="A3379"/>
          <cell r="D3379"/>
          <cell r="E3379"/>
          <cell r="F3379"/>
          <cell r="G3379"/>
          <cell r="H3379"/>
          <cell r="I3379"/>
          <cell r="J3379"/>
          <cell r="L3379"/>
        </row>
        <row r="3380">
          <cell r="A3380"/>
          <cell r="D3380"/>
          <cell r="E3380"/>
          <cell r="F3380"/>
          <cell r="G3380"/>
          <cell r="H3380"/>
          <cell r="I3380"/>
          <cell r="J3380"/>
          <cell r="L3380"/>
        </row>
        <row r="3381">
          <cell r="A3381"/>
          <cell r="D3381"/>
          <cell r="E3381"/>
          <cell r="F3381"/>
          <cell r="G3381"/>
          <cell r="H3381"/>
          <cell r="I3381"/>
          <cell r="J3381"/>
          <cell r="L3381"/>
        </row>
        <row r="3382">
          <cell r="A3382"/>
          <cell r="D3382"/>
          <cell r="E3382"/>
          <cell r="F3382"/>
          <cell r="G3382"/>
          <cell r="H3382"/>
          <cell r="I3382"/>
          <cell r="J3382"/>
          <cell r="L3382"/>
        </row>
        <row r="3383">
          <cell r="A3383"/>
          <cell r="D3383"/>
          <cell r="E3383"/>
          <cell r="F3383"/>
          <cell r="G3383"/>
          <cell r="H3383"/>
          <cell r="I3383"/>
          <cell r="J3383"/>
          <cell r="L3383"/>
        </row>
        <row r="3384">
          <cell r="A3384"/>
          <cell r="D3384"/>
          <cell r="E3384"/>
          <cell r="F3384"/>
          <cell r="G3384"/>
          <cell r="H3384"/>
          <cell r="I3384"/>
          <cell r="J3384"/>
          <cell r="L3384"/>
        </row>
        <row r="3385">
          <cell r="A3385"/>
          <cell r="D3385"/>
          <cell r="E3385"/>
          <cell r="F3385"/>
          <cell r="G3385"/>
          <cell r="H3385"/>
          <cell r="I3385"/>
          <cell r="J3385"/>
          <cell r="L3385"/>
        </row>
        <row r="3386">
          <cell r="A3386"/>
          <cell r="D3386"/>
          <cell r="E3386"/>
          <cell r="F3386"/>
          <cell r="G3386"/>
          <cell r="H3386"/>
          <cell r="I3386"/>
          <cell r="J3386"/>
          <cell r="L3386"/>
        </row>
        <row r="3387">
          <cell r="A3387"/>
          <cell r="D3387"/>
          <cell r="E3387"/>
          <cell r="F3387"/>
          <cell r="G3387"/>
          <cell r="H3387"/>
          <cell r="I3387"/>
          <cell r="J3387"/>
          <cell r="L3387"/>
        </row>
        <row r="3388">
          <cell r="A3388"/>
          <cell r="D3388"/>
          <cell r="E3388"/>
          <cell r="F3388"/>
          <cell r="G3388"/>
          <cell r="H3388"/>
          <cell r="I3388"/>
          <cell r="J3388"/>
          <cell r="L3388"/>
        </row>
        <row r="3389">
          <cell r="A3389"/>
          <cell r="D3389"/>
          <cell r="E3389"/>
          <cell r="F3389"/>
          <cell r="G3389"/>
          <cell r="H3389"/>
          <cell r="I3389"/>
          <cell r="J3389"/>
          <cell r="L3389"/>
        </row>
        <row r="3390">
          <cell r="A3390"/>
          <cell r="D3390"/>
          <cell r="E3390"/>
          <cell r="F3390"/>
          <cell r="G3390"/>
          <cell r="H3390"/>
          <cell r="I3390"/>
          <cell r="J3390"/>
          <cell r="L3390"/>
        </row>
        <row r="3391">
          <cell r="A3391"/>
          <cell r="D3391"/>
          <cell r="E3391"/>
          <cell r="F3391"/>
          <cell r="G3391"/>
          <cell r="H3391"/>
          <cell r="I3391"/>
          <cell r="J3391"/>
          <cell r="L3391"/>
        </row>
        <row r="3392">
          <cell r="A3392"/>
          <cell r="D3392"/>
          <cell r="E3392"/>
          <cell r="F3392"/>
          <cell r="G3392"/>
          <cell r="H3392"/>
          <cell r="I3392"/>
          <cell r="J3392"/>
          <cell r="L3392"/>
        </row>
        <row r="3393">
          <cell r="A3393"/>
          <cell r="D3393"/>
          <cell r="E3393"/>
          <cell r="F3393"/>
          <cell r="G3393"/>
          <cell r="H3393"/>
          <cell r="I3393"/>
          <cell r="J3393"/>
          <cell r="L3393"/>
        </row>
        <row r="3394">
          <cell r="A3394"/>
          <cell r="D3394"/>
          <cell r="E3394"/>
          <cell r="F3394"/>
          <cell r="G3394"/>
          <cell r="H3394"/>
          <cell r="I3394"/>
          <cell r="J3394"/>
          <cell r="L3394"/>
        </row>
        <row r="3395">
          <cell r="A3395"/>
          <cell r="D3395"/>
          <cell r="E3395"/>
          <cell r="F3395"/>
          <cell r="G3395"/>
          <cell r="H3395"/>
          <cell r="I3395"/>
          <cell r="J3395"/>
          <cell r="L3395"/>
        </row>
        <row r="3396">
          <cell r="A3396"/>
          <cell r="D3396"/>
          <cell r="E3396"/>
          <cell r="F3396"/>
          <cell r="G3396"/>
          <cell r="H3396"/>
          <cell r="I3396"/>
          <cell r="J3396"/>
          <cell r="L3396"/>
        </row>
        <row r="3397">
          <cell r="A3397"/>
          <cell r="D3397"/>
          <cell r="E3397"/>
          <cell r="F3397"/>
          <cell r="G3397"/>
          <cell r="H3397"/>
          <cell r="I3397"/>
          <cell r="J3397"/>
          <cell r="L3397"/>
        </row>
        <row r="3398">
          <cell r="A3398"/>
          <cell r="D3398"/>
          <cell r="E3398"/>
          <cell r="F3398"/>
          <cell r="G3398"/>
          <cell r="H3398"/>
          <cell r="I3398"/>
          <cell r="J3398"/>
          <cell r="L3398"/>
        </row>
        <row r="3399">
          <cell r="A3399"/>
          <cell r="D3399"/>
          <cell r="E3399"/>
          <cell r="F3399"/>
          <cell r="G3399"/>
          <cell r="H3399"/>
          <cell r="I3399"/>
          <cell r="J3399"/>
          <cell r="L3399"/>
        </row>
        <row r="3400">
          <cell r="A3400"/>
          <cell r="D3400"/>
          <cell r="E3400"/>
          <cell r="F3400"/>
          <cell r="G3400"/>
          <cell r="H3400"/>
          <cell r="I3400"/>
          <cell r="J3400"/>
          <cell r="L3400"/>
        </row>
        <row r="3401">
          <cell r="A3401"/>
          <cell r="D3401"/>
          <cell r="E3401"/>
          <cell r="F3401"/>
          <cell r="G3401"/>
          <cell r="H3401"/>
          <cell r="I3401"/>
          <cell r="J3401"/>
          <cell r="L3401"/>
        </row>
        <row r="3402">
          <cell r="A3402"/>
          <cell r="D3402"/>
          <cell r="E3402"/>
          <cell r="F3402"/>
          <cell r="G3402"/>
          <cell r="H3402"/>
          <cell r="I3402"/>
          <cell r="J3402"/>
          <cell r="L3402"/>
        </row>
        <row r="3403">
          <cell r="A3403"/>
          <cell r="D3403"/>
          <cell r="E3403"/>
          <cell r="F3403"/>
          <cell r="G3403"/>
          <cell r="H3403"/>
          <cell r="I3403"/>
          <cell r="J3403"/>
          <cell r="L3403"/>
        </row>
        <row r="3404">
          <cell r="A3404"/>
          <cell r="D3404"/>
          <cell r="E3404"/>
          <cell r="F3404"/>
          <cell r="G3404"/>
          <cell r="H3404"/>
          <cell r="I3404"/>
          <cell r="J3404"/>
          <cell r="L3404"/>
        </row>
        <row r="3405">
          <cell r="A3405"/>
          <cell r="D3405"/>
          <cell r="E3405"/>
          <cell r="F3405"/>
          <cell r="G3405"/>
          <cell r="H3405"/>
          <cell r="I3405"/>
          <cell r="J3405"/>
          <cell r="L3405"/>
        </row>
        <row r="3406">
          <cell r="A3406"/>
          <cell r="D3406"/>
          <cell r="E3406"/>
          <cell r="F3406"/>
          <cell r="G3406"/>
          <cell r="H3406"/>
          <cell r="I3406"/>
          <cell r="J3406"/>
          <cell r="L3406"/>
        </row>
        <row r="3407">
          <cell r="A3407"/>
          <cell r="D3407"/>
          <cell r="E3407"/>
          <cell r="F3407"/>
          <cell r="G3407"/>
          <cell r="H3407"/>
          <cell r="I3407"/>
          <cell r="J3407"/>
          <cell r="L3407"/>
        </row>
        <row r="3408">
          <cell r="A3408"/>
          <cell r="D3408"/>
          <cell r="E3408"/>
          <cell r="F3408"/>
          <cell r="G3408"/>
          <cell r="H3408"/>
          <cell r="I3408"/>
          <cell r="J3408"/>
          <cell r="L3408"/>
        </row>
        <row r="3409">
          <cell r="A3409"/>
          <cell r="D3409"/>
          <cell r="E3409"/>
          <cell r="F3409"/>
          <cell r="G3409"/>
          <cell r="H3409"/>
          <cell r="I3409"/>
          <cell r="J3409"/>
          <cell r="L3409"/>
        </row>
        <row r="3410">
          <cell r="A3410"/>
          <cell r="D3410"/>
          <cell r="E3410"/>
          <cell r="F3410"/>
          <cell r="G3410"/>
          <cell r="H3410"/>
          <cell r="I3410"/>
          <cell r="J3410"/>
          <cell r="L3410"/>
        </row>
        <row r="3411">
          <cell r="A3411"/>
          <cell r="D3411"/>
          <cell r="E3411"/>
          <cell r="F3411"/>
          <cell r="G3411"/>
          <cell r="H3411"/>
          <cell r="I3411"/>
          <cell r="J3411"/>
          <cell r="L3411"/>
        </row>
        <row r="3412">
          <cell r="A3412"/>
          <cell r="D3412"/>
          <cell r="E3412"/>
          <cell r="F3412"/>
          <cell r="G3412"/>
          <cell r="H3412"/>
          <cell r="I3412"/>
          <cell r="J3412"/>
          <cell r="L3412"/>
        </row>
        <row r="3413">
          <cell r="A3413"/>
          <cell r="D3413"/>
          <cell r="E3413"/>
          <cell r="F3413"/>
          <cell r="G3413"/>
          <cell r="H3413"/>
          <cell r="I3413"/>
          <cell r="J3413"/>
          <cell r="L3413"/>
        </row>
        <row r="3414">
          <cell r="A3414"/>
          <cell r="D3414"/>
          <cell r="E3414"/>
          <cell r="F3414"/>
          <cell r="G3414"/>
          <cell r="H3414"/>
          <cell r="I3414"/>
          <cell r="J3414"/>
          <cell r="L3414"/>
        </row>
        <row r="3415">
          <cell r="A3415"/>
          <cell r="D3415"/>
          <cell r="E3415"/>
          <cell r="F3415"/>
          <cell r="G3415"/>
          <cell r="H3415"/>
          <cell r="I3415"/>
          <cell r="J3415"/>
          <cell r="L3415"/>
        </row>
        <row r="3416">
          <cell r="A3416"/>
          <cell r="D3416"/>
          <cell r="E3416"/>
          <cell r="F3416"/>
          <cell r="G3416"/>
          <cell r="H3416"/>
          <cell r="I3416"/>
          <cell r="J3416"/>
          <cell r="L3416"/>
        </row>
        <row r="3417">
          <cell r="A3417"/>
          <cell r="D3417"/>
          <cell r="E3417"/>
          <cell r="F3417"/>
          <cell r="G3417"/>
          <cell r="H3417"/>
          <cell r="I3417"/>
          <cell r="J3417"/>
          <cell r="L3417"/>
        </row>
        <row r="3418">
          <cell r="A3418"/>
          <cell r="D3418"/>
          <cell r="E3418"/>
          <cell r="F3418"/>
          <cell r="G3418"/>
          <cell r="H3418"/>
          <cell r="I3418"/>
          <cell r="J3418"/>
          <cell r="L3418"/>
        </row>
        <row r="3419">
          <cell r="A3419"/>
          <cell r="D3419"/>
          <cell r="E3419"/>
          <cell r="F3419"/>
          <cell r="G3419"/>
          <cell r="H3419"/>
          <cell r="I3419"/>
          <cell r="J3419"/>
          <cell r="L3419"/>
        </row>
        <row r="3420">
          <cell r="A3420"/>
          <cell r="D3420"/>
          <cell r="E3420"/>
          <cell r="F3420"/>
          <cell r="G3420"/>
          <cell r="H3420"/>
          <cell r="I3420"/>
          <cell r="J3420"/>
          <cell r="L3420"/>
        </row>
        <row r="3421">
          <cell r="A3421"/>
          <cell r="D3421"/>
          <cell r="E3421"/>
          <cell r="F3421"/>
          <cell r="G3421"/>
          <cell r="H3421"/>
          <cell r="I3421"/>
          <cell r="J3421"/>
          <cell r="L3421"/>
        </row>
        <row r="3422">
          <cell r="A3422"/>
          <cell r="D3422"/>
          <cell r="E3422"/>
          <cell r="F3422"/>
          <cell r="G3422"/>
          <cell r="H3422"/>
          <cell r="I3422"/>
          <cell r="J3422"/>
          <cell r="L3422"/>
        </row>
        <row r="3423">
          <cell r="A3423"/>
          <cell r="D3423"/>
          <cell r="E3423"/>
          <cell r="F3423"/>
          <cell r="G3423"/>
          <cell r="H3423"/>
          <cell r="I3423"/>
          <cell r="J3423"/>
          <cell r="L3423"/>
        </row>
        <row r="3424">
          <cell r="A3424"/>
          <cell r="D3424"/>
          <cell r="E3424"/>
          <cell r="F3424"/>
          <cell r="G3424"/>
          <cell r="H3424"/>
          <cell r="I3424"/>
          <cell r="J3424"/>
          <cell r="L3424"/>
        </row>
        <row r="3425">
          <cell r="A3425"/>
          <cell r="D3425"/>
          <cell r="E3425"/>
          <cell r="F3425"/>
          <cell r="G3425"/>
          <cell r="H3425"/>
          <cell r="I3425"/>
          <cell r="J3425"/>
          <cell r="L3425"/>
        </row>
        <row r="3426">
          <cell r="A3426"/>
          <cell r="D3426"/>
          <cell r="E3426"/>
          <cell r="F3426"/>
          <cell r="G3426"/>
          <cell r="H3426"/>
          <cell r="I3426"/>
          <cell r="J3426"/>
          <cell r="L3426"/>
        </row>
        <row r="3427">
          <cell r="A3427"/>
          <cell r="D3427"/>
          <cell r="E3427"/>
          <cell r="F3427"/>
          <cell r="G3427"/>
          <cell r="H3427"/>
          <cell r="I3427"/>
          <cell r="J3427"/>
          <cell r="L3427"/>
        </row>
        <row r="3428">
          <cell r="A3428"/>
          <cell r="D3428"/>
          <cell r="E3428"/>
          <cell r="F3428"/>
          <cell r="G3428"/>
          <cell r="H3428"/>
          <cell r="I3428"/>
          <cell r="J3428"/>
          <cell r="L3428"/>
        </row>
        <row r="3429">
          <cell r="A3429"/>
          <cell r="D3429"/>
          <cell r="E3429"/>
          <cell r="F3429"/>
          <cell r="G3429"/>
          <cell r="H3429"/>
          <cell r="I3429"/>
          <cell r="J3429"/>
          <cell r="L3429"/>
        </row>
        <row r="3430">
          <cell r="A3430"/>
          <cell r="D3430"/>
          <cell r="E3430"/>
          <cell r="F3430"/>
          <cell r="G3430"/>
          <cell r="H3430"/>
          <cell r="I3430"/>
          <cell r="J3430"/>
          <cell r="L3430"/>
        </row>
        <row r="3431">
          <cell r="A3431"/>
          <cell r="D3431"/>
          <cell r="E3431"/>
          <cell r="F3431"/>
          <cell r="G3431"/>
          <cell r="H3431"/>
          <cell r="I3431"/>
          <cell r="J3431"/>
          <cell r="L3431"/>
        </row>
        <row r="3432">
          <cell r="A3432"/>
          <cell r="D3432"/>
          <cell r="E3432"/>
          <cell r="F3432"/>
          <cell r="G3432"/>
          <cell r="H3432"/>
          <cell r="I3432"/>
          <cell r="J3432"/>
          <cell r="L3432"/>
        </row>
        <row r="3433">
          <cell r="A3433"/>
          <cell r="D3433"/>
          <cell r="E3433"/>
          <cell r="F3433"/>
          <cell r="G3433"/>
          <cell r="H3433"/>
          <cell r="I3433"/>
          <cell r="J3433"/>
          <cell r="L3433"/>
        </row>
        <row r="3434">
          <cell r="A3434"/>
          <cell r="D3434"/>
          <cell r="E3434"/>
          <cell r="F3434"/>
          <cell r="G3434"/>
          <cell r="H3434"/>
          <cell r="I3434"/>
          <cell r="J3434"/>
          <cell r="L3434"/>
        </row>
        <row r="3435">
          <cell r="A3435"/>
          <cell r="D3435"/>
          <cell r="E3435"/>
          <cell r="F3435"/>
          <cell r="G3435"/>
          <cell r="H3435"/>
          <cell r="I3435"/>
          <cell r="J3435"/>
          <cell r="L3435"/>
        </row>
        <row r="3436">
          <cell r="A3436"/>
          <cell r="D3436"/>
          <cell r="E3436"/>
          <cell r="F3436"/>
          <cell r="G3436"/>
          <cell r="H3436"/>
          <cell r="I3436"/>
          <cell r="J3436"/>
          <cell r="L3436"/>
        </row>
        <row r="3437">
          <cell r="A3437"/>
          <cell r="D3437"/>
          <cell r="E3437"/>
          <cell r="F3437"/>
          <cell r="G3437"/>
          <cell r="H3437"/>
          <cell r="I3437"/>
          <cell r="J3437"/>
          <cell r="L3437"/>
        </row>
        <row r="3438">
          <cell r="A3438"/>
          <cell r="D3438"/>
          <cell r="E3438"/>
          <cell r="F3438"/>
          <cell r="G3438"/>
          <cell r="H3438"/>
          <cell r="I3438"/>
          <cell r="J3438"/>
          <cell r="L3438"/>
        </row>
        <row r="3439">
          <cell r="A3439"/>
          <cell r="D3439"/>
          <cell r="E3439"/>
          <cell r="F3439"/>
          <cell r="G3439"/>
          <cell r="H3439"/>
          <cell r="I3439"/>
          <cell r="J3439"/>
          <cell r="L3439"/>
        </row>
        <row r="3440">
          <cell r="A3440"/>
          <cell r="D3440"/>
          <cell r="E3440"/>
          <cell r="F3440"/>
          <cell r="G3440"/>
          <cell r="H3440"/>
          <cell r="I3440"/>
          <cell r="J3440"/>
          <cell r="L3440"/>
        </row>
        <row r="3441">
          <cell r="A3441"/>
          <cell r="D3441"/>
          <cell r="E3441"/>
          <cell r="F3441"/>
          <cell r="G3441"/>
          <cell r="H3441"/>
          <cell r="I3441"/>
          <cell r="J3441"/>
          <cell r="L3441"/>
        </row>
        <row r="3442">
          <cell r="A3442"/>
          <cell r="D3442"/>
          <cell r="E3442"/>
          <cell r="F3442"/>
          <cell r="G3442"/>
          <cell r="H3442"/>
          <cell r="I3442"/>
          <cell r="J3442"/>
          <cell r="L3442"/>
        </row>
        <row r="3443">
          <cell r="A3443"/>
          <cell r="D3443"/>
          <cell r="E3443"/>
          <cell r="F3443"/>
          <cell r="G3443"/>
          <cell r="H3443"/>
          <cell r="I3443"/>
          <cell r="J3443"/>
          <cell r="L3443"/>
        </row>
        <row r="3444">
          <cell r="A3444"/>
          <cell r="D3444"/>
          <cell r="E3444"/>
          <cell r="F3444"/>
          <cell r="G3444"/>
          <cell r="H3444"/>
          <cell r="I3444"/>
          <cell r="J3444"/>
          <cell r="L3444"/>
        </row>
        <row r="3445">
          <cell r="A3445"/>
          <cell r="D3445"/>
          <cell r="E3445"/>
          <cell r="F3445"/>
          <cell r="G3445"/>
          <cell r="H3445"/>
          <cell r="I3445"/>
          <cell r="J3445"/>
          <cell r="L3445"/>
        </row>
        <row r="3446">
          <cell r="A3446"/>
          <cell r="D3446"/>
          <cell r="E3446"/>
          <cell r="F3446"/>
          <cell r="G3446"/>
          <cell r="H3446"/>
          <cell r="I3446"/>
          <cell r="J3446"/>
          <cell r="L3446"/>
        </row>
        <row r="3447">
          <cell r="A3447"/>
          <cell r="D3447"/>
          <cell r="E3447"/>
          <cell r="F3447"/>
          <cell r="G3447"/>
          <cell r="H3447"/>
          <cell r="I3447"/>
          <cell r="J3447"/>
          <cell r="L3447"/>
        </row>
        <row r="3448">
          <cell r="A3448"/>
          <cell r="D3448"/>
          <cell r="E3448"/>
          <cell r="F3448"/>
          <cell r="G3448"/>
          <cell r="H3448"/>
          <cell r="I3448"/>
          <cell r="J3448"/>
          <cell r="L3448"/>
        </row>
        <row r="3449">
          <cell r="A3449"/>
          <cell r="D3449"/>
          <cell r="E3449"/>
          <cell r="F3449"/>
          <cell r="G3449"/>
          <cell r="H3449"/>
          <cell r="I3449"/>
          <cell r="J3449"/>
          <cell r="L3449"/>
        </row>
        <row r="3450">
          <cell r="A3450"/>
          <cell r="D3450"/>
          <cell r="E3450"/>
          <cell r="F3450"/>
          <cell r="G3450"/>
          <cell r="H3450"/>
          <cell r="I3450"/>
          <cell r="J3450"/>
          <cell r="L3450"/>
        </row>
        <row r="3451">
          <cell r="A3451"/>
          <cell r="D3451"/>
          <cell r="E3451"/>
          <cell r="F3451"/>
          <cell r="G3451"/>
          <cell r="H3451"/>
          <cell r="I3451"/>
          <cell r="J3451"/>
          <cell r="L3451"/>
        </row>
        <row r="3452">
          <cell r="A3452"/>
          <cell r="D3452"/>
          <cell r="E3452"/>
          <cell r="F3452"/>
          <cell r="G3452"/>
          <cell r="H3452"/>
          <cell r="I3452"/>
          <cell r="J3452"/>
          <cell r="L3452"/>
        </row>
        <row r="3453">
          <cell r="A3453"/>
          <cell r="D3453"/>
          <cell r="E3453"/>
          <cell r="F3453"/>
          <cell r="G3453"/>
          <cell r="H3453"/>
          <cell r="I3453"/>
          <cell r="J3453"/>
          <cell r="L3453"/>
        </row>
        <row r="3454">
          <cell r="A3454"/>
          <cell r="D3454"/>
          <cell r="E3454"/>
          <cell r="F3454"/>
          <cell r="G3454"/>
          <cell r="H3454"/>
          <cell r="I3454"/>
          <cell r="J3454"/>
          <cell r="L3454"/>
        </row>
        <row r="3455">
          <cell r="A3455"/>
          <cell r="D3455"/>
          <cell r="E3455"/>
          <cell r="F3455"/>
          <cell r="G3455"/>
          <cell r="H3455"/>
          <cell r="I3455"/>
          <cell r="J3455"/>
          <cell r="L3455"/>
        </row>
        <row r="3456">
          <cell r="A3456"/>
          <cell r="D3456"/>
          <cell r="E3456"/>
          <cell r="F3456"/>
          <cell r="G3456"/>
          <cell r="H3456"/>
          <cell r="I3456"/>
          <cell r="J3456"/>
          <cell r="L3456"/>
        </row>
        <row r="3457">
          <cell r="A3457"/>
          <cell r="D3457"/>
          <cell r="E3457"/>
          <cell r="F3457"/>
          <cell r="G3457"/>
          <cell r="H3457"/>
          <cell r="I3457"/>
          <cell r="J3457"/>
          <cell r="L3457"/>
        </row>
        <row r="3458">
          <cell r="A3458"/>
          <cell r="D3458"/>
          <cell r="E3458"/>
          <cell r="F3458"/>
          <cell r="G3458"/>
          <cell r="H3458"/>
          <cell r="I3458"/>
          <cell r="J3458"/>
          <cell r="L3458"/>
        </row>
        <row r="3459">
          <cell r="A3459"/>
          <cell r="D3459"/>
          <cell r="E3459"/>
          <cell r="F3459"/>
          <cell r="G3459"/>
          <cell r="H3459"/>
          <cell r="I3459"/>
          <cell r="J3459"/>
          <cell r="L3459"/>
        </row>
        <row r="3460">
          <cell r="A3460"/>
          <cell r="D3460"/>
          <cell r="E3460"/>
          <cell r="F3460"/>
          <cell r="G3460"/>
          <cell r="H3460"/>
          <cell r="I3460"/>
          <cell r="J3460"/>
          <cell r="L3460"/>
        </row>
        <row r="3461">
          <cell r="A3461"/>
          <cell r="D3461"/>
          <cell r="E3461"/>
          <cell r="F3461"/>
          <cell r="G3461"/>
          <cell r="H3461"/>
          <cell r="I3461"/>
          <cell r="J3461"/>
          <cell r="L3461"/>
        </row>
        <row r="3462">
          <cell r="A3462"/>
          <cell r="D3462"/>
          <cell r="E3462"/>
          <cell r="F3462"/>
          <cell r="G3462"/>
          <cell r="H3462"/>
          <cell r="I3462"/>
          <cell r="J3462"/>
          <cell r="L3462"/>
        </row>
        <row r="3463">
          <cell r="A3463"/>
          <cell r="D3463"/>
          <cell r="E3463"/>
          <cell r="F3463"/>
          <cell r="G3463"/>
          <cell r="H3463"/>
          <cell r="I3463"/>
          <cell r="J3463"/>
          <cell r="L3463"/>
        </row>
        <row r="3464">
          <cell r="A3464"/>
          <cell r="D3464"/>
          <cell r="E3464"/>
          <cell r="F3464"/>
          <cell r="G3464"/>
          <cell r="H3464"/>
          <cell r="I3464"/>
          <cell r="J3464"/>
          <cell r="L3464"/>
        </row>
        <row r="3465">
          <cell r="A3465"/>
          <cell r="D3465"/>
          <cell r="E3465"/>
          <cell r="F3465"/>
          <cell r="G3465"/>
          <cell r="H3465"/>
          <cell r="I3465"/>
          <cell r="J3465"/>
          <cell r="L3465"/>
        </row>
        <row r="3466">
          <cell r="A3466"/>
          <cell r="D3466"/>
          <cell r="E3466"/>
          <cell r="F3466"/>
          <cell r="G3466"/>
          <cell r="H3466"/>
          <cell r="I3466"/>
          <cell r="J3466"/>
          <cell r="L3466"/>
        </row>
        <row r="3467">
          <cell r="A3467"/>
          <cell r="D3467"/>
          <cell r="E3467"/>
          <cell r="F3467"/>
          <cell r="G3467"/>
          <cell r="H3467"/>
          <cell r="I3467"/>
          <cell r="J3467"/>
          <cell r="L3467"/>
        </row>
        <row r="3468">
          <cell r="A3468"/>
          <cell r="D3468"/>
          <cell r="E3468"/>
          <cell r="F3468"/>
          <cell r="G3468"/>
          <cell r="H3468"/>
          <cell r="I3468"/>
          <cell r="J3468"/>
          <cell r="L3468"/>
        </row>
        <row r="3469">
          <cell r="A3469"/>
          <cell r="D3469"/>
          <cell r="E3469"/>
          <cell r="F3469"/>
          <cell r="G3469"/>
          <cell r="H3469"/>
          <cell r="I3469"/>
          <cell r="J3469"/>
          <cell r="L3469"/>
        </row>
        <row r="3470">
          <cell r="A3470"/>
          <cell r="D3470"/>
          <cell r="E3470"/>
          <cell r="F3470"/>
          <cell r="G3470"/>
          <cell r="H3470"/>
          <cell r="I3470"/>
          <cell r="J3470"/>
          <cell r="L3470"/>
        </row>
        <row r="3471">
          <cell r="A3471"/>
          <cell r="D3471"/>
          <cell r="E3471"/>
          <cell r="F3471"/>
          <cell r="G3471"/>
          <cell r="H3471"/>
          <cell r="I3471"/>
          <cell r="J3471"/>
          <cell r="L3471"/>
        </row>
        <row r="3472">
          <cell r="A3472"/>
          <cell r="D3472"/>
          <cell r="E3472"/>
          <cell r="F3472"/>
          <cell r="G3472"/>
          <cell r="H3472"/>
          <cell r="I3472"/>
          <cell r="J3472"/>
          <cell r="L3472"/>
        </row>
        <row r="3473">
          <cell r="A3473"/>
          <cell r="D3473"/>
          <cell r="E3473"/>
          <cell r="F3473"/>
          <cell r="G3473"/>
          <cell r="H3473"/>
          <cell r="I3473"/>
          <cell r="J3473"/>
          <cell r="L3473"/>
        </row>
        <row r="3474">
          <cell r="A3474"/>
          <cell r="D3474"/>
          <cell r="E3474"/>
          <cell r="F3474"/>
          <cell r="G3474"/>
          <cell r="H3474"/>
          <cell r="I3474"/>
          <cell r="J3474"/>
          <cell r="L3474"/>
        </row>
        <row r="3475">
          <cell r="A3475"/>
          <cell r="D3475"/>
          <cell r="E3475"/>
          <cell r="F3475"/>
          <cell r="G3475"/>
          <cell r="H3475"/>
          <cell r="I3475"/>
          <cell r="J3475"/>
          <cell r="L3475"/>
        </row>
        <row r="3476">
          <cell r="A3476"/>
          <cell r="D3476"/>
          <cell r="E3476"/>
          <cell r="F3476"/>
          <cell r="G3476"/>
          <cell r="H3476"/>
          <cell r="I3476"/>
          <cell r="J3476"/>
          <cell r="L3476"/>
        </row>
        <row r="3477">
          <cell r="A3477"/>
          <cell r="D3477"/>
          <cell r="E3477"/>
          <cell r="F3477"/>
          <cell r="G3477"/>
          <cell r="H3477"/>
          <cell r="I3477"/>
          <cell r="J3477"/>
          <cell r="L3477"/>
        </row>
        <row r="3478">
          <cell r="A3478"/>
          <cell r="D3478"/>
          <cell r="E3478"/>
          <cell r="F3478"/>
          <cell r="G3478"/>
          <cell r="H3478"/>
          <cell r="I3478"/>
          <cell r="J3478"/>
          <cell r="L3478"/>
        </row>
        <row r="3479">
          <cell r="A3479"/>
          <cell r="D3479"/>
          <cell r="E3479"/>
          <cell r="F3479"/>
          <cell r="G3479"/>
          <cell r="H3479"/>
          <cell r="I3479"/>
          <cell r="J3479"/>
          <cell r="L3479"/>
        </row>
        <row r="3480">
          <cell r="A3480"/>
          <cell r="D3480"/>
          <cell r="E3480"/>
          <cell r="F3480"/>
          <cell r="G3480"/>
          <cell r="H3480"/>
          <cell r="I3480"/>
          <cell r="J3480"/>
          <cell r="L3480"/>
        </row>
        <row r="3481">
          <cell r="A3481"/>
          <cell r="D3481"/>
          <cell r="E3481"/>
          <cell r="F3481"/>
          <cell r="G3481"/>
          <cell r="H3481"/>
          <cell r="I3481"/>
          <cell r="J3481"/>
          <cell r="L3481"/>
        </row>
        <row r="3482">
          <cell r="A3482"/>
          <cell r="D3482"/>
          <cell r="E3482"/>
          <cell r="F3482"/>
          <cell r="G3482"/>
          <cell r="H3482"/>
          <cell r="I3482"/>
          <cell r="J3482"/>
          <cell r="L3482"/>
        </row>
        <row r="3483">
          <cell r="A3483"/>
          <cell r="D3483"/>
          <cell r="E3483"/>
          <cell r="F3483"/>
          <cell r="G3483"/>
          <cell r="H3483"/>
          <cell r="I3483"/>
          <cell r="J3483"/>
          <cell r="L3483"/>
        </row>
        <row r="3484">
          <cell r="A3484"/>
          <cell r="D3484"/>
          <cell r="E3484"/>
          <cell r="F3484"/>
          <cell r="G3484"/>
          <cell r="H3484"/>
          <cell r="I3484"/>
          <cell r="J3484"/>
          <cell r="L3484"/>
        </row>
        <row r="3485">
          <cell r="A3485"/>
          <cell r="D3485"/>
          <cell r="E3485"/>
          <cell r="F3485"/>
          <cell r="G3485"/>
          <cell r="H3485"/>
          <cell r="I3485"/>
          <cell r="J3485"/>
          <cell r="L3485"/>
        </row>
        <row r="3486">
          <cell r="A3486"/>
          <cell r="D3486"/>
          <cell r="E3486"/>
          <cell r="F3486"/>
          <cell r="G3486"/>
          <cell r="H3486"/>
          <cell r="I3486"/>
          <cell r="J3486"/>
          <cell r="L3486"/>
        </row>
        <row r="3487">
          <cell r="A3487"/>
          <cell r="D3487"/>
          <cell r="E3487"/>
          <cell r="F3487"/>
          <cell r="G3487"/>
          <cell r="H3487"/>
          <cell r="I3487"/>
          <cell r="J3487"/>
          <cell r="L3487"/>
        </row>
        <row r="3488">
          <cell r="A3488"/>
          <cell r="D3488"/>
          <cell r="E3488"/>
          <cell r="F3488"/>
          <cell r="G3488"/>
          <cell r="H3488"/>
          <cell r="I3488"/>
          <cell r="J3488"/>
          <cell r="L3488"/>
        </row>
        <row r="3489">
          <cell r="A3489"/>
          <cell r="D3489"/>
          <cell r="E3489"/>
          <cell r="F3489"/>
          <cell r="G3489"/>
          <cell r="H3489"/>
          <cell r="I3489"/>
          <cell r="J3489"/>
          <cell r="L3489"/>
        </row>
        <row r="3490">
          <cell r="A3490"/>
          <cell r="D3490"/>
          <cell r="E3490"/>
          <cell r="F3490"/>
          <cell r="G3490"/>
          <cell r="H3490"/>
          <cell r="I3490"/>
          <cell r="J3490"/>
          <cell r="L3490"/>
        </row>
        <row r="3491">
          <cell r="A3491"/>
          <cell r="D3491"/>
          <cell r="E3491"/>
          <cell r="F3491"/>
          <cell r="G3491"/>
          <cell r="H3491"/>
          <cell r="I3491"/>
          <cell r="J3491"/>
          <cell r="L3491"/>
        </row>
        <row r="3492">
          <cell r="A3492"/>
          <cell r="D3492"/>
          <cell r="E3492"/>
          <cell r="F3492"/>
          <cell r="G3492"/>
          <cell r="H3492"/>
          <cell r="I3492"/>
          <cell r="J3492"/>
          <cell r="L3492"/>
        </row>
        <row r="3493">
          <cell r="A3493"/>
          <cell r="D3493"/>
          <cell r="E3493"/>
          <cell r="F3493"/>
          <cell r="G3493"/>
          <cell r="H3493"/>
          <cell r="I3493"/>
          <cell r="J3493"/>
          <cell r="L3493"/>
        </row>
        <row r="3494">
          <cell r="A3494"/>
          <cell r="D3494"/>
          <cell r="E3494"/>
          <cell r="F3494"/>
          <cell r="G3494"/>
          <cell r="H3494"/>
          <cell r="I3494"/>
          <cell r="J3494"/>
          <cell r="L3494"/>
        </row>
        <row r="3495">
          <cell r="A3495"/>
          <cell r="D3495"/>
          <cell r="E3495"/>
          <cell r="F3495"/>
          <cell r="G3495"/>
          <cell r="H3495"/>
          <cell r="I3495"/>
          <cell r="J3495"/>
          <cell r="L3495"/>
        </row>
        <row r="3496">
          <cell r="A3496"/>
          <cell r="D3496"/>
          <cell r="E3496"/>
          <cell r="F3496"/>
          <cell r="G3496"/>
          <cell r="H3496"/>
          <cell r="I3496"/>
          <cell r="J3496"/>
          <cell r="L3496"/>
        </row>
        <row r="3497">
          <cell r="A3497"/>
          <cell r="D3497"/>
          <cell r="E3497"/>
          <cell r="F3497"/>
          <cell r="G3497"/>
          <cell r="H3497"/>
          <cell r="I3497"/>
          <cell r="J3497"/>
          <cell r="L3497"/>
        </row>
        <row r="3498">
          <cell r="A3498"/>
          <cell r="D3498"/>
          <cell r="E3498"/>
          <cell r="F3498"/>
          <cell r="G3498"/>
          <cell r="H3498"/>
          <cell r="I3498"/>
          <cell r="J3498"/>
          <cell r="L3498"/>
        </row>
        <row r="3499">
          <cell r="A3499"/>
          <cell r="D3499"/>
          <cell r="E3499"/>
          <cell r="F3499"/>
          <cell r="G3499"/>
          <cell r="H3499"/>
          <cell r="I3499"/>
          <cell r="J3499"/>
          <cell r="L3499"/>
        </row>
        <row r="3500">
          <cell r="A3500"/>
          <cell r="D3500"/>
          <cell r="E3500"/>
          <cell r="F3500"/>
          <cell r="G3500"/>
          <cell r="H3500"/>
          <cell r="I3500"/>
          <cell r="J3500"/>
          <cell r="L3500"/>
        </row>
        <row r="3501">
          <cell r="A3501"/>
          <cell r="D3501"/>
          <cell r="E3501"/>
          <cell r="F3501"/>
          <cell r="G3501"/>
          <cell r="H3501"/>
          <cell r="I3501"/>
          <cell r="J3501"/>
          <cell r="L3501"/>
        </row>
        <row r="3502">
          <cell r="A3502"/>
          <cell r="D3502"/>
          <cell r="E3502"/>
          <cell r="F3502"/>
          <cell r="G3502"/>
          <cell r="H3502"/>
          <cell r="I3502"/>
          <cell r="J3502"/>
          <cell r="L3502"/>
        </row>
        <row r="3503">
          <cell r="A3503"/>
          <cell r="D3503"/>
          <cell r="E3503"/>
          <cell r="F3503"/>
          <cell r="G3503"/>
          <cell r="H3503"/>
          <cell r="I3503"/>
          <cell r="J3503"/>
          <cell r="L3503"/>
        </row>
        <row r="3504">
          <cell r="A3504"/>
          <cell r="D3504"/>
          <cell r="E3504"/>
          <cell r="F3504"/>
          <cell r="G3504"/>
          <cell r="H3504"/>
          <cell r="I3504"/>
          <cell r="J3504"/>
          <cell r="L3504"/>
        </row>
        <row r="3505">
          <cell r="A3505"/>
          <cell r="D3505"/>
          <cell r="E3505"/>
          <cell r="F3505"/>
          <cell r="G3505"/>
          <cell r="H3505"/>
          <cell r="I3505"/>
          <cell r="J3505"/>
          <cell r="L3505"/>
        </row>
        <row r="3506">
          <cell r="A3506"/>
          <cell r="D3506"/>
          <cell r="E3506"/>
          <cell r="F3506"/>
          <cell r="G3506"/>
          <cell r="H3506"/>
          <cell r="I3506"/>
          <cell r="J3506"/>
          <cell r="L3506"/>
        </row>
        <row r="3507">
          <cell r="A3507"/>
          <cell r="D3507"/>
          <cell r="E3507"/>
          <cell r="F3507"/>
          <cell r="G3507"/>
          <cell r="H3507"/>
          <cell r="I3507"/>
          <cell r="J3507"/>
          <cell r="L3507"/>
        </row>
        <row r="3508">
          <cell r="A3508"/>
          <cell r="D3508"/>
          <cell r="E3508"/>
          <cell r="F3508"/>
          <cell r="G3508"/>
          <cell r="H3508"/>
          <cell r="I3508"/>
          <cell r="J3508"/>
          <cell r="L3508"/>
        </row>
        <row r="3509">
          <cell r="A3509"/>
          <cell r="D3509"/>
          <cell r="E3509"/>
          <cell r="F3509"/>
          <cell r="G3509"/>
          <cell r="H3509"/>
          <cell r="I3509"/>
          <cell r="J3509"/>
          <cell r="L3509"/>
        </row>
        <row r="3510">
          <cell r="A3510"/>
          <cell r="D3510"/>
          <cell r="E3510"/>
          <cell r="F3510"/>
          <cell r="G3510"/>
          <cell r="H3510"/>
          <cell r="I3510"/>
          <cell r="J3510"/>
          <cell r="L3510"/>
        </row>
        <row r="3511">
          <cell r="A3511"/>
          <cell r="D3511"/>
          <cell r="E3511"/>
          <cell r="F3511"/>
          <cell r="G3511"/>
          <cell r="H3511"/>
          <cell r="I3511"/>
          <cell r="J3511"/>
          <cell r="L3511"/>
        </row>
        <row r="3512">
          <cell r="A3512"/>
          <cell r="D3512"/>
          <cell r="E3512"/>
          <cell r="F3512"/>
          <cell r="G3512"/>
          <cell r="H3512"/>
          <cell r="I3512"/>
          <cell r="J3512"/>
          <cell r="L3512"/>
        </row>
        <row r="3513">
          <cell r="A3513"/>
          <cell r="D3513"/>
          <cell r="E3513"/>
          <cell r="F3513"/>
          <cell r="G3513"/>
          <cell r="H3513"/>
          <cell r="I3513"/>
          <cell r="J3513"/>
          <cell r="L3513"/>
        </row>
        <row r="3514">
          <cell r="A3514"/>
          <cell r="D3514"/>
          <cell r="E3514"/>
          <cell r="F3514"/>
          <cell r="G3514"/>
          <cell r="H3514"/>
          <cell r="I3514"/>
          <cell r="J3514"/>
          <cell r="L3514"/>
        </row>
        <row r="3515">
          <cell r="A3515"/>
          <cell r="D3515"/>
          <cell r="E3515"/>
          <cell r="F3515"/>
          <cell r="G3515"/>
          <cell r="H3515"/>
          <cell r="I3515"/>
          <cell r="J3515"/>
          <cell r="L3515"/>
        </row>
        <row r="3516">
          <cell r="A3516"/>
          <cell r="D3516"/>
          <cell r="E3516"/>
          <cell r="F3516"/>
          <cell r="G3516"/>
          <cell r="H3516"/>
          <cell r="I3516"/>
          <cell r="J3516"/>
          <cell r="L3516"/>
        </row>
        <row r="3517">
          <cell r="A3517"/>
          <cell r="D3517"/>
          <cell r="E3517"/>
          <cell r="F3517"/>
          <cell r="G3517"/>
          <cell r="H3517"/>
          <cell r="I3517"/>
          <cell r="J3517"/>
          <cell r="L3517"/>
        </row>
        <row r="3518">
          <cell r="A3518"/>
          <cell r="D3518"/>
          <cell r="E3518"/>
          <cell r="F3518"/>
          <cell r="G3518"/>
          <cell r="H3518"/>
          <cell r="I3518"/>
          <cell r="J3518"/>
          <cell r="L3518"/>
        </row>
        <row r="3519">
          <cell r="A3519"/>
          <cell r="D3519"/>
          <cell r="E3519"/>
          <cell r="F3519"/>
          <cell r="G3519"/>
          <cell r="H3519"/>
          <cell r="I3519"/>
          <cell r="J3519"/>
          <cell r="L3519"/>
        </row>
        <row r="3520">
          <cell r="A3520"/>
          <cell r="D3520"/>
          <cell r="E3520"/>
          <cell r="F3520"/>
          <cell r="G3520"/>
          <cell r="H3520"/>
          <cell r="I3520"/>
          <cell r="J3520"/>
          <cell r="L3520"/>
        </row>
        <row r="3521">
          <cell r="A3521"/>
          <cell r="D3521"/>
          <cell r="E3521"/>
          <cell r="F3521"/>
          <cell r="G3521"/>
          <cell r="H3521"/>
          <cell r="I3521"/>
          <cell r="J3521"/>
          <cell r="L3521"/>
        </row>
        <row r="3522">
          <cell r="A3522"/>
          <cell r="D3522"/>
          <cell r="E3522"/>
          <cell r="F3522"/>
          <cell r="G3522"/>
          <cell r="H3522"/>
          <cell r="I3522"/>
          <cell r="J3522"/>
          <cell r="L3522"/>
        </row>
        <row r="3523">
          <cell r="A3523"/>
          <cell r="D3523"/>
          <cell r="E3523"/>
          <cell r="F3523"/>
          <cell r="G3523"/>
          <cell r="H3523"/>
          <cell r="I3523"/>
          <cell r="J3523"/>
          <cell r="L3523"/>
        </row>
        <row r="3524">
          <cell r="A3524"/>
          <cell r="D3524"/>
          <cell r="E3524"/>
          <cell r="F3524"/>
          <cell r="G3524"/>
          <cell r="H3524"/>
          <cell r="I3524"/>
          <cell r="J3524"/>
          <cell r="L3524"/>
        </row>
        <row r="3525">
          <cell r="A3525"/>
          <cell r="D3525"/>
          <cell r="E3525"/>
          <cell r="F3525"/>
          <cell r="G3525"/>
          <cell r="H3525"/>
          <cell r="I3525"/>
          <cell r="J3525"/>
          <cell r="L3525"/>
        </row>
        <row r="3526">
          <cell r="A3526"/>
          <cell r="D3526"/>
          <cell r="E3526"/>
          <cell r="F3526"/>
          <cell r="G3526"/>
          <cell r="H3526"/>
          <cell r="I3526"/>
          <cell r="J3526"/>
          <cell r="L3526"/>
        </row>
        <row r="3527">
          <cell r="A3527"/>
          <cell r="D3527"/>
          <cell r="E3527"/>
          <cell r="F3527"/>
          <cell r="G3527"/>
          <cell r="H3527"/>
          <cell r="I3527"/>
          <cell r="J3527"/>
          <cell r="L3527"/>
        </row>
        <row r="3528">
          <cell r="A3528"/>
          <cell r="D3528"/>
          <cell r="E3528"/>
          <cell r="F3528"/>
          <cell r="G3528"/>
          <cell r="H3528"/>
          <cell r="I3528"/>
          <cell r="J3528"/>
          <cell r="L3528"/>
        </row>
        <row r="3529">
          <cell r="A3529"/>
          <cell r="D3529"/>
          <cell r="E3529"/>
          <cell r="F3529"/>
          <cell r="G3529"/>
          <cell r="H3529"/>
          <cell r="I3529"/>
          <cell r="J3529"/>
          <cell r="L3529"/>
        </row>
        <row r="3530">
          <cell r="A3530"/>
          <cell r="D3530"/>
          <cell r="E3530"/>
          <cell r="F3530"/>
          <cell r="G3530"/>
          <cell r="H3530"/>
          <cell r="I3530"/>
          <cell r="J3530"/>
          <cell r="L3530"/>
        </row>
        <row r="3531">
          <cell r="A3531"/>
          <cell r="D3531"/>
          <cell r="E3531"/>
          <cell r="F3531"/>
          <cell r="G3531"/>
          <cell r="H3531"/>
          <cell r="I3531"/>
          <cell r="J3531"/>
          <cell r="L3531"/>
        </row>
        <row r="3532">
          <cell r="A3532"/>
          <cell r="D3532"/>
          <cell r="E3532"/>
          <cell r="F3532"/>
          <cell r="G3532"/>
          <cell r="H3532"/>
          <cell r="I3532"/>
          <cell r="J3532"/>
          <cell r="L3532"/>
        </row>
        <row r="3533">
          <cell r="A3533"/>
          <cell r="D3533"/>
          <cell r="E3533"/>
          <cell r="F3533"/>
          <cell r="G3533"/>
          <cell r="H3533"/>
          <cell r="I3533"/>
          <cell r="J3533"/>
          <cell r="L3533"/>
        </row>
        <row r="3534">
          <cell r="A3534"/>
          <cell r="D3534"/>
          <cell r="E3534"/>
          <cell r="F3534"/>
          <cell r="G3534"/>
          <cell r="H3534"/>
          <cell r="I3534"/>
          <cell r="J3534"/>
          <cell r="L3534"/>
        </row>
        <row r="3535">
          <cell r="A3535"/>
          <cell r="D3535"/>
          <cell r="E3535"/>
          <cell r="F3535"/>
          <cell r="G3535"/>
          <cell r="H3535"/>
          <cell r="I3535"/>
          <cell r="J3535"/>
          <cell r="L3535"/>
        </row>
        <row r="3536">
          <cell r="A3536"/>
          <cell r="D3536"/>
          <cell r="E3536"/>
          <cell r="F3536"/>
          <cell r="G3536"/>
          <cell r="H3536"/>
          <cell r="I3536"/>
          <cell r="J3536"/>
          <cell r="L3536"/>
        </row>
        <row r="3537">
          <cell r="A3537"/>
          <cell r="D3537"/>
          <cell r="E3537"/>
          <cell r="F3537"/>
          <cell r="G3537"/>
          <cell r="H3537"/>
          <cell r="I3537"/>
          <cell r="J3537"/>
          <cell r="L3537"/>
        </row>
        <row r="3538">
          <cell r="A3538"/>
          <cell r="D3538"/>
          <cell r="E3538"/>
          <cell r="F3538"/>
          <cell r="G3538"/>
          <cell r="H3538"/>
          <cell r="I3538"/>
          <cell r="J3538"/>
          <cell r="L3538"/>
        </row>
        <row r="3539">
          <cell r="A3539"/>
          <cell r="D3539"/>
          <cell r="E3539"/>
          <cell r="F3539"/>
          <cell r="G3539"/>
          <cell r="H3539"/>
          <cell r="I3539"/>
          <cell r="J3539"/>
          <cell r="L3539"/>
        </row>
        <row r="3540">
          <cell r="A3540"/>
          <cell r="D3540"/>
          <cell r="E3540"/>
          <cell r="F3540"/>
          <cell r="G3540"/>
          <cell r="H3540"/>
          <cell r="I3540"/>
          <cell r="J3540"/>
          <cell r="L3540"/>
        </row>
        <row r="3541">
          <cell r="A3541"/>
          <cell r="D3541"/>
          <cell r="E3541"/>
          <cell r="F3541"/>
          <cell r="G3541"/>
          <cell r="H3541"/>
          <cell r="I3541"/>
          <cell r="J3541"/>
          <cell r="L3541"/>
        </row>
        <row r="3542">
          <cell r="A3542"/>
          <cell r="D3542"/>
          <cell r="E3542"/>
          <cell r="F3542"/>
          <cell r="G3542"/>
          <cell r="H3542"/>
          <cell r="I3542"/>
          <cell r="J3542"/>
          <cell r="L3542"/>
        </row>
        <row r="3543">
          <cell r="A3543"/>
          <cell r="D3543"/>
          <cell r="E3543"/>
          <cell r="F3543"/>
          <cell r="G3543"/>
          <cell r="H3543"/>
          <cell r="I3543"/>
          <cell r="J3543"/>
          <cell r="L3543"/>
        </row>
        <row r="3544">
          <cell r="A3544"/>
          <cell r="D3544"/>
          <cell r="E3544"/>
          <cell r="F3544"/>
          <cell r="G3544"/>
          <cell r="H3544"/>
          <cell r="I3544"/>
          <cell r="J3544"/>
          <cell r="L3544"/>
        </row>
        <row r="3545">
          <cell r="A3545"/>
          <cell r="D3545"/>
          <cell r="E3545"/>
          <cell r="F3545"/>
          <cell r="G3545"/>
          <cell r="H3545"/>
          <cell r="I3545"/>
          <cell r="J3545"/>
          <cell r="L3545"/>
        </row>
        <row r="3546">
          <cell r="A3546"/>
          <cell r="D3546"/>
          <cell r="E3546"/>
          <cell r="F3546"/>
          <cell r="G3546"/>
          <cell r="H3546"/>
          <cell r="I3546"/>
          <cell r="J3546"/>
          <cell r="L3546"/>
        </row>
        <row r="3547">
          <cell r="A3547"/>
          <cell r="D3547"/>
          <cell r="E3547"/>
          <cell r="F3547"/>
          <cell r="G3547"/>
          <cell r="H3547"/>
          <cell r="I3547"/>
          <cell r="J3547"/>
          <cell r="L3547"/>
        </row>
        <row r="3548">
          <cell r="A3548"/>
          <cell r="D3548"/>
          <cell r="E3548"/>
          <cell r="F3548"/>
          <cell r="G3548"/>
          <cell r="H3548"/>
          <cell r="I3548"/>
          <cell r="J3548"/>
          <cell r="L3548"/>
        </row>
        <row r="3549">
          <cell r="A3549"/>
          <cell r="D3549"/>
          <cell r="E3549"/>
          <cell r="F3549"/>
          <cell r="G3549"/>
          <cell r="H3549"/>
          <cell r="I3549"/>
          <cell r="J3549"/>
          <cell r="L3549"/>
        </row>
        <row r="3550">
          <cell r="A3550"/>
          <cell r="D3550"/>
          <cell r="E3550"/>
          <cell r="F3550"/>
          <cell r="G3550"/>
          <cell r="H3550"/>
          <cell r="I3550"/>
          <cell r="J3550"/>
          <cell r="L3550"/>
        </row>
        <row r="3551">
          <cell r="A3551"/>
          <cell r="D3551"/>
          <cell r="E3551"/>
          <cell r="F3551"/>
          <cell r="G3551"/>
          <cell r="H3551"/>
          <cell r="I3551"/>
          <cell r="J3551"/>
          <cell r="L3551"/>
        </row>
        <row r="3552">
          <cell r="A3552"/>
          <cell r="D3552"/>
          <cell r="E3552"/>
          <cell r="F3552"/>
          <cell r="G3552"/>
          <cell r="H3552"/>
          <cell r="I3552"/>
          <cell r="J3552"/>
          <cell r="L3552"/>
        </row>
        <row r="3553">
          <cell r="A3553"/>
          <cell r="D3553"/>
          <cell r="E3553"/>
          <cell r="F3553"/>
          <cell r="G3553"/>
          <cell r="H3553"/>
          <cell r="I3553"/>
          <cell r="J3553"/>
          <cell r="L3553"/>
        </row>
        <row r="3554">
          <cell r="A3554"/>
          <cell r="D3554"/>
          <cell r="E3554"/>
          <cell r="F3554"/>
          <cell r="G3554"/>
          <cell r="H3554"/>
          <cell r="I3554"/>
          <cell r="J3554"/>
          <cell r="L3554"/>
        </row>
        <row r="3555">
          <cell r="A3555"/>
          <cell r="D3555"/>
          <cell r="E3555"/>
          <cell r="F3555"/>
          <cell r="G3555"/>
          <cell r="H3555"/>
          <cell r="I3555"/>
          <cell r="J3555"/>
          <cell r="L3555"/>
        </row>
        <row r="3556">
          <cell r="A3556"/>
          <cell r="D3556"/>
          <cell r="E3556"/>
          <cell r="F3556"/>
          <cell r="G3556"/>
          <cell r="H3556"/>
          <cell r="I3556"/>
          <cell r="J3556"/>
          <cell r="L3556"/>
        </row>
        <row r="3557">
          <cell r="A3557"/>
          <cell r="D3557"/>
          <cell r="E3557"/>
          <cell r="F3557"/>
          <cell r="G3557"/>
          <cell r="H3557"/>
          <cell r="I3557"/>
          <cell r="J3557"/>
          <cell r="L3557"/>
        </row>
        <row r="3558">
          <cell r="A3558"/>
          <cell r="D3558"/>
          <cell r="E3558"/>
          <cell r="F3558"/>
          <cell r="G3558"/>
          <cell r="H3558"/>
          <cell r="I3558"/>
          <cell r="J3558"/>
          <cell r="L3558"/>
        </row>
        <row r="3559">
          <cell r="A3559"/>
          <cell r="D3559"/>
          <cell r="E3559"/>
          <cell r="F3559"/>
          <cell r="G3559"/>
          <cell r="H3559"/>
          <cell r="I3559"/>
          <cell r="J3559"/>
          <cell r="L3559"/>
        </row>
        <row r="3560">
          <cell r="A3560"/>
          <cell r="D3560"/>
          <cell r="E3560"/>
          <cell r="F3560"/>
          <cell r="G3560"/>
          <cell r="H3560"/>
          <cell r="I3560"/>
          <cell r="J3560"/>
          <cell r="L3560"/>
        </row>
        <row r="3561">
          <cell r="A3561"/>
          <cell r="D3561"/>
          <cell r="E3561"/>
          <cell r="F3561"/>
          <cell r="G3561"/>
          <cell r="H3561"/>
          <cell r="I3561"/>
          <cell r="J3561"/>
          <cell r="L3561"/>
        </row>
        <row r="3562">
          <cell r="A3562"/>
          <cell r="D3562"/>
          <cell r="E3562"/>
          <cell r="F3562"/>
          <cell r="G3562"/>
          <cell r="H3562"/>
          <cell r="I3562"/>
          <cell r="J3562"/>
          <cell r="L3562"/>
        </row>
        <row r="3563">
          <cell r="A3563"/>
          <cell r="D3563"/>
          <cell r="E3563"/>
          <cell r="F3563"/>
          <cell r="G3563"/>
          <cell r="H3563"/>
          <cell r="I3563"/>
          <cell r="J3563"/>
          <cell r="L3563"/>
        </row>
        <row r="3564">
          <cell r="A3564"/>
          <cell r="D3564"/>
          <cell r="E3564"/>
          <cell r="F3564"/>
          <cell r="G3564"/>
          <cell r="H3564"/>
          <cell r="I3564"/>
          <cell r="J3564"/>
          <cell r="L3564"/>
        </row>
        <row r="3565">
          <cell r="A3565"/>
          <cell r="D3565"/>
          <cell r="E3565"/>
          <cell r="F3565"/>
          <cell r="G3565"/>
          <cell r="H3565"/>
          <cell r="I3565"/>
          <cell r="J3565"/>
          <cell r="L3565"/>
        </row>
        <row r="3566">
          <cell r="A3566"/>
          <cell r="D3566"/>
          <cell r="E3566"/>
          <cell r="F3566"/>
          <cell r="G3566"/>
          <cell r="H3566"/>
          <cell r="I3566"/>
          <cell r="J3566"/>
          <cell r="L3566"/>
        </row>
        <row r="3567">
          <cell r="A3567"/>
          <cell r="D3567"/>
          <cell r="E3567"/>
          <cell r="F3567"/>
          <cell r="G3567"/>
          <cell r="H3567"/>
          <cell r="I3567"/>
          <cell r="J3567"/>
          <cell r="L3567"/>
        </row>
        <row r="3568">
          <cell r="A3568"/>
          <cell r="D3568"/>
          <cell r="E3568"/>
          <cell r="F3568"/>
          <cell r="G3568"/>
          <cell r="H3568"/>
          <cell r="I3568"/>
          <cell r="J3568"/>
          <cell r="L3568"/>
        </row>
        <row r="3569">
          <cell r="A3569"/>
          <cell r="D3569"/>
          <cell r="E3569"/>
          <cell r="F3569"/>
          <cell r="G3569"/>
          <cell r="H3569"/>
          <cell r="I3569"/>
          <cell r="J3569"/>
          <cell r="L3569"/>
        </row>
        <row r="3570">
          <cell r="A3570"/>
          <cell r="D3570"/>
          <cell r="E3570"/>
          <cell r="F3570"/>
          <cell r="G3570"/>
          <cell r="H3570"/>
          <cell r="I3570"/>
          <cell r="J3570"/>
          <cell r="L3570"/>
        </row>
        <row r="3571">
          <cell r="A3571"/>
          <cell r="D3571"/>
          <cell r="E3571"/>
          <cell r="F3571"/>
          <cell r="G3571"/>
          <cell r="H3571"/>
          <cell r="I3571"/>
          <cell r="J3571"/>
          <cell r="L3571"/>
        </row>
        <row r="3572">
          <cell r="A3572"/>
          <cell r="D3572"/>
          <cell r="E3572"/>
          <cell r="F3572"/>
          <cell r="G3572"/>
          <cell r="H3572"/>
          <cell r="I3572"/>
          <cell r="J3572"/>
          <cell r="L3572"/>
        </row>
        <row r="3573">
          <cell r="A3573"/>
          <cell r="D3573"/>
          <cell r="E3573"/>
          <cell r="F3573"/>
          <cell r="G3573"/>
          <cell r="H3573"/>
          <cell r="I3573"/>
          <cell r="J3573"/>
          <cell r="L3573"/>
        </row>
        <row r="3574">
          <cell r="A3574"/>
          <cell r="D3574"/>
          <cell r="E3574"/>
          <cell r="F3574"/>
          <cell r="G3574"/>
          <cell r="H3574"/>
          <cell r="I3574"/>
          <cell r="J3574"/>
          <cell r="L3574"/>
        </row>
        <row r="3575">
          <cell r="A3575"/>
          <cell r="D3575"/>
          <cell r="E3575"/>
          <cell r="F3575"/>
          <cell r="G3575"/>
          <cell r="H3575"/>
          <cell r="I3575"/>
          <cell r="J3575"/>
          <cell r="L3575"/>
        </row>
        <row r="3576">
          <cell r="A3576"/>
          <cell r="D3576"/>
          <cell r="E3576"/>
          <cell r="F3576"/>
          <cell r="G3576"/>
          <cell r="H3576"/>
          <cell r="I3576"/>
          <cell r="J3576"/>
          <cell r="L3576"/>
        </row>
        <row r="3577">
          <cell r="A3577"/>
          <cell r="D3577"/>
          <cell r="E3577"/>
          <cell r="F3577"/>
          <cell r="G3577"/>
          <cell r="H3577"/>
          <cell r="I3577"/>
          <cell r="J3577"/>
          <cell r="L3577"/>
        </row>
        <row r="3578">
          <cell r="A3578"/>
          <cell r="D3578"/>
          <cell r="E3578"/>
          <cell r="F3578"/>
          <cell r="G3578"/>
          <cell r="H3578"/>
          <cell r="I3578"/>
          <cell r="J3578"/>
          <cell r="L3578"/>
        </row>
        <row r="3579">
          <cell r="A3579"/>
          <cell r="D3579"/>
          <cell r="E3579"/>
          <cell r="F3579"/>
          <cell r="G3579"/>
          <cell r="H3579"/>
          <cell r="I3579"/>
          <cell r="J3579"/>
          <cell r="L3579"/>
        </row>
        <row r="3580">
          <cell r="A3580"/>
          <cell r="D3580"/>
          <cell r="E3580"/>
          <cell r="F3580"/>
          <cell r="G3580"/>
          <cell r="H3580"/>
          <cell r="I3580"/>
          <cell r="J3580"/>
          <cell r="L3580"/>
        </row>
        <row r="3581">
          <cell r="A3581"/>
          <cell r="D3581"/>
          <cell r="E3581"/>
          <cell r="F3581"/>
          <cell r="G3581"/>
          <cell r="H3581"/>
          <cell r="I3581"/>
          <cell r="J3581"/>
          <cell r="L3581"/>
        </row>
        <row r="3582">
          <cell r="A3582"/>
          <cell r="D3582"/>
          <cell r="E3582"/>
          <cell r="F3582"/>
          <cell r="G3582"/>
          <cell r="H3582"/>
          <cell r="I3582"/>
          <cell r="J3582"/>
          <cell r="L3582"/>
        </row>
        <row r="3583">
          <cell r="A3583"/>
          <cell r="D3583"/>
          <cell r="E3583"/>
          <cell r="F3583"/>
          <cell r="G3583"/>
          <cell r="H3583"/>
          <cell r="I3583"/>
          <cell r="J3583"/>
          <cell r="L3583"/>
        </row>
        <row r="3584">
          <cell r="A3584"/>
          <cell r="D3584"/>
          <cell r="E3584"/>
          <cell r="F3584"/>
          <cell r="G3584"/>
          <cell r="H3584"/>
          <cell r="I3584"/>
          <cell r="J3584"/>
          <cell r="L3584"/>
        </row>
        <row r="3585">
          <cell r="A3585"/>
          <cell r="D3585"/>
          <cell r="E3585"/>
          <cell r="F3585"/>
          <cell r="G3585"/>
          <cell r="H3585"/>
          <cell r="I3585"/>
          <cell r="J3585"/>
          <cell r="L3585"/>
        </row>
        <row r="3586">
          <cell r="A3586"/>
          <cell r="D3586"/>
          <cell r="E3586"/>
          <cell r="F3586"/>
          <cell r="G3586"/>
          <cell r="H3586"/>
          <cell r="I3586"/>
          <cell r="J3586"/>
          <cell r="L3586"/>
        </row>
        <row r="3587">
          <cell r="A3587"/>
          <cell r="D3587"/>
          <cell r="E3587"/>
          <cell r="F3587"/>
          <cell r="G3587"/>
          <cell r="H3587"/>
          <cell r="I3587"/>
          <cell r="J3587"/>
          <cell r="L3587"/>
        </row>
        <row r="3588">
          <cell r="A3588"/>
          <cell r="D3588"/>
          <cell r="E3588"/>
          <cell r="F3588"/>
          <cell r="G3588"/>
          <cell r="H3588"/>
          <cell r="I3588"/>
          <cell r="J3588"/>
          <cell r="L3588"/>
        </row>
        <row r="3589">
          <cell r="A3589"/>
          <cell r="D3589"/>
          <cell r="E3589"/>
          <cell r="F3589"/>
          <cell r="G3589"/>
          <cell r="H3589"/>
          <cell r="I3589"/>
          <cell r="J3589"/>
          <cell r="L3589"/>
        </row>
        <row r="3590">
          <cell r="A3590"/>
          <cell r="D3590"/>
          <cell r="E3590"/>
          <cell r="F3590"/>
          <cell r="G3590"/>
          <cell r="H3590"/>
          <cell r="I3590"/>
          <cell r="J3590"/>
          <cell r="L3590"/>
        </row>
        <row r="3591">
          <cell r="A3591"/>
          <cell r="D3591"/>
          <cell r="E3591"/>
          <cell r="F3591"/>
          <cell r="G3591"/>
          <cell r="H3591"/>
          <cell r="I3591"/>
          <cell r="J3591"/>
          <cell r="L3591"/>
        </row>
        <row r="3592">
          <cell r="A3592"/>
          <cell r="D3592"/>
          <cell r="E3592"/>
          <cell r="F3592"/>
          <cell r="G3592"/>
          <cell r="H3592"/>
          <cell r="I3592"/>
          <cell r="J3592"/>
          <cell r="L3592"/>
        </row>
        <row r="3593">
          <cell r="A3593"/>
          <cell r="D3593"/>
          <cell r="E3593"/>
          <cell r="F3593"/>
          <cell r="G3593"/>
          <cell r="H3593"/>
          <cell r="I3593"/>
          <cell r="J3593"/>
          <cell r="L3593"/>
        </row>
        <row r="3594">
          <cell r="A3594"/>
          <cell r="D3594"/>
          <cell r="E3594"/>
          <cell r="F3594"/>
          <cell r="G3594"/>
          <cell r="H3594"/>
          <cell r="I3594"/>
          <cell r="J3594"/>
          <cell r="L3594"/>
        </row>
        <row r="3595">
          <cell r="A3595"/>
          <cell r="D3595"/>
          <cell r="E3595"/>
          <cell r="F3595"/>
          <cell r="G3595"/>
          <cell r="H3595"/>
          <cell r="I3595"/>
          <cell r="J3595"/>
          <cell r="L3595"/>
        </row>
        <row r="3596">
          <cell r="A3596"/>
          <cell r="D3596"/>
          <cell r="E3596"/>
          <cell r="F3596"/>
          <cell r="G3596"/>
          <cell r="H3596"/>
          <cell r="I3596"/>
          <cell r="J3596"/>
          <cell r="L3596"/>
        </row>
        <row r="3597">
          <cell r="A3597"/>
          <cell r="D3597"/>
          <cell r="E3597"/>
          <cell r="F3597"/>
          <cell r="G3597"/>
          <cell r="H3597"/>
          <cell r="I3597"/>
          <cell r="J3597"/>
          <cell r="L3597"/>
        </row>
        <row r="3598">
          <cell r="A3598"/>
          <cell r="D3598"/>
          <cell r="E3598"/>
          <cell r="F3598"/>
          <cell r="G3598"/>
          <cell r="H3598"/>
          <cell r="I3598"/>
          <cell r="J3598"/>
          <cell r="L3598"/>
        </row>
        <row r="3599">
          <cell r="A3599"/>
          <cell r="D3599"/>
          <cell r="E3599"/>
          <cell r="F3599"/>
          <cell r="G3599"/>
          <cell r="H3599"/>
          <cell r="I3599"/>
          <cell r="J3599"/>
          <cell r="L3599"/>
        </row>
        <row r="3600">
          <cell r="A3600"/>
          <cell r="D3600"/>
          <cell r="E3600"/>
          <cell r="F3600"/>
          <cell r="G3600"/>
          <cell r="H3600"/>
          <cell r="I3600"/>
          <cell r="J3600"/>
          <cell r="L3600"/>
        </row>
        <row r="3601">
          <cell r="A3601"/>
          <cell r="D3601"/>
          <cell r="E3601"/>
          <cell r="F3601"/>
          <cell r="G3601"/>
          <cell r="H3601"/>
          <cell r="I3601"/>
          <cell r="J3601"/>
          <cell r="L3601"/>
        </row>
        <row r="3602">
          <cell r="A3602"/>
          <cell r="D3602"/>
          <cell r="E3602"/>
          <cell r="F3602"/>
          <cell r="G3602"/>
          <cell r="H3602"/>
          <cell r="I3602"/>
          <cell r="J3602"/>
          <cell r="L3602"/>
        </row>
        <row r="3603">
          <cell r="A3603"/>
          <cell r="D3603"/>
          <cell r="E3603"/>
          <cell r="F3603"/>
          <cell r="G3603"/>
          <cell r="H3603"/>
          <cell r="I3603"/>
          <cell r="J3603"/>
          <cell r="L3603"/>
        </row>
        <row r="3604">
          <cell r="A3604"/>
          <cell r="D3604"/>
          <cell r="E3604"/>
          <cell r="F3604"/>
          <cell r="G3604"/>
          <cell r="H3604"/>
          <cell r="I3604"/>
          <cell r="J3604"/>
          <cell r="L3604"/>
        </row>
        <row r="3605">
          <cell r="A3605"/>
          <cell r="D3605"/>
          <cell r="E3605"/>
          <cell r="F3605"/>
          <cell r="G3605"/>
          <cell r="H3605"/>
          <cell r="I3605"/>
          <cell r="J3605"/>
          <cell r="L3605"/>
        </row>
        <row r="3606">
          <cell r="A3606"/>
          <cell r="D3606"/>
          <cell r="E3606"/>
          <cell r="F3606"/>
          <cell r="G3606"/>
          <cell r="H3606"/>
          <cell r="I3606"/>
          <cell r="J3606"/>
          <cell r="L3606"/>
        </row>
        <row r="3607">
          <cell r="A3607"/>
          <cell r="D3607"/>
          <cell r="E3607"/>
          <cell r="F3607"/>
          <cell r="G3607"/>
          <cell r="H3607"/>
          <cell r="I3607"/>
          <cell r="J3607"/>
          <cell r="L3607"/>
        </row>
        <row r="3608">
          <cell r="A3608"/>
          <cell r="D3608"/>
          <cell r="E3608"/>
          <cell r="F3608"/>
          <cell r="G3608"/>
          <cell r="H3608"/>
          <cell r="I3608"/>
          <cell r="J3608"/>
          <cell r="L3608"/>
        </row>
        <row r="3609">
          <cell r="A3609"/>
          <cell r="D3609"/>
          <cell r="E3609"/>
          <cell r="F3609"/>
          <cell r="G3609"/>
          <cell r="H3609"/>
          <cell r="I3609"/>
          <cell r="J3609"/>
          <cell r="L3609"/>
        </row>
        <row r="3610">
          <cell r="A3610"/>
          <cell r="D3610"/>
          <cell r="E3610"/>
          <cell r="F3610"/>
          <cell r="G3610"/>
          <cell r="H3610"/>
          <cell r="I3610"/>
          <cell r="J3610"/>
          <cell r="L3610"/>
        </row>
        <row r="3611">
          <cell r="A3611"/>
          <cell r="D3611"/>
          <cell r="E3611"/>
          <cell r="F3611"/>
          <cell r="G3611"/>
          <cell r="H3611"/>
          <cell r="I3611"/>
          <cell r="J3611"/>
          <cell r="L3611"/>
        </row>
        <row r="3612">
          <cell r="A3612"/>
          <cell r="D3612"/>
          <cell r="E3612"/>
          <cell r="F3612"/>
          <cell r="G3612"/>
          <cell r="H3612"/>
          <cell r="I3612"/>
          <cell r="J3612"/>
          <cell r="L3612"/>
        </row>
        <row r="3613">
          <cell r="A3613"/>
          <cell r="D3613"/>
          <cell r="E3613"/>
          <cell r="F3613"/>
          <cell r="G3613"/>
          <cell r="H3613"/>
          <cell r="I3613"/>
          <cell r="J3613"/>
          <cell r="L3613"/>
        </row>
        <row r="3614">
          <cell r="A3614"/>
          <cell r="D3614"/>
          <cell r="E3614"/>
          <cell r="F3614"/>
          <cell r="G3614"/>
          <cell r="H3614"/>
          <cell r="I3614"/>
          <cell r="J3614"/>
          <cell r="L3614"/>
        </row>
        <row r="3615">
          <cell r="A3615"/>
          <cell r="D3615"/>
          <cell r="E3615"/>
          <cell r="F3615"/>
          <cell r="G3615"/>
          <cell r="H3615"/>
          <cell r="I3615"/>
          <cell r="J3615"/>
          <cell r="L3615"/>
        </row>
        <row r="3616">
          <cell r="A3616"/>
          <cell r="D3616"/>
          <cell r="E3616"/>
          <cell r="F3616"/>
          <cell r="G3616"/>
          <cell r="H3616"/>
          <cell r="I3616"/>
          <cell r="J3616"/>
          <cell r="L3616"/>
        </row>
        <row r="3617">
          <cell r="A3617"/>
          <cell r="D3617"/>
          <cell r="E3617"/>
          <cell r="F3617"/>
          <cell r="G3617"/>
          <cell r="H3617"/>
          <cell r="I3617"/>
          <cell r="J3617"/>
          <cell r="L3617"/>
        </row>
        <row r="3618">
          <cell r="A3618"/>
          <cell r="D3618"/>
          <cell r="E3618"/>
          <cell r="F3618"/>
          <cell r="G3618"/>
          <cell r="H3618"/>
          <cell r="I3618"/>
          <cell r="J3618"/>
          <cell r="L3618"/>
        </row>
        <row r="3619">
          <cell r="A3619"/>
          <cell r="D3619"/>
          <cell r="E3619"/>
          <cell r="F3619"/>
          <cell r="G3619"/>
          <cell r="H3619"/>
          <cell r="I3619"/>
          <cell r="J3619"/>
          <cell r="L3619"/>
        </row>
        <row r="3620">
          <cell r="A3620"/>
          <cell r="D3620"/>
          <cell r="E3620"/>
          <cell r="F3620"/>
          <cell r="G3620"/>
          <cell r="H3620"/>
          <cell r="I3620"/>
          <cell r="J3620"/>
          <cell r="L3620"/>
        </row>
        <row r="3621">
          <cell r="A3621"/>
          <cell r="D3621"/>
          <cell r="E3621"/>
          <cell r="F3621"/>
          <cell r="G3621"/>
          <cell r="H3621"/>
          <cell r="I3621"/>
          <cell r="J3621"/>
          <cell r="L3621"/>
        </row>
        <row r="3622">
          <cell r="A3622"/>
          <cell r="D3622"/>
          <cell r="E3622"/>
          <cell r="F3622"/>
          <cell r="G3622"/>
          <cell r="H3622"/>
          <cell r="I3622"/>
          <cell r="J3622"/>
          <cell r="L3622"/>
        </row>
        <row r="3623">
          <cell r="A3623"/>
          <cell r="D3623"/>
          <cell r="E3623"/>
          <cell r="F3623"/>
          <cell r="G3623"/>
          <cell r="H3623"/>
          <cell r="I3623"/>
          <cell r="J3623"/>
          <cell r="L3623"/>
        </row>
        <row r="3624">
          <cell r="A3624"/>
          <cell r="D3624"/>
          <cell r="E3624"/>
          <cell r="F3624"/>
          <cell r="G3624"/>
          <cell r="H3624"/>
          <cell r="I3624"/>
          <cell r="J3624"/>
          <cell r="L3624"/>
        </row>
        <row r="3625">
          <cell r="A3625"/>
          <cell r="D3625"/>
          <cell r="E3625"/>
          <cell r="F3625"/>
          <cell r="G3625"/>
          <cell r="H3625"/>
          <cell r="I3625"/>
          <cell r="J3625"/>
          <cell r="L3625"/>
        </row>
        <row r="3626">
          <cell r="A3626"/>
          <cell r="D3626"/>
          <cell r="E3626"/>
          <cell r="F3626"/>
          <cell r="G3626"/>
          <cell r="H3626"/>
          <cell r="I3626"/>
          <cell r="J3626"/>
          <cell r="L3626"/>
        </row>
        <row r="3627">
          <cell r="A3627"/>
          <cell r="D3627"/>
          <cell r="E3627"/>
          <cell r="F3627"/>
          <cell r="G3627"/>
          <cell r="H3627"/>
          <cell r="I3627"/>
          <cell r="J3627"/>
          <cell r="L3627"/>
        </row>
        <row r="3628">
          <cell r="A3628"/>
          <cell r="D3628"/>
          <cell r="E3628"/>
          <cell r="F3628"/>
          <cell r="G3628"/>
          <cell r="H3628"/>
          <cell r="I3628"/>
          <cell r="J3628"/>
          <cell r="L3628"/>
        </row>
        <row r="3629">
          <cell r="A3629"/>
          <cell r="D3629"/>
          <cell r="E3629"/>
          <cell r="F3629"/>
          <cell r="G3629"/>
          <cell r="H3629"/>
          <cell r="I3629"/>
          <cell r="J3629"/>
          <cell r="L3629"/>
        </row>
        <row r="3630">
          <cell r="A3630"/>
          <cell r="D3630"/>
          <cell r="E3630"/>
          <cell r="F3630"/>
          <cell r="G3630"/>
          <cell r="H3630"/>
          <cell r="I3630"/>
          <cell r="J3630"/>
          <cell r="L3630"/>
        </row>
        <row r="3631">
          <cell r="A3631"/>
          <cell r="D3631"/>
          <cell r="E3631"/>
          <cell r="F3631"/>
          <cell r="G3631"/>
          <cell r="H3631"/>
          <cell r="I3631"/>
          <cell r="J3631"/>
          <cell r="L3631"/>
        </row>
        <row r="3632">
          <cell r="A3632"/>
          <cell r="D3632"/>
          <cell r="E3632"/>
          <cell r="F3632"/>
          <cell r="G3632"/>
          <cell r="H3632"/>
          <cell r="I3632"/>
          <cell r="J3632"/>
          <cell r="L3632"/>
        </row>
        <row r="3633">
          <cell r="A3633"/>
          <cell r="D3633"/>
          <cell r="E3633"/>
          <cell r="F3633"/>
          <cell r="G3633"/>
          <cell r="H3633"/>
          <cell r="I3633"/>
          <cell r="J3633"/>
          <cell r="L3633"/>
        </row>
        <row r="3634">
          <cell r="A3634"/>
          <cell r="D3634"/>
          <cell r="E3634"/>
          <cell r="F3634"/>
          <cell r="G3634"/>
          <cell r="H3634"/>
          <cell r="I3634"/>
          <cell r="J3634"/>
          <cell r="L3634"/>
        </row>
        <row r="3635">
          <cell r="A3635"/>
          <cell r="D3635"/>
          <cell r="E3635"/>
          <cell r="F3635"/>
          <cell r="G3635"/>
          <cell r="H3635"/>
          <cell r="I3635"/>
          <cell r="J3635"/>
          <cell r="L3635"/>
        </row>
        <row r="3636">
          <cell r="A3636"/>
          <cell r="D3636"/>
          <cell r="E3636"/>
          <cell r="F3636"/>
          <cell r="G3636"/>
          <cell r="H3636"/>
          <cell r="I3636"/>
          <cell r="J3636"/>
          <cell r="L3636"/>
        </row>
        <row r="3637">
          <cell r="A3637"/>
          <cell r="D3637"/>
          <cell r="E3637"/>
          <cell r="F3637"/>
          <cell r="G3637"/>
          <cell r="H3637"/>
          <cell r="I3637"/>
          <cell r="J3637"/>
          <cell r="L3637"/>
        </row>
        <row r="3638">
          <cell r="A3638"/>
          <cell r="D3638"/>
          <cell r="E3638"/>
          <cell r="F3638"/>
          <cell r="G3638"/>
          <cell r="H3638"/>
          <cell r="I3638"/>
          <cell r="J3638"/>
          <cell r="L3638"/>
        </row>
        <row r="3639">
          <cell r="A3639"/>
          <cell r="D3639"/>
          <cell r="E3639"/>
          <cell r="F3639"/>
          <cell r="G3639"/>
          <cell r="H3639"/>
          <cell r="I3639"/>
          <cell r="J3639"/>
          <cell r="L3639"/>
        </row>
        <row r="3640">
          <cell r="A3640"/>
          <cell r="D3640"/>
          <cell r="E3640"/>
          <cell r="F3640"/>
          <cell r="G3640"/>
          <cell r="H3640"/>
          <cell r="I3640"/>
          <cell r="J3640"/>
          <cell r="L3640"/>
        </row>
        <row r="3641">
          <cell r="A3641"/>
          <cell r="D3641"/>
          <cell r="E3641"/>
          <cell r="F3641"/>
          <cell r="G3641"/>
          <cell r="H3641"/>
          <cell r="I3641"/>
          <cell r="J3641"/>
          <cell r="L3641"/>
        </row>
        <row r="3642">
          <cell r="A3642"/>
          <cell r="D3642"/>
          <cell r="E3642"/>
          <cell r="F3642"/>
          <cell r="G3642"/>
          <cell r="H3642"/>
          <cell r="I3642"/>
          <cell r="J3642"/>
          <cell r="L3642"/>
        </row>
        <row r="3643">
          <cell r="A3643"/>
          <cell r="D3643"/>
          <cell r="E3643"/>
          <cell r="F3643"/>
          <cell r="G3643"/>
          <cell r="H3643"/>
          <cell r="I3643"/>
          <cell r="J3643"/>
          <cell r="L3643"/>
        </row>
        <row r="3644">
          <cell r="A3644"/>
          <cell r="D3644"/>
          <cell r="E3644"/>
          <cell r="F3644"/>
          <cell r="G3644"/>
          <cell r="H3644"/>
          <cell r="I3644"/>
          <cell r="J3644"/>
          <cell r="L3644"/>
        </row>
        <row r="3645">
          <cell r="A3645"/>
          <cell r="D3645"/>
          <cell r="E3645"/>
          <cell r="F3645"/>
          <cell r="G3645"/>
          <cell r="H3645"/>
          <cell r="I3645"/>
          <cell r="J3645"/>
          <cell r="L3645"/>
        </row>
        <row r="3646">
          <cell r="A3646"/>
          <cell r="D3646"/>
          <cell r="E3646"/>
          <cell r="F3646"/>
          <cell r="G3646"/>
          <cell r="H3646"/>
          <cell r="I3646"/>
          <cell r="J3646"/>
          <cell r="L3646"/>
        </row>
        <row r="3647">
          <cell r="A3647"/>
          <cell r="D3647"/>
          <cell r="E3647"/>
          <cell r="F3647"/>
          <cell r="G3647"/>
          <cell r="H3647"/>
          <cell r="I3647"/>
          <cell r="J3647"/>
          <cell r="L3647"/>
        </row>
        <row r="3648">
          <cell r="A3648"/>
          <cell r="D3648"/>
          <cell r="E3648"/>
          <cell r="F3648"/>
          <cell r="G3648"/>
          <cell r="H3648"/>
          <cell r="I3648"/>
          <cell r="J3648"/>
          <cell r="L3648"/>
        </row>
        <row r="3649">
          <cell r="A3649"/>
          <cell r="D3649"/>
          <cell r="E3649"/>
          <cell r="F3649"/>
          <cell r="G3649"/>
          <cell r="H3649"/>
          <cell r="I3649"/>
          <cell r="J3649"/>
          <cell r="L3649"/>
        </row>
        <row r="3650">
          <cell r="A3650"/>
          <cell r="D3650"/>
          <cell r="E3650"/>
          <cell r="F3650"/>
          <cell r="G3650"/>
          <cell r="H3650"/>
          <cell r="I3650"/>
          <cell r="J3650"/>
          <cell r="L3650"/>
        </row>
        <row r="3651">
          <cell r="A3651"/>
          <cell r="D3651"/>
          <cell r="E3651"/>
          <cell r="F3651"/>
          <cell r="G3651"/>
          <cell r="H3651"/>
          <cell r="I3651"/>
          <cell r="J3651"/>
          <cell r="L3651"/>
        </row>
        <row r="3652">
          <cell r="A3652"/>
          <cell r="D3652"/>
          <cell r="E3652"/>
          <cell r="F3652"/>
          <cell r="G3652"/>
          <cell r="H3652"/>
          <cell r="I3652"/>
          <cell r="J3652"/>
          <cell r="L3652"/>
        </row>
        <row r="3653">
          <cell r="A3653"/>
          <cell r="D3653"/>
          <cell r="E3653"/>
          <cell r="F3653"/>
          <cell r="G3653"/>
          <cell r="H3653"/>
          <cell r="I3653"/>
          <cell r="J3653"/>
          <cell r="L3653"/>
        </row>
        <row r="3654">
          <cell r="A3654"/>
          <cell r="D3654"/>
          <cell r="E3654"/>
          <cell r="F3654"/>
          <cell r="G3654"/>
          <cell r="H3654"/>
          <cell r="I3654"/>
          <cell r="J3654"/>
          <cell r="L3654"/>
        </row>
        <row r="3655">
          <cell r="A3655"/>
          <cell r="D3655"/>
          <cell r="E3655"/>
          <cell r="F3655"/>
          <cell r="G3655"/>
          <cell r="H3655"/>
          <cell r="I3655"/>
          <cell r="J3655"/>
          <cell r="L3655"/>
        </row>
        <row r="3656">
          <cell r="A3656"/>
          <cell r="D3656"/>
          <cell r="E3656"/>
          <cell r="F3656"/>
          <cell r="G3656"/>
          <cell r="H3656"/>
          <cell r="I3656"/>
          <cell r="J3656"/>
          <cell r="L3656"/>
        </row>
        <row r="3657">
          <cell r="A3657"/>
          <cell r="D3657"/>
          <cell r="E3657"/>
          <cell r="F3657"/>
          <cell r="G3657"/>
          <cell r="H3657"/>
          <cell r="I3657"/>
          <cell r="J3657"/>
          <cell r="L3657"/>
        </row>
        <row r="3658">
          <cell r="A3658"/>
          <cell r="D3658"/>
          <cell r="E3658"/>
          <cell r="F3658"/>
          <cell r="G3658"/>
          <cell r="H3658"/>
          <cell r="I3658"/>
          <cell r="J3658"/>
          <cell r="L3658"/>
        </row>
        <row r="3659">
          <cell r="A3659"/>
          <cell r="D3659"/>
          <cell r="E3659"/>
          <cell r="F3659"/>
          <cell r="G3659"/>
          <cell r="H3659"/>
          <cell r="I3659"/>
          <cell r="J3659"/>
          <cell r="L3659"/>
        </row>
        <row r="3660">
          <cell r="A3660"/>
          <cell r="D3660"/>
          <cell r="E3660"/>
          <cell r="F3660"/>
          <cell r="G3660"/>
          <cell r="H3660"/>
          <cell r="I3660"/>
          <cell r="J3660"/>
          <cell r="L3660"/>
        </row>
        <row r="3661">
          <cell r="A3661"/>
          <cell r="D3661"/>
          <cell r="E3661"/>
          <cell r="F3661"/>
          <cell r="G3661"/>
          <cell r="H3661"/>
          <cell r="I3661"/>
          <cell r="J3661"/>
          <cell r="L3661"/>
        </row>
        <row r="3662">
          <cell r="A3662"/>
          <cell r="D3662"/>
          <cell r="E3662"/>
          <cell r="F3662"/>
          <cell r="G3662"/>
          <cell r="H3662"/>
          <cell r="I3662"/>
          <cell r="J3662"/>
          <cell r="L3662"/>
        </row>
        <row r="3663">
          <cell r="A3663"/>
          <cell r="D3663"/>
          <cell r="E3663"/>
          <cell r="F3663"/>
          <cell r="G3663"/>
          <cell r="H3663"/>
          <cell r="I3663"/>
          <cell r="J3663"/>
          <cell r="L3663"/>
        </row>
        <row r="3664">
          <cell r="A3664"/>
          <cell r="D3664"/>
          <cell r="E3664"/>
          <cell r="F3664"/>
          <cell r="G3664"/>
          <cell r="H3664"/>
          <cell r="I3664"/>
          <cell r="J3664"/>
          <cell r="L3664"/>
        </row>
        <row r="3665">
          <cell r="A3665"/>
          <cell r="D3665"/>
          <cell r="E3665"/>
          <cell r="F3665"/>
          <cell r="G3665"/>
          <cell r="H3665"/>
          <cell r="I3665"/>
          <cell r="J3665"/>
          <cell r="L3665"/>
        </row>
        <row r="3666">
          <cell r="A3666"/>
          <cell r="D3666"/>
          <cell r="E3666"/>
          <cell r="F3666"/>
          <cell r="G3666"/>
          <cell r="H3666"/>
          <cell r="I3666"/>
          <cell r="J3666"/>
          <cell r="L3666"/>
        </row>
        <row r="3667">
          <cell r="A3667"/>
          <cell r="D3667"/>
          <cell r="E3667"/>
          <cell r="F3667"/>
          <cell r="G3667"/>
          <cell r="H3667"/>
          <cell r="I3667"/>
          <cell r="J3667"/>
          <cell r="L3667"/>
        </row>
        <row r="3668">
          <cell r="A3668"/>
          <cell r="D3668"/>
          <cell r="E3668"/>
          <cell r="F3668"/>
          <cell r="G3668"/>
          <cell r="H3668"/>
          <cell r="I3668"/>
          <cell r="J3668"/>
          <cell r="L3668"/>
        </row>
        <row r="3669">
          <cell r="A3669"/>
          <cell r="D3669"/>
          <cell r="E3669"/>
          <cell r="F3669"/>
          <cell r="G3669"/>
          <cell r="H3669"/>
          <cell r="I3669"/>
          <cell r="J3669"/>
          <cell r="L3669"/>
        </row>
        <row r="3670">
          <cell r="A3670"/>
          <cell r="D3670"/>
          <cell r="E3670"/>
          <cell r="F3670"/>
          <cell r="G3670"/>
          <cell r="H3670"/>
          <cell r="I3670"/>
          <cell r="J3670"/>
          <cell r="L3670"/>
        </row>
        <row r="3671">
          <cell r="A3671"/>
          <cell r="D3671"/>
          <cell r="E3671"/>
          <cell r="F3671"/>
          <cell r="G3671"/>
          <cell r="H3671"/>
          <cell r="I3671"/>
          <cell r="J3671"/>
          <cell r="L3671"/>
        </row>
        <row r="3672">
          <cell r="A3672"/>
          <cell r="D3672"/>
          <cell r="E3672"/>
          <cell r="F3672"/>
          <cell r="G3672"/>
          <cell r="H3672"/>
          <cell r="I3672"/>
          <cell r="J3672"/>
          <cell r="L3672"/>
        </row>
        <row r="3673">
          <cell r="A3673"/>
          <cell r="D3673"/>
          <cell r="E3673"/>
          <cell r="F3673"/>
          <cell r="G3673"/>
          <cell r="H3673"/>
          <cell r="I3673"/>
          <cell r="J3673"/>
          <cell r="L3673"/>
        </row>
        <row r="3674">
          <cell r="A3674"/>
          <cell r="D3674"/>
          <cell r="E3674"/>
          <cell r="F3674"/>
          <cell r="G3674"/>
          <cell r="H3674"/>
          <cell r="I3674"/>
          <cell r="J3674"/>
          <cell r="L3674"/>
        </row>
        <row r="3675">
          <cell r="A3675"/>
          <cell r="D3675"/>
          <cell r="E3675"/>
          <cell r="F3675"/>
          <cell r="G3675"/>
          <cell r="H3675"/>
          <cell r="I3675"/>
          <cell r="J3675"/>
          <cell r="L3675"/>
        </row>
        <row r="3676">
          <cell r="A3676"/>
          <cell r="D3676"/>
          <cell r="E3676"/>
          <cell r="F3676"/>
          <cell r="G3676"/>
          <cell r="H3676"/>
          <cell r="I3676"/>
          <cell r="J3676"/>
          <cell r="L3676"/>
        </row>
        <row r="3677">
          <cell r="A3677"/>
          <cell r="D3677"/>
          <cell r="E3677"/>
          <cell r="F3677"/>
          <cell r="G3677"/>
          <cell r="H3677"/>
          <cell r="I3677"/>
          <cell r="J3677"/>
          <cell r="L3677"/>
        </row>
        <row r="3678">
          <cell r="A3678"/>
          <cell r="D3678"/>
          <cell r="E3678"/>
          <cell r="F3678"/>
          <cell r="G3678"/>
          <cell r="H3678"/>
          <cell r="I3678"/>
          <cell r="J3678"/>
          <cell r="L3678"/>
        </row>
        <row r="3679">
          <cell r="A3679"/>
          <cell r="D3679"/>
          <cell r="E3679"/>
          <cell r="F3679"/>
          <cell r="G3679"/>
          <cell r="H3679"/>
          <cell r="I3679"/>
          <cell r="J3679"/>
          <cell r="L3679"/>
        </row>
        <row r="3680">
          <cell r="A3680"/>
          <cell r="D3680"/>
          <cell r="E3680"/>
          <cell r="F3680"/>
          <cell r="G3680"/>
          <cell r="H3680"/>
          <cell r="I3680"/>
          <cell r="J3680"/>
          <cell r="L3680"/>
        </row>
        <row r="3681">
          <cell r="A3681"/>
          <cell r="D3681"/>
          <cell r="E3681"/>
          <cell r="F3681"/>
          <cell r="G3681"/>
          <cell r="H3681"/>
          <cell r="I3681"/>
          <cell r="J3681"/>
          <cell r="L3681"/>
        </row>
        <row r="3682">
          <cell r="A3682"/>
          <cell r="D3682"/>
          <cell r="E3682"/>
          <cell r="F3682"/>
          <cell r="G3682"/>
          <cell r="H3682"/>
          <cell r="I3682"/>
          <cell r="J3682"/>
          <cell r="L3682"/>
        </row>
        <row r="3683">
          <cell r="A3683"/>
          <cell r="D3683"/>
          <cell r="E3683"/>
          <cell r="F3683"/>
          <cell r="G3683"/>
          <cell r="H3683"/>
          <cell r="I3683"/>
          <cell r="J3683"/>
          <cell r="L3683"/>
        </row>
        <row r="3684">
          <cell r="A3684"/>
          <cell r="D3684"/>
          <cell r="E3684"/>
          <cell r="F3684"/>
          <cell r="G3684"/>
          <cell r="H3684"/>
          <cell r="I3684"/>
          <cell r="J3684"/>
          <cell r="L3684"/>
        </row>
        <row r="3685">
          <cell r="A3685"/>
          <cell r="D3685"/>
          <cell r="E3685"/>
          <cell r="F3685"/>
          <cell r="G3685"/>
          <cell r="H3685"/>
          <cell r="I3685"/>
          <cell r="J3685"/>
          <cell r="L3685"/>
        </row>
        <row r="3686">
          <cell r="A3686"/>
          <cell r="D3686"/>
          <cell r="E3686"/>
          <cell r="F3686"/>
          <cell r="G3686"/>
          <cell r="H3686"/>
          <cell r="I3686"/>
          <cell r="J3686"/>
          <cell r="L3686"/>
        </row>
        <row r="3687">
          <cell r="A3687"/>
          <cell r="D3687"/>
          <cell r="E3687"/>
          <cell r="F3687"/>
          <cell r="G3687"/>
          <cell r="H3687"/>
          <cell r="I3687"/>
          <cell r="J3687"/>
          <cell r="L3687"/>
        </row>
        <row r="3688">
          <cell r="A3688"/>
          <cell r="D3688"/>
          <cell r="E3688"/>
          <cell r="F3688"/>
          <cell r="G3688"/>
          <cell r="H3688"/>
          <cell r="I3688"/>
          <cell r="J3688"/>
          <cell r="L3688"/>
        </row>
        <row r="3689">
          <cell r="A3689"/>
          <cell r="D3689"/>
          <cell r="E3689"/>
          <cell r="F3689"/>
          <cell r="G3689"/>
          <cell r="H3689"/>
          <cell r="I3689"/>
          <cell r="J3689"/>
          <cell r="L3689"/>
        </row>
        <row r="3690">
          <cell r="A3690"/>
          <cell r="D3690"/>
          <cell r="E3690"/>
          <cell r="F3690"/>
          <cell r="G3690"/>
          <cell r="H3690"/>
          <cell r="I3690"/>
          <cell r="J3690"/>
          <cell r="L3690"/>
        </row>
        <row r="3691">
          <cell r="A3691"/>
          <cell r="D3691"/>
          <cell r="E3691"/>
          <cell r="F3691"/>
          <cell r="G3691"/>
          <cell r="H3691"/>
          <cell r="I3691"/>
          <cell r="J3691"/>
          <cell r="L3691"/>
        </row>
        <row r="3692">
          <cell r="A3692"/>
          <cell r="D3692"/>
          <cell r="E3692"/>
          <cell r="F3692"/>
          <cell r="G3692"/>
          <cell r="H3692"/>
          <cell r="I3692"/>
          <cell r="J3692"/>
          <cell r="L3692"/>
        </row>
        <row r="3693">
          <cell r="A3693"/>
          <cell r="D3693"/>
          <cell r="E3693"/>
          <cell r="F3693"/>
          <cell r="G3693"/>
          <cell r="H3693"/>
          <cell r="I3693"/>
          <cell r="J3693"/>
          <cell r="L3693"/>
        </row>
        <row r="3694">
          <cell r="A3694"/>
          <cell r="D3694"/>
          <cell r="E3694"/>
          <cell r="F3694"/>
          <cell r="G3694"/>
          <cell r="H3694"/>
          <cell r="I3694"/>
          <cell r="J3694"/>
          <cell r="L3694"/>
        </row>
        <row r="3695">
          <cell r="A3695"/>
          <cell r="D3695"/>
          <cell r="E3695"/>
          <cell r="F3695"/>
          <cell r="G3695"/>
          <cell r="H3695"/>
          <cell r="I3695"/>
          <cell r="J3695"/>
          <cell r="L3695"/>
        </row>
        <row r="3696">
          <cell r="A3696"/>
          <cell r="D3696"/>
          <cell r="E3696"/>
          <cell r="F3696"/>
          <cell r="G3696"/>
          <cell r="H3696"/>
          <cell r="I3696"/>
          <cell r="J3696"/>
          <cell r="L3696"/>
        </row>
        <row r="3697">
          <cell r="A3697"/>
          <cell r="D3697"/>
          <cell r="E3697"/>
          <cell r="F3697"/>
          <cell r="G3697"/>
          <cell r="H3697"/>
          <cell r="I3697"/>
          <cell r="J3697"/>
          <cell r="L3697"/>
        </row>
        <row r="3698">
          <cell r="A3698"/>
          <cell r="D3698"/>
          <cell r="E3698"/>
          <cell r="F3698"/>
          <cell r="G3698"/>
          <cell r="H3698"/>
          <cell r="I3698"/>
          <cell r="J3698"/>
          <cell r="L3698"/>
        </row>
        <row r="3699">
          <cell r="A3699"/>
          <cell r="D3699"/>
          <cell r="E3699"/>
          <cell r="F3699"/>
          <cell r="G3699"/>
          <cell r="H3699"/>
          <cell r="I3699"/>
          <cell r="J3699"/>
          <cell r="L3699"/>
        </row>
        <row r="3700">
          <cell r="A3700"/>
          <cell r="D3700"/>
          <cell r="E3700"/>
          <cell r="F3700"/>
          <cell r="G3700"/>
          <cell r="H3700"/>
          <cell r="I3700"/>
          <cell r="J3700"/>
          <cell r="L3700"/>
        </row>
        <row r="3701">
          <cell r="A3701"/>
          <cell r="D3701"/>
          <cell r="E3701"/>
          <cell r="F3701"/>
          <cell r="G3701"/>
          <cell r="H3701"/>
          <cell r="I3701"/>
          <cell r="J3701"/>
          <cell r="L3701"/>
        </row>
        <row r="3702">
          <cell r="A3702"/>
          <cell r="D3702"/>
          <cell r="E3702"/>
          <cell r="F3702"/>
          <cell r="G3702"/>
          <cell r="H3702"/>
          <cell r="I3702"/>
          <cell r="J3702"/>
          <cell r="L3702"/>
        </row>
        <row r="3703">
          <cell r="A3703"/>
          <cell r="D3703"/>
          <cell r="E3703"/>
          <cell r="F3703"/>
          <cell r="G3703"/>
          <cell r="H3703"/>
          <cell r="I3703"/>
          <cell r="J3703"/>
          <cell r="L3703"/>
        </row>
        <row r="3704">
          <cell r="A3704"/>
          <cell r="D3704"/>
          <cell r="E3704"/>
          <cell r="F3704"/>
          <cell r="G3704"/>
          <cell r="H3704"/>
          <cell r="I3704"/>
          <cell r="J3704"/>
          <cell r="L3704"/>
        </row>
        <row r="3705">
          <cell r="A3705"/>
          <cell r="D3705"/>
          <cell r="E3705"/>
          <cell r="F3705"/>
          <cell r="G3705"/>
          <cell r="H3705"/>
          <cell r="I3705"/>
          <cell r="J3705"/>
          <cell r="L3705"/>
        </row>
        <row r="3706">
          <cell r="A3706"/>
          <cell r="D3706"/>
          <cell r="E3706"/>
          <cell r="F3706"/>
          <cell r="G3706"/>
          <cell r="H3706"/>
          <cell r="I3706"/>
          <cell r="J3706"/>
          <cell r="L3706"/>
        </row>
        <row r="3707">
          <cell r="A3707"/>
          <cell r="D3707"/>
          <cell r="E3707"/>
          <cell r="F3707"/>
          <cell r="G3707"/>
          <cell r="H3707"/>
          <cell r="I3707"/>
          <cell r="J3707"/>
          <cell r="L3707"/>
        </row>
        <row r="3708">
          <cell r="A3708"/>
          <cell r="D3708"/>
          <cell r="E3708"/>
          <cell r="F3708"/>
          <cell r="G3708"/>
          <cell r="H3708"/>
          <cell r="I3708"/>
          <cell r="J3708"/>
          <cell r="L3708"/>
        </row>
        <row r="3709">
          <cell r="A3709"/>
          <cell r="D3709"/>
          <cell r="E3709"/>
          <cell r="F3709"/>
          <cell r="G3709"/>
          <cell r="H3709"/>
          <cell r="I3709"/>
          <cell r="J3709"/>
          <cell r="L3709"/>
        </row>
        <row r="3710">
          <cell r="A3710"/>
          <cell r="D3710"/>
          <cell r="E3710"/>
          <cell r="F3710"/>
          <cell r="G3710"/>
          <cell r="H3710"/>
          <cell r="I3710"/>
          <cell r="J3710"/>
          <cell r="L3710"/>
        </row>
        <row r="3711">
          <cell r="A3711"/>
          <cell r="D3711"/>
          <cell r="E3711"/>
          <cell r="F3711"/>
          <cell r="G3711"/>
          <cell r="H3711"/>
          <cell r="I3711"/>
          <cell r="J3711"/>
          <cell r="L3711"/>
        </row>
        <row r="3712">
          <cell r="A3712"/>
          <cell r="D3712"/>
          <cell r="E3712"/>
          <cell r="F3712"/>
          <cell r="G3712"/>
          <cell r="H3712"/>
          <cell r="I3712"/>
          <cell r="J3712"/>
          <cell r="L3712"/>
        </row>
        <row r="3713">
          <cell r="A3713"/>
          <cell r="D3713"/>
          <cell r="E3713"/>
          <cell r="F3713"/>
          <cell r="G3713"/>
          <cell r="H3713"/>
          <cell r="I3713"/>
          <cell r="J3713"/>
          <cell r="L3713"/>
        </row>
        <row r="3714">
          <cell r="A3714"/>
          <cell r="D3714"/>
          <cell r="E3714"/>
          <cell r="F3714"/>
          <cell r="G3714"/>
          <cell r="H3714"/>
          <cell r="I3714"/>
          <cell r="J3714"/>
          <cell r="L3714"/>
        </row>
        <row r="3715">
          <cell r="A3715"/>
          <cell r="D3715"/>
          <cell r="E3715"/>
          <cell r="F3715"/>
          <cell r="G3715"/>
          <cell r="H3715"/>
          <cell r="I3715"/>
          <cell r="J3715"/>
          <cell r="L3715"/>
        </row>
        <row r="3716">
          <cell r="A3716"/>
          <cell r="D3716"/>
          <cell r="E3716"/>
          <cell r="F3716"/>
          <cell r="G3716"/>
          <cell r="H3716"/>
          <cell r="I3716"/>
          <cell r="J3716"/>
          <cell r="L3716"/>
        </row>
        <row r="3717">
          <cell r="A3717"/>
          <cell r="D3717"/>
          <cell r="E3717"/>
          <cell r="F3717"/>
          <cell r="G3717"/>
          <cell r="H3717"/>
          <cell r="I3717"/>
          <cell r="J3717"/>
          <cell r="L3717"/>
        </row>
        <row r="3718">
          <cell r="A3718"/>
          <cell r="D3718"/>
          <cell r="E3718"/>
          <cell r="F3718"/>
          <cell r="G3718"/>
          <cell r="H3718"/>
          <cell r="I3718"/>
          <cell r="J3718"/>
          <cell r="L3718"/>
        </row>
        <row r="3719">
          <cell r="A3719"/>
          <cell r="D3719"/>
          <cell r="E3719"/>
          <cell r="F3719"/>
          <cell r="G3719"/>
          <cell r="H3719"/>
          <cell r="I3719"/>
          <cell r="J3719"/>
          <cell r="L3719"/>
        </row>
        <row r="3720">
          <cell r="A3720"/>
          <cell r="D3720"/>
          <cell r="E3720"/>
          <cell r="F3720"/>
          <cell r="G3720"/>
          <cell r="H3720"/>
          <cell r="I3720"/>
          <cell r="J3720"/>
          <cell r="L3720"/>
        </row>
        <row r="3721">
          <cell r="A3721"/>
          <cell r="D3721"/>
          <cell r="E3721"/>
          <cell r="F3721"/>
          <cell r="G3721"/>
          <cell r="H3721"/>
          <cell r="I3721"/>
          <cell r="J3721"/>
          <cell r="L3721"/>
        </row>
        <row r="3722">
          <cell r="A3722"/>
          <cell r="D3722"/>
          <cell r="E3722"/>
          <cell r="F3722"/>
          <cell r="G3722"/>
          <cell r="H3722"/>
          <cell r="I3722"/>
          <cell r="J3722"/>
          <cell r="L3722"/>
        </row>
        <row r="3723">
          <cell r="A3723"/>
          <cell r="D3723"/>
          <cell r="E3723"/>
          <cell r="F3723"/>
          <cell r="G3723"/>
          <cell r="H3723"/>
          <cell r="I3723"/>
          <cell r="J3723"/>
          <cell r="L3723"/>
        </row>
        <row r="3724">
          <cell r="A3724"/>
          <cell r="D3724"/>
          <cell r="E3724"/>
          <cell r="F3724"/>
          <cell r="G3724"/>
          <cell r="H3724"/>
          <cell r="I3724"/>
          <cell r="J3724"/>
          <cell r="L3724"/>
        </row>
        <row r="3725">
          <cell r="A3725"/>
          <cell r="D3725"/>
          <cell r="E3725"/>
          <cell r="F3725"/>
          <cell r="G3725"/>
          <cell r="H3725"/>
          <cell r="I3725"/>
          <cell r="J3725"/>
          <cell r="L3725"/>
        </row>
        <row r="3726">
          <cell r="A3726"/>
          <cell r="D3726"/>
          <cell r="E3726"/>
          <cell r="F3726"/>
          <cell r="G3726"/>
          <cell r="H3726"/>
          <cell r="I3726"/>
          <cell r="J3726"/>
          <cell r="L3726"/>
        </row>
        <row r="3727">
          <cell r="A3727"/>
          <cell r="D3727"/>
          <cell r="E3727"/>
          <cell r="F3727"/>
          <cell r="G3727"/>
          <cell r="H3727"/>
          <cell r="I3727"/>
          <cell r="J3727"/>
          <cell r="L3727"/>
        </row>
        <row r="3728">
          <cell r="A3728"/>
          <cell r="D3728"/>
          <cell r="E3728"/>
          <cell r="F3728"/>
          <cell r="G3728"/>
          <cell r="H3728"/>
          <cell r="I3728"/>
          <cell r="J3728"/>
          <cell r="L3728"/>
        </row>
        <row r="3729">
          <cell r="A3729"/>
          <cell r="D3729"/>
          <cell r="E3729"/>
          <cell r="F3729"/>
          <cell r="G3729"/>
          <cell r="H3729"/>
          <cell r="I3729"/>
          <cell r="J3729"/>
          <cell r="L3729"/>
        </row>
        <row r="3730">
          <cell r="A3730"/>
          <cell r="D3730"/>
          <cell r="E3730"/>
          <cell r="F3730"/>
          <cell r="G3730"/>
          <cell r="H3730"/>
          <cell r="I3730"/>
          <cell r="J3730"/>
          <cell r="L3730"/>
        </row>
        <row r="3731">
          <cell r="A3731"/>
          <cell r="D3731"/>
          <cell r="E3731"/>
          <cell r="F3731"/>
          <cell r="G3731"/>
          <cell r="H3731"/>
          <cell r="I3731"/>
          <cell r="J3731"/>
          <cell r="L3731"/>
        </row>
        <row r="3732">
          <cell r="A3732"/>
          <cell r="D3732"/>
          <cell r="E3732"/>
          <cell r="F3732"/>
          <cell r="G3732"/>
          <cell r="H3732"/>
          <cell r="I3732"/>
          <cell r="J3732"/>
          <cell r="L3732"/>
        </row>
        <row r="3733">
          <cell r="A3733"/>
          <cell r="D3733"/>
          <cell r="E3733"/>
          <cell r="F3733"/>
          <cell r="G3733"/>
          <cell r="H3733"/>
          <cell r="I3733"/>
          <cell r="J3733"/>
          <cell r="L3733"/>
        </row>
        <row r="3734">
          <cell r="A3734"/>
          <cell r="D3734"/>
          <cell r="E3734"/>
          <cell r="F3734"/>
          <cell r="G3734"/>
          <cell r="H3734"/>
          <cell r="I3734"/>
          <cell r="J3734"/>
          <cell r="L3734"/>
        </row>
        <row r="3735">
          <cell r="A3735"/>
          <cell r="D3735"/>
          <cell r="E3735"/>
          <cell r="F3735"/>
          <cell r="G3735"/>
          <cell r="H3735"/>
          <cell r="I3735"/>
          <cell r="J3735"/>
          <cell r="L3735"/>
        </row>
        <row r="3736">
          <cell r="A3736"/>
          <cell r="D3736"/>
          <cell r="E3736"/>
          <cell r="F3736"/>
          <cell r="G3736"/>
          <cell r="H3736"/>
          <cell r="I3736"/>
          <cell r="J3736"/>
          <cell r="L3736"/>
        </row>
        <row r="3737">
          <cell r="A3737"/>
          <cell r="D3737"/>
          <cell r="E3737"/>
          <cell r="F3737"/>
          <cell r="G3737"/>
          <cell r="H3737"/>
          <cell r="I3737"/>
          <cell r="J3737"/>
          <cell r="L3737"/>
        </row>
        <row r="3738">
          <cell r="A3738"/>
          <cell r="D3738"/>
          <cell r="E3738"/>
          <cell r="F3738"/>
          <cell r="G3738"/>
          <cell r="H3738"/>
          <cell r="I3738"/>
          <cell r="J3738"/>
          <cell r="L3738"/>
        </row>
        <row r="3739">
          <cell r="A3739"/>
          <cell r="D3739"/>
          <cell r="E3739"/>
          <cell r="F3739"/>
          <cell r="G3739"/>
          <cell r="H3739"/>
          <cell r="I3739"/>
          <cell r="J3739"/>
          <cell r="L3739"/>
        </row>
        <row r="3740">
          <cell r="A3740"/>
          <cell r="D3740"/>
          <cell r="E3740"/>
          <cell r="F3740"/>
          <cell r="G3740"/>
          <cell r="H3740"/>
          <cell r="I3740"/>
          <cell r="J3740"/>
          <cell r="L3740"/>
        </row>
        <row r="3741">
          <cell r="A3741"/>
          <cell r="D3741"/>
          <cell r="E3741"/>
          <cell r="F3741"/>
          <cell r="G3741"/>
          <cell r="H3741"/>
          <cell r="I3741"/>
          <cell r="J3741"/>
          <cell r="L3741"/>
        </row>
        <row r="3742">
          <cell r="A3742"/>
          <cell r="D3742"/>
          <cell r="E3742"/>
          <cell r="F3742"/>
          <cell r="G3742"/>
          <cell r="H3742"/>
          <cell r="I3742"/>
          <cell r="J3742"/>
          <cell r="L3742"/>
        </row>
        <row r="3743">
          <cell r="A3743"/>
          <cell r="D3743"/>
          <cell r="E3743"/>
          <cell r="F3743"/>
          <cell r="G3743"/>
          <cell r="H3743"/>
          <cell r="I3743"/>
          <cell r="J3743"/>
          <cell r="L3743"/>
        </row>
        <row r="3744">
          <cell r="A3744"/>
          <cell r="D3744"/>
          <cell r="E3744"/>
          <cell r="F3744"/>
          <cell r="G3744"/>
          <cell r="H3744"/>
          <cell r="I3744"/>
          <cell r="J3744"/>
          <cell r="L3744"/>
        </row>
        <row r="3745">
          <cell r="A3745"/>
          <cell r="D3745"/>
          <cell r="E3745"/>
          <cell r="F3745"/>
          <cell r="G3745"/>
          <cell r="H3745"/>
          <cell r="I3745"/>
          <cell r="J3745"/>
          <cell r="L3745"/>
        </row>
        <row r="3746">
          <cell r="A3746"/>
          <cell r="D3746"/>
          <cell r="E3746"/>
          <cell r="F3746"/>
          <cell r="G3746"/>
          <cell r="H3746"/>
          <cell r="I3746"/>
          <cell r="J3746"/>
          <cell r="L3746"/>
        </row>
        <row r="3747">
          <cell r="A3747"/>
          <cell r="D3747"/>
          <cell r="E3747"/>
          <cell r="F3747"/>
          <cell r="G3747"/>
          <cell r="H3747"/>
          <cell r="I3747"/>
          <cell r="J3747"/>
          <cell r="L3747"/>
        </row>
        <row r="3748">
          <cell r="A3748"/>
          <cell r="D3748"/>
          <cell r="E3748"/>
          <cell r="F3748"/>
          <cell r="G3748"/>
          <cell r="H3748"/>
          <cell r="I3748"/>
          <cell r="J3748"/>
          <cell r="L3748"/>
        </row>
        <row r="3749">
          <cell r="A3749"/>
          <cell r="D3749"/>
          <cell r="E3749"/>
          <cell r="F3749"/>
          <cell r="G3749"/>
          <cell r="H3749"/>
          <cell r="I3749"/>
          <cell r="J3749"/>
          <cell r="L3749"/>
        </row>
        <row r="3750">
          <cell r="A3750"/>
          <cell r="D3750"/>
          <cell r="E3750"/>
          <cell r="F3750"/>
          <cell r="G3750"/>
          <cell r="H3750"/>
          <cell r="I3750"/>
          <cell r="J3750"/>
          <cell r="L3750"/>
        </row>
        <row r="3751">
          <cell r="A3751"/>
          <cell r="D3751"/>
          <cell r="E3751"/>
          <cell r="F3751"/>
          <cell r="G3751"/>
          <cell r="H3751"/>
          <cell r="I3751"/>
          <cell r="J3751"/>
          <cell r="L3751"/>
        </row>
        <row r="3752">
          <cell r="A3752"/>
          <cell r="D3752"/>
          <cell r="E3752"/>
          <cell r="F3752"/>
          <cell r="G3752"/>
          <cell r="H3752"/>
          <cell r="I3752"/>
          <cell r="J3752"/>
          <cell r="L3752"/>
        </row>
        <row r="3753">
          <cell r="A3753"/>
          <cell r="D3753"/>
          <cell r="E3753"/>
          <cell r="F3753"/>
          <cell r="G3753"/>
          <cell r="H3753"/>
          <cell r="I3753"/>
          <cell r="J3753"/>
          <cell r="L3753"/>
        </row>
        <row r="3754">
          <cell r="A3754"/>
          <cell r="D3754"/>
          <cell r="E3754"/>
          <cell r="F3754"/>
          <cell r="G3754"/>
          <cell r="H3754"/>
          <cell r="I3754"/>
          <cell r="J3754"/>
          <cell r="L3754"/>
        </row>
        <row r="3755">
          <cell r="A3755"/>
          <cell r="D3755"/>
          <cell r="E3755"/>
          <cell r="F3755"/>
          <cell r="G3755"/>
          <cell r="H3755"/>
          <cell r="I3755"/>
          <cell r="J3755"/>
          <cell r="L3755"/>
        </row>
        <row r="3756">
          <cell r="A3756"/>
          <cell r="D3756"/>
          <cell r="E3756"/>
          <cell r="F3756"/>
          <cell r="G3756"/>
          <cell r="H3756"/>
          <cell r="I3756"/>
          <cell r="J3756"/>
          <cell r="L3756"/>
        </row>
        <row r="3757">
          <cell r="A3757"/>
          <cell r="D3757"/>
          <cell r="E3757"/>
          <cell r="F3757"/>
          <cell r="G3757"/>
          <cell r="H3757"/>
          <cell r="I3757"/>
          <cell r="J3757"/>
          <cell r="L3757"/>
        </row>
        <row r="3758">
          <cell r="A3758"/>
          <cell r="D3758"/>
          <cell r="E3758"/>
          <cell r="F3758"/>
          <cell r="G3758"/>
          <cell r="H3758"/>
          <cell r="I3758"/>
          <cell r="J3758"/>
          <cell r="L3758"/>
        </row>
        <row r="3759">
          <cell r="A3759"/>
          <cell r="D3759"/>
          <cell r="E3759"/>
          <cell r="F3759"/>
          <cell r="G3759"/>
          <cell r="H3759"/>
          <cell r="I3759"/>
          <cell r="J3759"/>
          <cell r="L3759"/>
        </row>
        <row r="3760">
          <cell r="A3760"/>
          <cell r="D3760"/>
          <cell r="E3760"/>
          <cell r="F3760"/>
          <cell r="G3760"/>
          <cell r="H3760"/>
          <cell r="I3760"/>
          <cell r="J3760"/>
          <cell r="L3760"/>
        </row>
        <row r="3761">
          <cell r="A3761"/>
          <cell r="D3761"/>
          <cell r="E3761"/>
          <cell r="F3761"/>
          <cell r="G3761"/>
          <cell r="H3761"/>
          <cell r="I3761"/>
          <cell r="J3761"/>
          <cell r="L3761"/>
        </row>
        <row r="3762">
          <cell r="A3762"/>
          <cell r="D3762"/>
          <cell r="E3762"/>
          <cell r="F3762"/>
          <cell r="G3762"/>
          <cell r="H3762"/>
          <cell r="I3762"/>
          <cell r="J3762"/>
          <cell r="L3762"/>
        </row>
        <row r="3763">
          <cell r="A3763"/>
          <cell r="D3763"/>
          <cell r="E3763"/>
          <cell r="F3763"/>
          <cell r="G3763"/>
          <cell r="H3763"/>
          <cell r="I3763"/>
          <cell r="J3763"/>
          <cell r="L3763"/>
        </row>
        <row r="3764">
          <cell r="A3764"/>
          <cell r="D3764"/>
          <cell r="E3764"/>
          <cell r="F3764"/>
          <cell r="G3764"/>
          <cell r="H3764"/>
          <cell r="I3764"/>
          <cell r="J3764"/>
          <cell r="L3764"/>
        </row>
        <row r="3765">
          <cell r="A3765"/>
          <cell r="D3765"/>
          <cell r="E3765"/>
          <cell r="F3765"/>
          <cell r="G3765"/>
          <cell r="H3765"/>
          <cell r="I3765"/>
          <cell r="J3765"/>
          <cell r="L3765"/>
        </row>
        <row r="3766">
          <cell r="A3766"/>
          <cell r="D3766"/>
          <cell r="E3766"/>
          <cell r="F3766"/>
          <cell r="G3766"/>
          <cell r="H3766"/>
          <cell r="I3766"/>
          <cell r="J3766"/>
          <cell r="L3766"/>
        </row>
        <row r="3767">
          <cell r="A3767"/>
          <cell r="D3767"/>
          <cell r="E3767"/>
          <cell r="F3767"/>
          <cell r="G3767"/>
          <cell r="H3767"/>
          <cell r="I3767"/>
          <cell r="J3767"/>
          <cell r="L3767"/>
        </row>
        <row r="3768">
          <cell r="A3768"/>
          <cell r="D3768"/>
          <cell r="E3768"/>
          <cell r="F3768"/>
          <cell r="G3768"/>
          <cell r="H3768"/>
          <cell r="I3768"/>
          <cell r="J3768"/>
          <cell r="L3768"/>
        </row>
        <row r="3769">
          <cell r="A3769"/>
          <cell r="D3769"/>
          <cell r="E3769"/>
          <cell r="F3769"/>
          <cell r="G3769"/>
          <cell r="H3769"/>
          <cell r="I3769"/>
          <cell r="J3769"/>
          <cell r="L3769"/>
        </row>
        <row r="3770">
          <cell r="A3770"/>
          <cell r="D3770"/>
          <cell r="E3770"/>
          <cell r="F3770"/>
          <cell r="G3770"/>
          <cell r="H3770"/>
          <cell r="I3770"/>
          <cell r="J3770"/>
          <cell r="L3770"/>
        </row>
        <row r="3771">
          <cell r="A3771"/>
          <cell r="D3771"/>
          <cell r="E3771"/>
          <cell r="F3771"/>
          <cell r="G3771"/>
          <cell r="H3771"/>
          <cell r="I3771"/>
          <cell r="J3771"/>
          <cell r="L3771"/>
        </row>
        <row r="3772">
          <cell r="A3772"/>
          <cell r="D3772"/>
          <cell r="E3772"/>
          <cell r="F3772"/>
          <cell r="G3772"/>
          <cell r="H3772"/>
          <cell r="I3772"/>
          <cell r="J3772"/>
          <cell r="L3772"/>
        </row>
        <row r="3773">
          <cell r="A3773"/>
          <cell r="D3773"/>
          <cell r="E3773"/>
          <cell r="F3773"/>
          <cell r="G3773"/>
          <cell r="H3773"/>
          <cell r="I3773"/>
          <cell r="J3773"/>
          <cell r="L3773"/>
        </row>
        <row r="3774">
          <cell r="A3774"/>
          <cell r="D3774"/>
          <cell r="E3774"/>
          <cell r="F3774"/>
          <cell r="G3774"/>
          <cell r="H3774"/>
          <cell r="I3774"/>
          <cell r="J3774"/>
          <cell r="L3774"/>
        </row>
        <row r="3775">
          <cell r="A3775"/>
          <cell r="D3775"/>
          <cell r="E3775"/>
          <cell r="F3775"/>
          <cell r="G3775"/>
          <cell r="H3775"/>
          <cell r="I3775"/>
          <cell r="J3775"/>
          <cell r="L3775"/>
        </row>
        <row r="3776">
          <cell r="A3776"/>
          <cell r="D3776"/>
          <cell r="E3776"/>
          <cell r="F3776"/>
          <cell r="G3776"/>
          <cell r="H3776"/>
          <cell r="I3776"/>
          <cell r="J3776"/>
          <cell r="L3776"/>
        </row>
        <row r="3777">
          <cell r="A3777"/>
          <cell r="D3777"/>
          <cell r="E3777"/>
          <cell r="F3777"/>
          <cell r="G3777"/>
          <cell r="H3777"/>
          <cell r="I3777"/>
          <cell r="J3777"/>
          <cell r="L3777"/>
        </row>
        <row r="3778">
          <cell r="A3778"/>
          <cell r="D3778"/>
          <cell r="E3778"/>
          <cell r="F3778"/>
          <cell r="G3778"/>
          <cell r="H3778"/>
          <cell r="I3778"/>
          <cell r="J3778"/>
          <cell r="L3778"/>
        </row>
        <row r="3779">
          <cell r="A3779"/>
          <cell r="D3779"/>
          <cell r="E3779"/>
          <cell r="F3779"/>
          <cell r="G3779"/>
          <cell r="H3779"/>
          <cell r="I3779"/>
          <cell r="J3779"/>
          <cell r="L3779"/>
        </row>
        <row r="3780">
          <cell r="A3780"/>
          <cell r="D3780"/>
          <cell r="E3780"/>
          <cell r="F3780"/>
          <cell r="G3780"/>
          <cell r="H3780"/>
          <cell r="I3780"/>
          <cell r="J3780"/>
          <cell r="L3780"/>
        </row>
        <row r="3781">
          <cell r="A3781"/>
          <cell r="D3781"/>
          <cell r="E3781"/>
          <cell r="F3781"/>
          <cell r="G3781"/>
          <cell r="H3781"/>
          <cell r="I3781"/>
          <cell r="J3781"/>
          <cell r="L3781"/>
        </row>
        <row r="3782">
          <cell r="A3782"/>
          <cell r="D3782"/>
          <cell r="E3782"/>
          <cell r="F3782"/>
          <cell r="G3782"/>
          <cell r="H3782"/>
          <cell r="I3782"/>
          <cell r="J3782"/>
          <cell r="L3782"/>
        </row>
        <row r="3783">
          <cell r="A3783"/>
          <cell r="D3783"/>
          <cell r="E3783"/>
          <cell r="F3783"/>
          <cell r="G3783"/>
          <cell r="H3783"/>
          <cell r="I3783"/>
          <cell r="J3783"/>
          <cell r="L3783"/>
        </row>
        <row r="3784">
          <cell r="A3784"/>
          <cell r="D3784"/>
          <cell r="E3784"/>
          <cell r="F3784"/>
          <cell r="G3784"/>
          <cell r="H3784"/>
          <cell r="I3784"/>
          <cell r="J3784"/>
          <cell r="L3784"/>
        </row>
        <row r="3785">
          <cell r="A3785"/>
          <cell r="D3785"/>
          <cell r="E3785"/>
          <cell r="F3785"/>
          <cell r="G3785"/>
          <cell r="H3785"/>
          <cell r="I3785"/>
          <cell r="J3785"/>
          <cell r="L3785"/>
        </row>
        <row r="3786">
          <cell r="A3786"/>
          <cell r="D3786"/>
          <cell r="E3786"/>
          <cell r="F3786"/>
          <cell r="G3786"/>
          <cell r="H3786"/>
          <cell r="I3786"/>
          <cell r="J3786"/>
          <cell r="L3786"/>
        </row>
        <row r="3787">
          <cell r="A3787"/>
          <cell r="D3787"/>
          <cell r="E3787"/>
          <cell r="F3787"/>
          <cell r="G3787"/>
          <cell r="H3787"/>
          <cell r="I3787"/>
          <cell r="J3787"/>
          <cell r="L3787"/>
        </row>
        <row r="3788">
          <cell r="A3788"/>
          <cell r="D3788"/>
          <cell r="E3788"/>
          <cell r="F3788"/>
          <cell r="G3788"/>
          <cell r="H3788"/>
          <cell r="I3788"/>
          <cell r="J3788"/>
          <cell r="L3788"/>
        </row>
        <row r="3789">
          <cell r="A3789"/>
          <cell r="D3789"/>
          <cell r="E3789"/>
          <cell r="F3789"/>
          <cell r="G3789"/>
          <cell r="H3789"/>
          <cell r="I3789"/>
          <cell r="J3789"/>
          <cell r="L3789"/>
        </row>
        <row r="3790">
          <cell r="A3790"/>
          <cell r="D3790"/>
          <cell r="E3790"/>
          <cell r="F3790"/>
          <cell r="G3790"/>
          <cell r="H3790"/>
          <cell r="I3790"/>
          <cell r="J3790"/>
          <cell r="L3790"/>
        </row>
        <row r="3791">
          <cell r="A3791"/>
          <cell r="D3791"/>
          <cell r="E3791"/>
          <cell r="F3791"/>
          <cell r="G3791"/>
          <cell r="H3791"/>
          <cell r="I3791"/>
          <cell r="J3791"/>
          <cell r="L3791"/>
        </row>
        <row r="3792">
          <cell r="A3792"/>
          <cell r="D3792"/>
          <cell r="E3792"/>
          <cell r="F3792"/>
          <cell r="G3792"/>
          <cell r="H3792"/>
          <cell r="I3792"/>
          <cell r="J3792"/>
          <cell r="L3792"/>
        </row>
        <row r="3793">
          <cell r="A3793"/>
          <cell r="D3793"/>
          <cell r="E3793"/>
          <cell r="F3793"/>
          <cell r="G3793"/>
          <cell r="H3793"/>
          <cell r="I3793"/>
          <cell r="J3793"/>
          <cell r="L3793"/>
        </row>
        <row r="3794">
          <cell r="A3794"/>
          <cell r="D3794"/>
          <cell r="E3794"/>
          <cell r="F3794"/>
          <cell r="G3794"/>
          <cell r="H3794"/>
          <cell r="I3794"/>
          <cell r="J3794"/>
          <cell r="L3794"/>
        </row>
        <row r="3795">
          <cell r="A3795"/>
          <cell r="D3795"/>
          <cell r="E3795"/>
          <cell r="F3795"/>
          <cell r="G3795"/>
          <cell r="H3795"/>
          <cell r="I3795"/>
          <cell r="J3795"/>
          <cell r="L3795"/>
        </row>
        <row r="3796">
          <cell r="A3796"/>
          <cell r="D3796"/>
          <cell r="E3796"/>
          <cell r="F3796"/>
          <cell r="G3796"/>
          <cell r="H3796"/>
          <cell r="I3796"/>
          <cell r="J3796"/>
          <cell r="L3796"/>
        </row>
        <row r="3797">
          <cell r="A3797"/>
          <cell r="D3797"/>
          <cell r="E3797"/>
          <cell r="F3797"/>
          <cell r="G3797"/>
          <cell r="H3797"/>
          <cell r="I3797"/>
          <cell r="J3797"/>
          <cell r="L3797"/>
        </row>
        <row r="3798">
          <cell r="A3798"/>
          <cell r="D3798"/>
          <cell r="E3798"/>
          <cell r="F3798"/>
          <cell r="G3798"/>
          <cell r="H3798"/>
          <cell r="I3798"/>
          <cell r="J3798"/>
          <cell r="L3798"/>
        </row>
        <row r="3799">
          <cell r="A3799"/>
          <cell r="D3799"/>
          <cell r="E3799"/>
          <cell r="F3799"/>
          <cell r="G3799"/>
          <cell r="H3799"/>
          <cell r="I3799"/>
          <cell r="J3799"/>
          <cell r="L3799"/>
        </row>
        <row r="3800">
          <cell r="A3800"/>
          <cell r="D3800"/>
          <cell r="E3800"/>
          <cell r="F3800"/>
          <cell r="G3800"/>
          <cell r="H3800"/>
          <cell r="I3800"/>
          <cell r="J3800"/>
          <cell r="L3800"/>
        </row>
        <row r="3801">
          <cell r="A3801"/>
          <cell r="D3801"/>
          <cell r="E3801"/>
          <cell r="F3801"/>
          <cell r="G3801"/>
          <cell r="H3801"/>
          <cell r="I3801"/>
          <cell r="J3801"/>
          <cell r="L3801"/>
        </row>
        <row r="3802">
          <cell r="A3802"/>
          <cell r="D3802"/>
          <cell r="E3802"/>
          <cell r="F3802"/>
          <cell r="G3802"/>
          <cell r="H3802"/>
          <cell r="I3802"/>
          <cell r="J3802"/>
          <cell r="L3802"/>
        </row>
        <row r="3803">
          <cell r="A3803"/>
          <cell r="D3803"/>
          <cell r="E3803"/>
          <cell r="F3803"/>
          <cell r="G3803"/>
          <cell r="H3803"/>
          <cell r="I3803"/>
          <cell r="J3803"/>
          <cell r="L3803"/>
        </row>
        <row r="3804">
          <cell r="A3804"/>
          <cell r="D3804"/>
          <cell r="E3804"/>
          <cell r="F3804"/>
          <cell r="G3804"/>
          <cell r="H3804"/>
          <cell r="I3804"/>
          <cell r="J3804"/>
          <cell r="L3804"/>
        </row>
        <row r="3805">
          <cell r="A3805"/>
          <cell r="D3805"/>
          <cell r="E3805"/>
          <cell r="F3805"/>
          <cell r="G3805"/>
          <cell r="H3805"/>
          <cell r="I3805"/>
          <cell r="J3805"/>
          <cell r="L3805"/>
        </row>
        <row r="3806">
          <cell r="A3806"/>
          <cell r="D3806"/>
          <cell r="E3806"/>
          <cell r="F3806"/>
          <cell r="G3806"/>
          <cell r="H3806"/>
          <cell r="I3806"/>
          <cell r="J3806"/>
          <cell r="L3806"/>
        </row>
        <row r="3807">
          <cell r="A3807"/>
          <cell r="D3807"/>
          <cell r="E3807"/>
          <cell r="F3807"/>
          <cell r="G3807"/>
          <cell r="H3807"/>
          <cell r="I3807"/>
          <cell r="J3807"/>
          <cell r="L3807"/>
        </row>
        <row r="3808">
          <cell r="A3808"/>
          <cell r="D3808"/>
          <cell r="E3808"/>
          <cell r="F3808"/>
          <cell r="G3808"/>
          <cell r="H3808"/>
          <cell r="I3808"/>
          <cell r="J3808"/>
          <cell r="L3808"/>
        </row>
        <row r="3809">
          <cell r="A3809"/>
          <cell r="D3809"/>
          <cell r="E3809"/>
          <cell r="F3809"/>
          <cell r="G3809"/>
          <cell r="H3809"/>
          <cell r="I3809"/>
          <cell r="J3809"/>
          <cell r="L3809"/>
        </row>
        <row r="3810">
          <cell r="A3810"/>
          <cell r="D3810"/>
          <cell r="E3810"/>
          <cell r="F3810"/>
          <cell r="G3810"/>
          <cell r="H3810"/>
          <cell r="I3810"/>
          <cell r="J3810"/>
          <cell r="L3810"/>
        </row>
        <row r="3811">
          <cell r="A3811"/>
          <cell r="D3811"/>
          <cell r="E3811"/>
          <cell r="F3811"/>
          <cell r="G3811"/>
          <cell r="H3811"/>
          <cell r="I3811"/>
          <cell r="J3811"/>
          <cell r="L3811"/>
        </row>
        <row r="3812">
          <cell r="A3812"/>
          <cell r="D3812"/>
          <cell r="E3812"/>
          <cell r="F3812"/>
          <cell r="G3812"/>
          <cell r="H3812"/>
          <cell r="I3812"/>
          <cell r="J3812"/>
          <cell r="L3812"/>
        </row>
        <row r="3813">
          <cell r="A3813"/>
          <cell r="D3813"/>
          <cell r="E3813"/>
          <cell r="F3813"/>
          <cell r="G3813"/>
          <cell r="H3813"/>
          <cell r="I3813"/>
          <cell r="J3813"/>
          <cell r="L3813"/>
        </row>
        <row r="3814">
          <cell r="A3814"/>
          <cell r="D3814"/>
          <cell r="E3814"/>
          <cell r="F3814"/>
          <cell r="G3814"/>
          <cell r="H3814"/>
          <cell r="I3814"/>
          <cell r="J3814"/>
          <cell r="L3814"/>
        </row>
        <row r="3815">
          <cell r="A3815"/>
          <cell r="D3815"/>
          <cell r="E3815"/>
          <cell r="F3815"/>
          <cell r="G3815"/>
          <cell r="H3815"/>
          <cell r="I3815"/>
          <cell r="J3815"/>
          <cell r="L3815"/>
        </row>
        <row r="3816">
          <cell r="A3816"/>
          <cell r="D3816"/>
          <cell r="E3816"/>
          <cell r="F3816"/>
          <cell r="G3816"/>
          <cell r="H3816"/>
          <cell r="I3816"/>
          <cell r="J3816"/>
          <cell r="L3816"/>
        </row>
        <row r="3817">
          <cell r="A3817"/>
          <cell r="D3817"/>
          <cell r="E3817"/>
          <cell r="F3817"/>
          <cell r="G3817"/>
          <cell r="H3817"/>
          <cell r="I3817"/>
          <cell r="J3817"/>
          <cell r="L3817"/>
        </row>
        <row r="3818">
          <cell r="A3818"/>
          <cell r="D3818"/>
          <cell r="E3818"/>
          <cell r="F3818"/>
          <cell r="G3818"/>
          <cell r="H3818"/>
          <cell r="I3818"/>
          <cell r="J3818"/>
          <cell r="L3818"/>
        </row>
        <row r="3819">
          <cell r="A3819"/>
          <cell r="D3819"/>
          <cell r="E3819"/>
          <cell r="F3819"/>
          <cell r="G3819"/>
          <cell r="H3819"/>
          <cell r="I3819"/>
          <cell r="J3819"/>
          <cell r="L3819"/>
        </row>
        <row r="3820">
          <cell r="A3820"/>
          <cell r="D3820"/>
          <cell r="E3820"/>
          <cell r="F3820"/>
          <cell r="G3820"/>
          <cell r="H3820"/>
          <cell r="I3820"/>
          <cell r="J3820"/>
          <cell r="L3820"/>
        </row>
        <row r="3821">
          <cell r="A3821"/>
          <cell r="D3821"/>
          <cell r="E3821"/>
          <cell r="F3821"/>
          <cell r="G3821"/>
          <cell r="H3821"/>
          <cell r="I3821"/>
          <cell r="J3821"/>
          <cell r="L3821"/>
        </row>
        <row r="3822">
          <cell r="A3822"/>
          <cell r="D3822"/>
          <cell r="E3822"/>
          <cell r="F3822"/>
          <cell r="G3822"/>
          <cell r="H3822"/>
          <cell r="I3822"/>
          <cell r="J3822"/>
          <cell r="L3822"/>
        </row>
        <row r="3823">
          <cell r="A3823"/>
          <cell r="D3823"/>
          <cell r="E3823"/>
          <cell r="F3823"/>
          <cell r="G3823"/>
          <cell r="H3823"/>
          <cell r="I3823"/>
          <cell r="J3823"/>
          <cell r="L3823"/>
        </row>
        <row r="3824">
          <cell r="A3824"/>
          <cell r="D3824"/>
          <cell r="E3824"/>
          <cell r="F3824"/>
          <cell r="G3824"/>
          <cell r="H3824"/>
          <cell r="I3824"/>
          <cell r="J3824"/>
          <cell r="L3824"/>
        </row>
        <row r="3825">
          <cell r="A3825"/>
          <cell r="D3825"/>
          <cell r="E3825"/>
          <cell r="F3825"/>
          <cell r="G3825"/>
          <cell r="H3825"/>
          <cell r="I3825"/>
          <cell r="J3825"/>
          <cell r="L3825"/>
        </row>
        <row r="3826">
          <cell r="A3826"/>
          <cell r="D3826"/>
          <cell r="E3826"/>
          <cell r="F3826"/>
          <cell r="G3826"/>
          <cell r="H3826"/>
          <cell r="I3826"/>
          <cell r="J3826"/>
          <cell r="L3826"/>
        </row>
        <row r="3827">
          <cell r="A3827"/>
          <cell r="D3827"/>
          <cell r="E3827"/>
          <cell r="F3827"/>
          <cell r="G3827"/>
          <cell r="H3827"/>
          <cell r="I3827"/>
          <cell r="J3827"/>
          <cell r="L3827"/>
        </row>
        <row r="3828">
          <cell r="A3828"/>
          <cell r="D3828"/>
          <cell r="E3828"/>
          <cell r="F3828"/>
          <cell r="G3828"/>
          <cell r="H3828"/>
          <cell r="I3828"/>
          <cell r="J3828"/>
          <cell r="L3828"/>
        </row>
        <row r="3829">
          <cell r="A3829"/>
          <cell r="D3829"/>
          <cell r="E3829"/>
          <cell r="F3829"/>
          <cell r="G3829"/>
          <cell r="H3829"/>
          <cell r="I3829"/>
          <cell r="J3829"/>
          <cell r="L3829"/>
        </row>
        <row r="3830">
          <cell r="A3830"/>
          <cell r="D3830"/>
          <cell r="E3830"/>
          <cell r="F3830"/>
          <cell r="G3830"/>
          <cell r="H3830"/>
          <cell r="I3830"/>
          <cell r="J3830"/>
          <cell r="L3830"/>
        </row>
        <row r="3831">
          <cell r="A3831"/>
          <cell r="D3831"/>
          <cell r="E3831"/>
          <cell r="F3831"/>
          <cell r="G3831"/>
          <cell r="H3831"/>
          <cell r="I3831"/>
          <cell r="J3831"/>
          <cell r="L3831"/>
        </row>
        <row r="3832">
          <cell r="A3832"/>
          <cell r="D3832"/>
          <cell r="E3832"/>
          <cell r="F3832"/>
          <cell r="G3832"/>
          <cell r="H3832"/>
          <cell r="I3832"/>
          <cell r="J3832"/>
          <cell r="L3832"/>
        </row>
        <row r="3833">
          <cell r="A3833"/>
          <cell r="D3833"/>
          <cell r="E3833"/>
          <cell r="F3833"/>
          <cell r="G3833"/>
          <cell r="H3833"/>
          <cell r="I3833"/>
          <cell r="J3833"/>
          <cell r="L3833"/>
        </row>
        <row r="3834">
          <cell r="A3834"/>
          <cell r="D3834"/>
          <cell r="E3834"/>
          <cell r="F3834"/>
          <cell r="G3834"/>
          <cell r="H3834"/>
          <cell r="I3834"/>
          <cell r="J3834"/>
          <cell r="L3834"/>
        </row>
        <row r="3835">
          <cell r="A3835"/>
          <cell r="D3835"/>
          <cell r="E3835"/>
          <cell r="F3835"/>
          <cell r="G3835"/>
          <cell r="H3835"/>
          <cell r="I3835"/>
          <cell r="J3835"/>
          <cell r="L3835"/>
        </row>
        <row r="3836">
          <cell r="A3836"/>
          <cell r="D3836"/>
          <cell r="E3836"/>
          <cell r="F3836"/>
          <cell r="G3836"/>
          <cell r="H3836"/>
          <cell r="I3836"/>
          <cell r="J3836"/>
          <cell r="L3836"/>
        </row>
        <row r="3837">
          <cell r="A3837"/>
          <cell r="D3837"/>
          <cell r="E3837"/>
          <cell r="F3837"/>
          <cell r="G3837"/>
          <cell r="H3837"/>
          <cell r="I3837"/>
          <cell r="J3837"/>
          <cell r="L3837"/>
        </row>
        <row r="3838">
          <cell r="A3838"/>
          <cell r="D3838"/>
          <cell r="E3838"/>
          <cell r="F3838"/>
          <cell r="G3838"/>
          <cell r="H3838"/>
          <cell r="I3838"/>
          <cell r="J3838"/>
          <cell r="L3838"/>
        </row>
        <row r="3839">
          <cell r="A3839"/>
          <cell r="D3839"/>
          <cell r="E3839"/>
          <cell r="F3839"/>
          <cell r="G3839"/>
          <cell r="H3839"/>
          <cell r="I3839"/>
          <cell r="J3839"/>
          <cell r="L3839"/>
        </row>
        <row r="3840">
          <cell r="A3840"/>
          <cell r="D3840"/>
          <cell r="E3840"/>
          <cell r="F3840"/>
          <cell r="G3840"/>
          <cell r="H3840"/>
          <cell r="I3840"/>
          <cell r="J3840"/>
          <cell r="L3840"/>
        </row>
        <row r="3841">
          <cell r="A3841"/>
          <cell r="D3841"/>
          <cell r="E3841"/>
          <cell r="F3841"/>
          <cell r="G3841"/>
          <cell r="H3841"/>
          <cell r="I3841"/>
          <cell r="J3841"/>
          <cell r="L3841"/>
        </row>
        <row r="3842">
          <cell r="A3842"/>
          <cell r="D3842"/>
          <cell r="E3842"/>
          <cell r="F3842"/>
          <cell r="G3842"/>
          <cell r="H3842"/>
          <cell r="I3842"/>
          <cell r="J3842"/>
          <cell r="L3842"/>
        </row>
        <row r="3843">
          <cell r="A3843"/>
          <cell r="D3843"/>
          <cell r="E3843"/>
          <cell r="F3843"/>
          <cell r="G3843"/>
          <cell r="H3843"/>
          <cell r="I3843"/>
          <cell r="J3843"/>
          <cell r="L3843"/>
        </row>
        <row r="3844">
          <cell r="A3844"/>
          <cell r="D3844"/>
          <cell r="E3844"/>
          <cell r="F3844"/>
          <cell r="G3844"/>
          <cell r="H3844"/>
          <cell r="I3844"/>
          <cell r="J3844"/>
          <cell r="L3844"/>
        </row>
        <row r="3845">
          <cell r="A3845"/>
          <cell r="D3845"/>
          <cell r="E3845"/>
          <cell r="F3845"/>
          <cell r="G3845"/>
          <cell r="H3845"/>
          <cell r="I3845"/>
          <cell r="J3845"/>
          <cell r="L3845"/>
        </row>
        <row r="3846">
          <cell r="A3846"/>
          <cell r="D3846"/>
          <cell r="E3846"/>
          <cell r="F3846"/>
          <cell r="G3846"/>
          <cell r="H3846"/>
          <cell r="I3846"/>
          <cell r="J3846"/>
          <cell r="L3846"/>
        </row>
        <row r="3847">
          <cell r="A3847"/>
          <cell r="D3847"/>
          <cell r="E3847"/>
          <cell r="F3847"/>
          <cell r="G3847"/>
          <cell r="H3847"/>
          <cell r="I3847"/>
          <cell r="J3847"/>
          <cell r="L3847"/>
        </row>
        <row r="3848">
          <cell r="A3848"/>
          <cell r="D3848"/>
          <cell r="E3848"/>
          <cell r="F3848"/>
          <cell r="G3848"/>
          <cell r="H3848"/>
          <cell r="I3848"/>
          <cell r="J3848"/>
          <cell r="L3848"/>
        </row>
        <row r="3849">
          <cell r="A3849"/>
          <cell r="D3849"/>
          <cell r="E3849"/>
          <cell r="F3849"/>
          <cell r="G3849"/>
          <cell r="H3849"/>
          <cell r="I3849"/>
          <cell r="J3849"/>
          <cell r="L3849"/>
        </row>
        <row r="3850">
          <cell r="A3850"/>
          <cell r="D3850"/>
          <cell r="E3850"/>
          <cell r="F3850"/>
          <cell r="G3850"/>
          <cell r="H3850"/>
          <cell r="I3850"/>
          <cell r="J3850"/>
          <cell r="L3850"/>
        </row>
        <row r="3851">
          <cell r="A3851"/>
          <cell r="D3851"/>
          <cell r="E3851"/>
          <cell r="F3851"/>
          <cell r="G3851"/>
          <cell r="H3851"/>
          <cell r="I3851"/>
          <cell r="J3851"/>
          <cell r="L3851"/>
        </row>
        <row r="3852">
          <cell r="A3852"/>
          <cell r="D3852"/>
          <cell r="E3852"/>
          <cell r="F3852"/>
          <cell r="G3852"/>
          <cell r="H3852"/>
          <cell r="I3852"/>
          <cell r="J3852"/>
          <cell r="L3852"/>
        </row>
        <row r="3853">
          <cell r="A3853"/>
          <cell r="D3853"/>
          <cell r="E3853"/>
          <cell r="F3853"/>
          <cell r="G3853"/>
          <cell r="H3853"/>
          <cell r="I3853"/>
          <cell r="J3853"/>
          <cell r="L3853"/>
        </row>
        <row r="3854">
          <cell r="A3854"/>
          <cell r="D3854"/>
          <cell r="E3854"/>
          <cell r="F3854"/>
          <cell r="G3854"/>
          <cell r="H3854"/>
          <cell r="I3854"/>
          <cell r="J3854"/>
          <cell r="L3854"/>
        </row>
        <row r="3855">
          <cell r="A3855"/>
          <cell r="D3855"/>
          <cell r="E3855"/>
          <cell r="F3855"/>
          <cell r="G3855"/>
          <cell r="H3855"/>
          <cell r="I3855"/>
          <cell r="J3855"/>
          <cell r="L3855"/>
        </row>
        <row r="3856">
          <cell r="A3856"/>
          <cell r="D3856"/>
          <cell r="E3856"/>
          <cell r="F3856"/>
          <cell r="G3856"/>
          <cell r="H3856"/>
          <cell r="I3856"/>
          <cell r="J3856"/>
          <cell r="L3856"/>
        </row>
        <row r="3857">
          <cell r="A3857"/>
          <cell r="D3857"/>
          <cell r="E3857"/>
          <cell r="F3857"/>
          <cell r="G3857"/>
          <cell r="H3857"/>
          <cell r="I3857"/>
          <cell r="J3857"/>
          <cell r="L3857"/>
        </row>
        <row r="3858">
          <cell r="A3858"/>
          <cell r="D3858"/>
          <cell r="E3858"/>
          <cell r="F3858"/>
          <cell r="G3858"/>
          <cell r="H3858"/>
          <cell r="I3858"/>
          <cell r="J3858"/>
          <cell r="L3858"/>
        </row>
        <row r="3859">
          <cell r="A3859"/>
          <cell r="D3859"/>
          <cell r="E3859"/>
          <cell r="F3859"/>
          <cell r="G3859"/>
          <cell r="H3859"/>
          <cell r="I3859"/>
          <cell r="J3859"/>
          <cell r="L3859"/>
        </row>
        <row r="3860">
          <cell r="A3860"/>
          <cell r="D3860"/>
          <cell r="E3860"/>
          <cell r="F3860"/>
          <cell r="G3860"/>
          <cell r="H3860"/>
          <cell r="I3860"/>
          <cell r="J3860"/>
          <cell r="L3860"/>
        </row>
        <row r="3861">
          <cell r="A3861"/>
          <cell r="D3861"/>
          <cell r="E3861"/>
          <cell r="F3861"/>
          <cell r="G3861"/>
          <cell r="H3861"/>
          <cell r="I3861"/>
          <cell r="J3861"/>
          <cell r="L3861"/>
        </row>
        <row r="3862">
          <cell r="A3862"/>
          <cell r="D3862"/>
          <cell r="E3862"/>
          <cell r="F3862"/>
          <cell r="G3862"/>
          <cell r="H3862"/>
          <cell r="I3862"/>
          <cell r="J3862"/>
          <cell r="L3862"/>
        </row>
        <row r="3863">
          <cell r="A3863"/>
          <cell r="D3863"/>
          <cell r="E3863"/>
          <cell r="F3863"/>
          <cell r="G3863"/>
          <cell r="H3863"/>
          <cell r="I3863"/>
          <cell r="J3863"/>
          <cell r="L3863"/>
        </row>
        <row r="3864">
          <cell r="A3864"/>
          <cell r="D3864"/>
          <cell r="E3864"/>
          <cell r="F3864"/>
          <cell r="G3864"/>
          <cell r="H3864"/>
          <cell r="I3864"/>
          <cell r="J3864"/>
          <cell r="L3864"/>
        </row>
        <row r="3865">
          <cell r="A3865"/>
          <cell r="D3865"/>
          <cell r="E3865"/>
          <cell r="F3865"/>
          <cell r="G3865"/>
          <cell r="H3865"/>
          <cell r="I3865"/>
          <cell r="J3865"/>
          <cell r="L3865"/>
        </row>
        <row r="3866">
          <cell r="A3866"/>
          <cell r="D3866"/>
          <cell r="E3866"/>
          <cell r="F3866"/>
          <cell r="G3866"/>
          <cell r="H3866"/>
          <cell r="I3866"/>
          <cell r="J3866"/>
          <cell r="L3866"/>
        </row>
        <row r="3867">
          <cell r="A3867"/>
          <cell r="D3867"/>
          <cell r="E3867"/>
          <cell r="F3867"/>
          <cell r="G3867"/>
          <cell r="H3867"/>
          <cell r="I3867"/>
          <cell r="J3867"/>
          <cell r="L3867"/>
        </row>
        <row r="3868">
          <cell r="A3868"/>
          <cell r="D3868"/>
          <cell r="E3868"/>
          <cell r="F3868"/>
          <cell r="G3868"/>
          <cell r="H3868"/>
          <cell r="I3868"/>
          <cell r="J3868"/>
          <cell r="L3868"/>
        </row>
        <row r="3869">
          <cell r="A3869"/>
          <cell r="D3869"/>
          <cell r="E3869"/>
          <cell r="F3869"/>
          <cell r="G3869"/>
          <cell r="H3869"/>
          <cell r="I3869"/>
          <cell r="J3869"/>
          <cell r="L3869"/>
        </row>
        <row r="3870">
          <cell r="A3870"/>
          <cell r="D3870"/>
          <cell r="E3870"/>
          <cell r="F3870"/>
          <cell r="G3870"/>
          <cell r="H3870"/>
          <cell r="I3870"/>
          <cell r="J3870"/>
          <cell r="L3870"/>
        </row>
        <row r="3871">
          <cell r="A3871"/>
          <cell r="D3871"/>
          <cell r="E3871"/>
          <cell r="F3871"/>
          <cell r="G3871"/>
          <cell r="H3871"/>
          <cell r="I3871"/>
          <cell r="J3871"/>
          <cell r="L3871"/>
        </row>
        <row r="3872">
          <cell r="A3872"/>
          <cell r="D3872"/>
          <cell r="E3872"/>
          <cell r="F3872"/>
          <cell r="G3872"/>
          <cell r="H3872"/>
          <cell r="I3872"/>
          <cell r="J3872"/>
          <cell r="L3872"/>
        </row>
        <row r="3873">
          <cell r="A3873"/>
          <cell r="D3873"/>
          <cell r="E3873"/>
          <cell r="F3873"/>
          <cell r="G3873"/>
          <cell r="H3873"/>
          <cell r="I3873"/>
          <cell r="J3873"/>
          <cell r="L3873"/>
        </row>
        <row r="3874">
          <cell r="A3874"/>
          <cell r="D3874"/>
          <cell r="E3874"/>
          <cell r="F3874"/>
          <cell r="G3874"/>
          <cell r="H3874"/>
          <cell r="I3874"/>
          <cell r="J3874"/>
          <cell r="L3874"/>
        </row>
        <row r="3875">
          <cell r="A3875"/>
          <cell r="D3875"/>
          <cell r="E3875"/>
          <cell r="F3875"/>
          <cell r="G3875"/>
          <cell r="H3875"/>
          <cell r="I3875"/>
          <cell r="J3875"/>
          <cell r="L3875"/>
        </row>
        <row r="3876">
          <cell r="A3876"/>
          <cell r="D3876"/>
          <cell r="E3876"/>
          <cell r="F3876"/>
          <cell r="G3876"/>
          <cell r="H3876"/>
          <cell r="I3876"/>
          <cell r="J3876"/>
          <cell r="L3876"/>
        </row>
        <row r="3877">
          <cell r="A3877"/>
          <cell r="D3877"/>
          <cell r="E3877"/>
          <cell r="F3877"/>
          <cell r="G3877"/>
          <cell r="H3877"/>
          <cell r="I3877"/>
          <cell r="J3877"/>
          <cell r="L3877"/>
        </row>
        <row r="3878">
          <cell r="A3878"/>
          <cell r="D3878"/>
          <cell r="E3878"/>
          <cell r="F3878"/>
          <cell r="G3878"/>
          <cell r="H3878"/>
          <cell r="I3878"/>
          <cell r="J3878"/>
          <cell r="L3878"/>
        </row>
        <row r="3879">
          <cell r="A3879"/>
          <cell r="D3879"/>
          <cell r="E3879"/>
          <cell r="F3879"/>
          <cell r="G3879"/>
          <cell r="H3879"/>
          <cell r="I3879"/>
          <cell r="J3879"/>
          <cell r="L3879"/>
        </row>
        <row r="3880">
          <cell r="A3880"/>
          <cell r="D3880"/>
          <cell r="E3880"/>
          <cell r="F3880"/>
          <cell r="G3880"/>
          <cell r="H3880"/>
          <cell r="I3880"/>
          <cell r="J3880"/>
          <cell r="L3880"/>
        </row>
        <row r="3881">
          <cell r="A3881"/>
          <cell r="D3881"/>
          <cell r="E3881"/>
          <cell r="F3881"/>
          <cell r="G3881"/>
          <cell r="H3881"/>
          <cell r="I3881"/>
          <cell r="J3881"/>
          <cell r="L3881"/>
        </row>
        <row r="3882">
          <cell r="A3882"/>
          <cell r="D3882"/>
          <cell r="E3882"/>
          <cell r="F3882"/>
          <cell r="G3882"/>
          <cell r="H3882"/>
          <cell r="I3882"/>
          <cell r="J3882"/>
          <cell r="L3882"/>
        </row>
        <row r="3883">
          <cell r="A3883"/>
          <cell r="D3883"/>
          <cell r="E3883"/>
          <cell r="F3883"/>
          <cell r="G3883"/>
          <cell r="H3883"/>
          <cell r="I3883"/>
          <cell r="J3883"/>
          <cell r="L3883"/>
        </row>
        <row r="3884">
          <cell r="A3884"/>
          <cell r="D3884"/>
          <cell r="E3884"/>
          <cell r="F3884"/>
          <cell r="G3884"/>
          <cell r="H3884"/>
          <cell r="I3884"/>
          <cell r="J3884"/>
          <cell r="L3884"/>
        </row>
        <row r="3885">
          <cell r="A3885"/>
          <cell r="D3885"/>
          <cell r="E3885"/>
          <cell r="F3885"/>
          <cell r="G3885"/>
          <cell r="H3885"/>
          <cell r="I3885"/>
          <cell r="J3885"/>
          <cell r="L3885"/>
        </row>
        <row r="3886">
          <cell r="A3886"/>
          <cell r="D3886"/>
          <cell r="E3886"/>
          <cell r="F3886"/>
          <cell r="G3886"/>
          <cell r="H3886"/>
          <cell r="I3886"/>
          <cell r="J3886"/>
          <cell r="L3886"/>
        </row>
        <row r="3887">
          <cell r="A3887"/>
          <cell r="D3887"/>
          <cell r="E3887"/>
          <cell r="F3887"/>
          <cell r="G3887"/>
          <cell r="H3887"/>
          <cell r="I3887"/>
          <cell r="J3887"/>
          <cell r="L3887"/>
        </row>
        <row r="3888">
          <cell r="A3888"/>
          <cell r="D3888"/>
          <cell r="E3888"/>
          <cell r="F3888"/>
          <cell r="G3888"/>
          <cell r="H3888"/>
          <cell r="I3888"/>
          <cell r="J3888"/>
          <cell r="L3888"/>
        </row>
        <row r="3889">
          <cell r="A3889"/>
          <cell r="D3889"/>
          <cell r="E3889"/>
          <cell r="F3889"/>
          <cell r="G3889"/>
          <cell r="H3889"/>
          <cell r="I3889"/>
          <cell r="J3889"/>
          <cell r="L3889"/>
        </row>
        <row r="3890">
          <cell r="A3890"/>
          <cell r="D3890"/>
          <cell r="E3890"/>
          <cell r="F3890"/>
          <cell r="G3890"/>
          <cell r="H3890"/>
          <cell r="I3890"/>
          <cell r="J3890"/>
          <cell r="L3890"/>
        </row>
        <row r="3891">
          <cell r="A3891"/>
          <cell r="D3891"/>
          <cell r="E3891"/>
          <cell r="F3891"/>
          <cell r="G3891"/>
          <cell r="H3891"/>
          <cell r="I3891"/>
          <cell r="J3891"/>
          <cell r="L3891"/>
        </row>
        <row r="3892">
          <cell r="A3892"/>
          <cell r="D3892"/>
          <cell r="E3892"/>
          <cell r="F3892"/>
          <cell r="G3892"/>
          <cell r="H3892"/>
          <cell r="I3892"/>
          <cell r="J3892"/>
          <cell r="L3892"/>
        </row>
        <row r="3893">
          <cell r="A3893"/>
          <cell r="D3893"/>
          <cell r="E3893"/>
          <cell r="F3893"/>
          <cell r="G3893"/>
          <cell r="H3893"/>
          <cell r="I3893"/>
          <cell r="J3893"/>
          <cell r="L3893"/>
        </row>
        <row r="3894">
          <cell r="A3894"/>
          <cell r="D3894"/>
          <cell r="E3894"/>
          <cell r="F3894"/>
          <cell r="G3894"/>
          <cell r="H3894"/>
          <cell r="I3894"/>
          <cell r="J3894"/>
          <cell r="L3894"/>
        </row>
        <row r="3895">
          <cell r="A3895"/>
          <cell r="D3895"/>
          <cell r="E3895"/>
          <cell r="F3895"/>
          <cell r="G3895"/>
          <cell r="H3895"/>
          <cell r="I3895"/>
          <cell r="J3895"/>
          <cell r="L3895"/>
        </row>
        <row r="3896">
          <cell r="A3896"/>
          <cell r="D3896"/>
          <cell r="E3896"/>
          <cell r="F3896"/>
          <cell r="G3896"/>
          <cell r="H3896"/>
          <cell r="I3896"/>
          <cell r="J3896"/>
          <cell r="L3896"/>
        </row>
        <row r="3897">
          <cell r="A3897"/>
          <cell r="D3897"/>
          <cell r="E3897"/>
          <cell r="F3897"/>
          <cell r="G3897"/>
          <cell r="H3897"/>
          <cell r="I3897"/>
          <cell r="J3897"/>
          <cell r="L3897"/>
        </row>
        <row r="3898">
          <cell r="A3898"/>
          <cell r="D3898"/>
          <cell r="E3898"/>
          <cell r="F3898"/>
          <cell r="G3898"/>
          <cell r="H3898"/>
          <cell r="I3898"/>
          <cell r="J3898"/>
          <cell r="L3898"/>
        </row>
        <row r="3899">
          <cell r="A3899"/>
          <cell r="D3899"/>
          <cell r="E3899"/>
          <cell r="F3899"/>
          <cell r="G3899"/>
          <cell r="H3899"/>
          <cell r="I3899"/>
          <cell r="J3899"/>
          <cell r="L3899"/>
        </row>
        <row r="3900">
          <cell r="A3900"/>
          <cell r="D3900"/>
          <cell r="E3900"/>
          <cell r="F3900"/>
          <cell r="G3900"/>
          <cell r="H3900"/>
          <cell r="I3900"/>
          <cell r="J3900"/>
          <cell r="L3900"/>
        </row>
        <row r="3901">
          <cell r="A3901"/>
          <cell r="D3901"/>
          <cell r="E3901"/>
          <cell r="F3901"/>
          <cell r="G3901"/>
          <cell r="H3901"/>
          <cell r="I3901"/>
          <cell r="J3901"/>
          <cell r="L3901"/>
        </row>
        <row r="3902">
          <cell r="A3902"/>
          <cell r="D3902"/>
          <cell r="E3902"/>
          <cell r="F3902"/>
          <cell r="G3902"/>
          <cell r="H3902"/>
          <cell r="I3902"/>
          <cell r="J3902"/>
          <cell r="L3902"/>
        </row>
        <row r="3903">
          <cell r="A3903"/>
          <cell r="D3903"/>
          <cell r="E3903"/>
          <cell r="F3903"/>
          <cell r="G3903"/>
          <cell r="H3903"/>
          <cell r="I3903"/>
          <cell r="J3903"/>
          <cell r="L3903"/>
        </row>
        <row r="3904">
          <cell r="A3904"/>
          <cell r="D3904"/>
          <cell r="E3904"/>
          <cell r="F3904"/>
          <cell r="G3904"/>
          <cell r="H3904"/>
          <cell r="I3904"/>
          <cell r="J3904"/>
          <cell r="L3904"/>
        </row>
        <row r="3905">
          <cell r="A3905"/>
          <cell r="D3905"/>
          <cell r="E3905"/>
          <cell r="F3905"/>
          <cell r="G3905"/>
          <cell r="H3905"/>
          <cell r="I3905"/>
          <cell r="J3905"/>
          <cell r="L3905"/>
        </row>
        <row r="3906">
          <cell r="A3906"/>
          <cell r="D3906"/>
          <cell r="E3906"/>
          <cell r="F3906"/>
          <cell r="G3906"/>
          <cell r="H3906"/>
          <cell r="I3906"/>
          <cell r="J3906"/>
          <cell r="L3906"/>
        </row>
        <row r="3907">
          <cell r="A3907"/>
          <cell r="D3907"/>
          <cell r="E3907"/>
          <cell r="F3907"/>
          <cell r="G3907"/>
          <cell r="H3907"/>
          <cell r="I3907"/>
          <cell r="J3907"/>
          <cell r="L3907"/>
        </row>
        <row r="3908">
          <cell r="A3908"/>
          <cell r="D3908"/>
          <cell r="E3908"/>
          <cell r="F3908"/>
          <cell r="G3908"/>
          <cell r="H3908"/>
          <cell r="I3908"/>
          <cell r="J3908"/>
          <cell r="L3908"/>
        </row>
        <row r="3909">
          <cell r="A3909"/>
          <cell r="D3909"/>
          <cell r="E3909"/>
          <cell r="F3909"/>
          <cell r="G3909"/>
          <cell r="H3909"/>
          <cell r="I3909"/>
          <cell r="J3909"/>
          <cell r="L3909"/>
        </row>
        <row r="3910">
          <cell r="A3910"/>
          <cell r="D3910"/>
          <cell r="E3910"/>
          <cell r="F3910"/>
          <cell r="G3910"/>
          <cell r="H3910"/>
          <cell r="I3910"/>
          <cell r="J3910"/>
          <cell r="L3910"/>
        </row>
        <row r="3911">
          <cell r="A3911"/>
          <cell r="D3911"/>
          <cell r="E3911"/>
          <cell r="F3911"/>
          <cell r="G3911"/>
          <cell r="H3911"/>
          <cell r="I3911"/>
          <cell r="J3911"/>
          <cell r="L3911"/>
        </row>
        <row r="3912">
          <cell r="A3912"/>
          <cell r="D3912"/>
          <cell r="E3912"/>
          <cell r="F3912"/>
          <cell r="G3912"/>
          <cell r="H3912"/>
          <cell r="I3912"/>
          <cell r="J3912"/>
          <cell r="L3912"/>
        </row>
        <row r="3913">
          <cell r="A3913"/>
          <cell r="D3913"/>
          <cell r="E3913"/>
          <cell r="F3913"/>
          <cell r="G3913"/>
          <cell r="H3913"/>
          <cell r="I3913"/>
          <cell r="J3913"/>
          <cell r="L3913"/>
        </row>
        <row r="3914">
          <cell r="A3914"/>
          <cell r="D3914"/>
          <cell r="E3914"/>
          <cell r="F3914"/>
          <cell r="G3914"/>
          <cell r="H3914"/>
          <cell r="I3914"/>
          <cell r="J3914"/>
          <cell r="L3914"/>
        </row>
        <row r="3915">
          <cell r="A3915"/>
          <cell r="D3915"/>
          <cell r="E3915"/>
          <cell r="F3915"/>
          <cell r="G3915"/>
          <cell r="H3915"/>
          <cell r="I3915"/>
          <cell r="J3915"/>
          <cell r="L3915"/>
        </row>
        <row r="3916">
          <cell r="A3916"/>
          <cell r="D3916"/>
          <cell r="E3916"/>
          <cell r="F3916"/>
          <cell r="G3916"/>
          <cell r="H3916"/>
          <cell r="I3916"/>
          <cell r="J3916"/>
          <cell r="L3916"/>
        </row>
        <row r="3917">
          <cell r="A3917"/>
          <cell r="D3917"/>
          <cell r="E3917"/>
          <cell r="F3917"/>
          <cell r="G3917"/>
          <cell r="H3917"/>
          <cell r="I3917"/>
          <cell r="J3917"/>
          <cell r="L3917"/>
        </row>
        <row r="3918">
          <cell r="A3918"/>
          <cell r="D3918"/>
          <cell r="E3918"/>
          <cell r="F3918"/>
          <cell r="G3918"/>
          <cell r="H3918"/>
          <cell r="I3918"/>
          <cell r="J3918"/>
          <cell r="L3918"/>
        </row>
        <row r="3919">
          <cell r="A3919"/>
          <cell r="D3919"/>
          <cell r="E3919"/>
          <cell r="F3919"/>
          <cell r="G3919"/>
          <cell r="H3919"/>
          <cell r="I3919"/>
          <cell r="J3919"/>
          <cell r="L3919"/>
        </row>
        <row r="3920">
          <cell r="A3920"/>
          <cell r="D3920"/>
          <cell r="E3920"/>
          <cell r="F3920"/>
          <cell r="G3920"/>
          <cell r="H3920"/>
          <cell r="I3920"/>
          <cell r="J3920"/>
          <cell r="L3920"/>
        </row>
        <row r="3921">
          <cell r="A3921"/>
          <cell r="D3921"/>
          <cell r="E3921"/>
          <cell r="F3921"/>
          <cell r="G3921"/>
          <cell r="H3921"/>
          <cell r="I3921"/>
          <cell r="J3921"/>
          <cell r="L3921"/>
        </row>
        <row r="3922">
          <cell r="A3922"/>
          <cell r="D3922"/>
          <cell r="E3922"/>
          <cell r="F3922"/>
          <cell r="G3922"/>
          <cell r="H3922"/>
          <cell r="I3922"/>
          <cell r="J3922"/>
          <cell r="L3922"/>
        </row>
        <row r="3923">
          <cell r="A3923"/>
          <cell r="D3923"/>
          <cell r="E3923"/>
          <cell r="F3923"/>
          <cell r="G3923"/>
          <cell r="H3923"/>
          <cell r="I3923"/>
          <cell r="J3923"/>
          <cell r="L3923"/>
        </row>
        <row r="3924">
          <cell r="A3924"/>
          <cell r="D3924"/>
          <cell r="E3924"/>
          <cell r="F3924"/>
          <cell r="G3924"/>
          <cell r="H3924"/>
          <cell r="I3924"/>
          <cell r="J3924"/>
          <cell r="L3924"/>
        </row>
        <row r="3925">
          <cell r="A3925"/>
          <cell r="D3925"/>
          <cell r="E3925"/>
          <cell r="F3925"/>
          <cell r="G3925"/>
          <cell r="H3925"/>
          <cell r="I3925"/>
          <cell r="J3925"/>
          <cell r="L3925"/>
        </row>
        <row r="3926">
          <cell r="A3926"/>
          <cell r="D3926"/>
          <cell r="E3926"/>
          <cell r="F3926"/>
          <cell r="G3926"/>
          <cell r="H3926"/>
          <cell r="I3926"/>
          <cell r="J3926"/>
          <cell r="L3926"/>
        </row>
        <row r="3927">
          <cell r="A3927"/>
          <cell r="D3927"/>
          <cell r="E3927"/>
          <cell r="F3927"/>
          <cell r="G3927"/>
          <cell r="H3927"/>
          <cell r="I3927"/>
          <cell r="J3927"/>
          <cell r="L3927"/>
        </row>
        <row r="3928">
          <cell r="A3928"/>
          <cell r="D3928"/>
          <cell r="E3928"/>
          <cell r="F3928"/>
          <cell r="G3928"/>
          <cell r="H3928"/>
          <cell r="I3928"/>
          <cell r="J3928"/>
          <cell r="L3928"/>
        </row>
        <row r="3929">
          <cell r="A3929"/>
          <cell r="D3929"/>
          <cell r="E3929"/>
          <cell r="F3929"/>
          <cell r="G3929"/>
          <cell r="H3929"/>
          <cell r="I3929"/>
          <cell r="J3929"/>
          <cell r="L3929"/>
        </row>
        <row r="3930">
          <cell r="A3930"/>
          <cell r="D3930"/>
          <cell r="E3930"/>
          <cell r="F3930"/>
          <cell r="G3930"/>
          <cell r="H3930"/>
          <cell r="I3930"/>
          <cell r="J3930"/>
          <cell r="L3930"/>
        </row>
        <row r="3931">
          <cell r="A3931"/>
          <cell r="D3931"/>
          <cell r="E3931"/>
          <cell r="F3931"/>
          <cell r="G3931"/>
          <cell r="H3931"/>
          <cell r="I3931"/>
          <cell r="J3931"/>
          <cell r="L3931"/>
        </row>
        <row r="3932">
          <cell r="A3932"/>
          <cell r="D3932"/>
          <cell r="E3932"/>
          <cell r="F3932"/>
          <cell r="G3932"/>
          <cell r="H3932"/>
          <cell r="I3932"/>
          <cell r="J3932"/>
          <cell r="L3932"/>
        </row>
        <row r="3933">
          <cell r="A3933"/>
          <cell r="D3933"/>
          <cell r="E3933"/>
          <cell r="F3933"/>
          <cell r="G3933"/>
          <cell r="H3933"/>
          <cell r="I3933"/>
          <cell r="J3933"/>
          <cell r="L3933"/>
        </row>
        <row r="3934">
          <cell r="A3934"/>
          <cell r="D3934"/>
          <cell r="E3934"/>
          <cell r="F3934"/>
          <cell r="G3934"/>
          <cell r="H3934"/>
          <cell r="I3934"/>
          <cell r="J3934"/>
          <cell r="L3934"/>
        </row>
        <row r="3935">
          <cell r="A3935"/>
          <cell r="D3935"/>
          <cell r="E3935"/>
          <cell r="F3935"/>
          <cell r="G3935"/>
          <cell r="H3935"/>
          <cell r="I3935"/>
          <cell r="J3935"/>
          <cell r="L3935"/>
        </row>
        <row r="3936">
          <cell r="A3936"/>
          <cell r="D3936"/>
          <cell r="E3936"/>
          <cell r="F3936"/>
          <cell r="G3936"/>
          <cell r="H3936"/>
          <cell r="I3936"/>
          <cell r="J3936"/>
          <cell r="L3936"/>
        </row>
        <row r="3937">
          <cell r="A3937"/>
          <cell r="D3937"/>
          <cell r="E3937"/>
          <cell r="F3937"/>
          <cell r="G3937"/>
          <cell r="H3937"/>
          <cell r="I3937"/>
          <cell r="J3937"/>
          <cell r="L3937"/>
        </row>
        <row r="3938">
          <cell r="A3938"/>
          <cell r="D3938"/>
          <cell r="E3938"/>
          <cell r="F3938"/>
          <cell r="G3938"/>
          <cell r="H3938"/>
          <cell r="I3938"/>
          <cell r="J3938"/>
          <cell r="L3938"/>
        </row>
        <row r="3939">
          <cell r="A3939"/>
          <cell r="D3939"/>
          <cell r="E3939"/>
          <cell r="F3939"/>
          <cell r="G3939"/>
          <cell r="H3939"/>
          <cell r="I3939"/>
          <cell r="J3939"/>
          <cell r="L3939"/>
        </row>
        <row r="3940">
          <cell r="A3940"/>
          <cell r="D3940"/>
          <cell r="E3940"/>
          <cell r="F3940"/>
          <cell r="G3940"/>
          <cell r="H3940"/>
          <cell r="I3940"/>
          <cell r="J3940"/>
          <cell r="L3940"/>
        </row>
        <row r="3941">
          <cell r="A3941"/>
          <cell r="D3941"/>
          <cell r="E3941"/>
          <cell r="F3941"/>
          <cell r="G3941"/>
          <cell r="H3941"/>
          <cell r="I3941"/>
          <cell r="J3941"/>
          <cell r="L3941"/>
        </row>
        <row r="3942">
          <cell r="A3942"/>
          <cell r="D3942"/>
          <cell r="E3942"/>
          <cell r="F3942"/>
          <cell r="G3942"/>
          <cell r="H3942"/>
          <cell r="I3942"/>
          <cell r="J3942"/>
          <cell r="L3942"/>
        </row>
        <row r="3943">
          <cell r="A3943"/>
          <cell r="D3943"/>
          <cell r="E3943"/>
          <cell r="F3943"/>
          <cell r="G3943"/>
          <cell r="H3943"/>
          <cell r="I3943"/>
          <cell r="J3943"/>
          <cell r="L3943"/>
        </row>
        <row r="3944">
          <cell r="A3944"/>
          <cell r="D3944"/>
          <cell r="E3944"/>
          <cell r="F3944"/>
          <cell r="G3944"/>
          <cell r="H3944"/>
          <cell r="I3944"/>
          <cell r="J3944"/>
          <cell r="L3944"/>
        </row>
        <row r="3945">
          <cell r="A3945"/>
          <cell r="D3945"/>
          <cell r="E3945"/>
          <cell r="F3945"/>
          <cell r="G3945"/>
          <cell r="H3945"/>
          <cell r="I3945"/>
          <cell r="J3945"/>
          <cell r="L3945"/>
        </row>
        <row r="3946">
          <cell r="A3946"/>
          <cell r="D3946"/>
          <cell r="E3946"/>
          <cell r="F3946"/>
          <cell r="G3946"/>
          <cell r="H3946"/>
          <cell r="I3946"/>
          <cell r="J3946"/>
          <cell r="L3946"/>
        </row>
        <row r="3947">
          <cell r="A3947"/>
          <cell r="D3947"/>
          <cell r="E3947"/>
          <cell r="F3947"/>
          <cell r="G3947"/>
          <cell r="H3947"/>
          <cell r="I3947"/>
          <cell r="J3947"/>
          <cell r="L3947"/>
        </row>
        <row r="3948">
          <cell r="A3948"/>
          <cell r="D3948"/>
          <cell r="E3948"/>
          <cell r="F3948"/>
          <cell r="G3948"/>
          <cell r="H3948"/>
          <cell r="I3948"/>
          <cell r="J3948"/>
          <cell r="L3948"/>
        </row>
        <row r="3949">
          <cell r="A3949"/>
          <cell r="D3949"/>
          <cell r="E3949"/>
          <cell r="F3949"/>
          <cell r="G3949"/>
          <cell r="H3949"/>
          <cell r="I3949"/>
          <cell r="J3949"/>
          <cell r="L3949"/>
        </row>
        <row r="3950">
          <cell r="A3950"/>
          <cell r="D3950"/>
          <cell r="E3950"/>
          <cell r="F3950"/>
          <cell r="G3950"/>
          <cell r="H3950"/>
          <cell r="I3950"/>
          <cell r="J3950"/>
          <cell r="L3950"/>
        </row>
        <row r="3951">
          <cell r="A3951"/>
          <cell r="D3951"/>
          <cell r="E3951"/>
          <cell r="F3951"/>
          <cell r="G3951"/>
          <cell r="H3951"/>
          <cell r="I3951"/>
          <cell r="J3951"/>
          <cell r="L3951"/>
        </row>
        <row r="3952">
          <cell r="A3952"/>
          <cell r="D3952"/>
          <cell r="E3952"/>
          <cell r="F3952"/>
          <cell r="G3952"/>
          <cell r="H3952"/>
          <cell r="I3952"/>
          <cell r="J3952"/>
          <cell r="L3952"/>
        </row>
        <row r="3953">
          <cell r="A3953"/>
          <cell r="D3953"/>
          <cell r="E3953"/>
          <cell r="F3953"/>
          <cell r="G3953"/>
          <cell r="H3953"/>
          <cell r="I3953"/>
          <cell r="J3953"/>
          <cell r="L3953"/>
        </row>
        <row r="3954">
          <cell r="A3954"/>
          <cell r="D3954"/>
          <cell r="E3954"/>
          <cell r="F3954"/>
          <cell r="G3954"/>
          <cell r="H3954"/>
          <cell r="I3954"/>
          <cell r="J3954"/>
          <cell r="L3954"/>
        </row>
        <row r="3955">
          <cell r="A3955"/>
          <cell r="D3955"/>
          <cell r="E3955"/>
          <cell r="F3955"/>
          <cell r="G3955"/>
          <cell r="H3955"/>
          <cell r="I3955"/>
          <cell r="J3955"/>
          <cell r="L3955"/>
        </row>
        <row r="3956">
          <cell r="A3956"/>
          <cell r="D3956"/>
          <cell r="E3956"/>
          <cell r="F3956"/>
          <cell r="G3956"/>
          <cell r="H3956"/>
          <cell r="I3956"/>
          <cell r="J3956"/>
          <cell r="L3956"/>
        </row>
        <row r="3957">
          <cell r="A3957"/>
          <cell r="D3957"/>
          <cell r="E3957"/>
          <cell r="F3957"/>
          <cell r="G3957"/>
          <cell r="H3957"/>
          <cell r="I3957"/>
          <cell r="J3957"/>
          <cell r="L3957"/>
        </row>
        <row r="3958">
          <cell r="A3958"/>
          <cell r="D3958"/>
          <cell r="E3958"/>
          <cell r="F3958"/>
          <cell r="G3958"/>
          <cell r="H3958"/>
          <cell r="I3958"/>
          <cell r="J3958"/>
          <cell r="L3958"/>
        </row>
        <row r="3959">
          <cell r="A3959"/>
          <cell r="D3959"/>
          <cell r="E3959"/>
          <cell r="F3959"/>
          <cell r="G3959"/>
          <cell r="H3959"/>
          <cell r="I3959"/>
          <cell r="J3959"/>
          <cell r="L3959"/>
        </row>
        <row r="3960">
          <cell r="A3960"/>
          <cell r="D3960"/>
          <cell r="E3960"/>
          <cell r="F3960"/>
          <cell r="G3960"/>
          <cell r="H3960"/>
          <cell r="I3960"/>
          <cell r="J3960"/>
          <cell r="L3960"/>
        </row>
        <row r="3961">
          <cell r="A3961"/>
          <cell r="D3961"/>
          <cell r="E3961"/>
          <cell r="F3961"/>
          <cell r="G3961"/>
          <cell r="H3961"/>
          <cell r="I3961"/>
          <cell r="J3961"/>
          <cell r="L3961"/>
        </row>
        <row r="3962">
          <cell r="A3962"/>
          <cell r="D3962"/>
          <cell r="E3962"/>
          <cell r="F3962"/>
          <cell r="G3962"/>
          <cell r="H3962"/>
          <cell r="I3962"/>
          <cell r="J3962"/>
          <cell r="L3962"/>
        </row>
        <row r="3963">
          <cell r="A3963"/>
          <cell r="D3963"/>
          <cell r="E3963"/>
          <cell r="F3963"/>
          <cell r="G3963"/>
          <cell r="H3963"/>
          <cell r="I3963"/>
          <cell r="J3963"/>
          <cell r="L3963"/>
        </row>
        <row r="3964">
          <cell r="A3964"/>
          <cell r="D3964"/>
          <cell r="E3964"/>
          <cell r="F3964"/>
          <cell r="G3964"/>
          <cell r="H3964"/>
          <cell r="I3964"/>
          <cell r="J3964"/>
          <cell r="L3964"/>
        </row>
        <row r="3965">
          <cell r="A3965"/>
          <cell r="D3965"/>
          <cell r="E3965"/>
          <cell r="F3965"/>
          <cell r="G3965"/>
          <cell r="H3965"/>
          <cell r="I3965"/>
          <cell r="J3965"/>
          <cell r="L3965"/>
        </row>
        <row r="3966">
          <cell r="A3966"/>
          <cell r="D3966"/>
          <cell r="E3966"/>
          <cell r="F3966"/>
          <cell r="G3966"/>
          <cell r="H3966"/>
          <cell r="I3966"/>
          <cell r="J3966"/>
          <cell r="L3966"/>
        </row>
        <row r="3967">
          <cell r="A3967"/>
          <cell r="D3967"/>
          <cell r="E3967"/>
          <cell r="F3967"/>
          <cell r="G3967"/>
          <cell r="H3967"/>
          <cell r="I3967"/>
          <cell r="J3967"/>
          <cell r="L3967"/>
        </row>
        <row r="3968">
          <cell r="A3968"/>
          <cell r="D3968"/>
          <cell r="E3968"/>
          <cell r="F3968"/>
          <cell r="G3968"/>
          <cell r="H3968"/>
          <cell r="I3968"/>
          <cell r="J3968"/>
          <cell r="L3968"/>
        </row>
        <row r="3969">
          <cell r="A3969"/>
          <cell r="D3969"/>
          <cell r="E3969"/>
          <cell r="F3969"/>
          <cell r="G3969"/>
          <cell r="H3969"/>
          <cell r="I3969"/>
          <cell r="J3969"/>
          <cell r="L3969"/>
        </row>
        <row r="3970">
          <cell r="A3970"/>
          <cell r="D3970"/>
          <cell r="E3970"/>
          <cell r="F3970"/>
          <cell r="G3970"/>
          <cell r="H3970"/>
          <cell r="I3970"/>
          <cell r="J3970"/>
          <cell r="L3970"/>
        </row>
        <row r="3971">
          <cell r="A3971"/>
          <cell r="D3971"/>
          <cell r="E3971"/>
          <cell r="F3971"/>
          <cell r="G3971"/>
          <cell r="H3971"/>
          <cell r="I3971"/>
          <cell r="J3971"/>
          <cell r="L3971"/>
        </row>
        <row r="3972">
          <cell r="A3972"/>
          <cell r="D3972"/>
          <cell r="E3972"/>
          <cell r="F3972"/>
          <cell r="G3972"/>
          <cell r="H3972"/>
          <cell r="I3972"/>
          <cell r="J3972"/>
          <cell r="L3972"/>
        </row>
        <row r="3973">
          <cell r="A3973"/>
          <cell r="D3973"/>
          <cell r="E3973"/>
          <cell r="F3973"/>
          <cell r="G3973"/>
          <cell r="H3973"/>
          <cell r="I3973"/>
          <cell r="J3973"/>
          <cell r="L3973"/>
        </row>
        <row r="3974">
          <cell r="A3974"/>
          <cell r="D3974"/>
          <cell r="E3974"/>
          <cell r="F3974"/>
          <cell r="G3974"/>
          <cell r="H3974"/>
          <cell r="I3974"/>
          <cell r="J3974"/>
          <cell r="L3974"/>
        </row>
        <row r="3975">
          <cell r="A3975"/>
          <cell r="D3975"/>
          <cell r="E3975"/>
          <cell r="F3975"/>
          <cell r="G3975"/>
          <cell r="H3975"/>
          <cell r="I3975"/>
          <cell r="J3975"/>
          <cell r="L3975"/>
        </row>
        <row r="3976">
          <cell r="A3976"/>
          <cell r="D3976"/>
          <cell r="E3976"/>
          <cell r="F3976"/>
          <cell r="G3976"/>
          <cell r="H3976"/>
          <cell r="I3976"/>
          <cell r="J3976"/>
          <cell r="L3976"/>
        </row>
        <row r="3977">
          <cell r="A3977"/>
          <cell r="D3977"/>
          <cell r="E3977"/>
          <cell r="F3977"/>
          <cell r="G3977"/>
          <cell r="H3977"/>
          <cell r="I3977"/>
          <cell r="J3977"/>
          <cell r="L3977"/>
        </row>
        <row r="3978">
          <cell r="A3978"/>
          <cell r="D3978"/>
          <cell r="E3978"/>
          <cell r="F3978"/>
          <cell r="G3978"/>
          <cell r="H3978"/>
          <cell r="I3978"/>
          <cell r="J3978"/>
          <cell r="L3978"/>
        </row>
        <row r="3979">
          <cell r="A3979"/>
          <cell r="D3979"/>
          <cell r="E3979"/>
          <cell r="F3979"/>
          <cell r="G3979"/>
          <cell r="H3979"/>
          <cell r="I3979"/>
          <cell r="J3979"/>
          <cell r="L3979"/>
        </row>
        <row r="3980">
          <cell r="A3980"/>
          <cell r="D3980"/>
          <cell r="E3980"/>
          <cell r="F3980"/>
          <cell r="G3980"/>
          <cell r="H3980"/>
          <cell r="I3980"/>
          <cell r="J3980"/>
          <cell r="L3980"/>
        </row>
        <row r="3981">
          <cell r="A3981"/>
          <cell r="D3981"/>
          <cell r="E3981"/>
          <cell r="F3981"/>
          <cell r="G3981"/>
          <cell r="H3981"/>
          <cell r="I3981"/>
          <cell r="J3981"/>
          <cell r="L3981"/>
        </row>
        <row r="3982">
          <cell r="A3982"/>
          <cell r="D3982"/>
          <cell r="E3982"/>
          <cell r="F3982"/>
          <cell r="G3982"/>
          <cell r="H3982"/>
          <cell r="I3982"/>
          <cell r="J3982"/>
          <cell r="L3982"/>
        </row>
        <row r="3983">
          <cell r="A3983"/>
          <cell r="D3983"/>
          <cell r="E3983"/>
          <cell r="F3983"/>
          <cell r="G3983"/>
          <cell r="H3983"/>
          <cell r="I3983"/>
          <cell r="J3983"/>
          <cell r="L3983"/>
        </row>
        <row r="3984">
          <cell r="A3984"/>
          <cell r="D3984"/>
          <cell r="E3984"/>
          <cell r="F3984"/>
          <cell r="G3984"/>
          <cell r="H3984"/>
          <cell r="I3984"/>
          <cell r="J3984"/>
          <cell r="L3984"/>
        </row>
        <row r="3985">
          <cell r="A3985"/>
          <cell r="D3985"/>
          <cell r="E3985"/>
          <cell r="F3985"/>
          <cell r="G3985"/>
          <cell r="H3985"/>
          <cell r="I3985"/>
          <cell r="J3985"/>
          <cell r="L3985"/>
        </row>
        <row r="3986">
          <cell r="A3986"/>
          <cell r="D3986"/>
          <cell r="E3986"/>
          <cell r="F3986"/>
          <cell r="G3986"/>
          <cell r="H3986"/>
          <cell r="I3986"/>
          <cell r="J3986"/>
          <cell r="L3986"/>
        </row>
        <row r="3987">
          <cell r="A3987"/>
          <cell r="D3987"/>
          <cell r="E3987"/>
          <cell r="F3987"/>
          <cell r="G3987"/>
          <cell r="H3987"/>
          <cell r="I3987"/>
          <cell r="J3987"/>
          <cell r="L3987"/>
        </row>
        <row r="3988">
          <cell r="A3988"/>
          <cell r="D3988"/>
          <cell r="E3988"/>
          <cell r="F3988"/>
          <cell r="G3988"/>
          <cell r="H3988"/>
          <cell r="I3988"/>
          <cell r="J3988"/>
          <cell r="L3988"/>
        </row>
        <row r="3989">
          <cell r="A3989"/>
          <cell r="D3989"/>
          <cell r="E3989"/>
          <cell r="F3989"/>
          <cell r="G3989"/>
          <cell r="H3989"/>
          <cell r="I3989"/>
          <cell r="J3989"/>
          <cell r="L3989"/>
        </row>
        <row r="3990">
          <cell r="A3990"/>
          <cell r="D3990"/>
          <cell r="E3990"/>
          <cell r="F3990"/>
          <cell r="G3990"/>
          <cell r="H3990"/>
          <cell r="I3990"/>
          <cell r="J3990"/>
          <cell r="L3990"/>
        </row>
        <row r="3991">
          <cell r="A3991"/>
          <cell r="D3991"/>
          <cell r="E3991"/>
          <cell r="F3991"/>
          <cell r="G3991"/>
          <cell r="H3991"/>
          <cell r="I3991"/>
          <cell r="J3991"/>
          <cell r="L3991"/>
        </row>
        <row r="3992">
          <cell r="A3992"/>
          <cell r="D3992"/>
          <cell r="E3992"/>
          <cell r="F3992"/>
          <cell r="G3992"/>
          <cell r="H3992"/>
          <cell r="I3992"/>
          <cell r="J3992"/>
          <cell r="L3992"/>
        </row>
        <row r="3993">
          <cell r="A3993"/>
          <cell r="D3993"/>
          <cell r="E3993"/>
          <cell r="F3993"/>
          <cell r="G3993"/>
          <cell r="H3993"/>
          <cell r="I3993"/>
          <cell r="J3993"/>
          <cell r="L3993"/>
        </row>
        <row r="3994">
          <cell r="A3994"/>
          <cell r="D3994"/>
          <cell r="E3994"/>
          <cell r="F3994"/>
          <cell r="G3994"/>
          <cell r="H3994"/>
          <cell r="I3994"/>
          <cell r="J3994"/>
          <cell r="L3994"/>
        </row>
        <row r="3995">
          <cell r="A3995"/>
          <cell r="D3995"/>
          <cell r="E3995"/>
          <cell r="F3995"/>
          <cell r="G3995"/>
          <cell r="H3995"/>
          <cell r="I3995"/>
          <cell r="J3995"/>
          <cell r="L3995"/>
        </row>
        <row r="3996">
          <cell r="A3996"/>
          <cell r="D3996"/>
          <cell r="E3996"/>
          <cell r="F3996"/>
          <cell r="G3996"/>
          <cell r="H3996"/>
          <cell r="I3996"/>
          <cell r="J3996"/>
          <cell r="L3996"/>
        </row>
        <row r="3997">
          <cell r="A3997"/>
          <cell r="D3997"/>
          <cell r="E3997"/>
          <cell r="F3997"/>
          <cell r="G3997"/>
          <cell r="H3997"/>
          <cell r="I3997"/>
          <cell r="J3997"/>
          <cell r="L3997"/>
        </row>
        <row r="3998">
          <cell r="A3998"/>
          <cell r="D3998"/>
          <cell r="E3998"/>
          <cell r="F3998"/>
          <cell r="G3998"/>
          <cell r="H3998"/>
          <cell r="I3998"/>
          <cell r="J3998"/>
          <cell r="L3998"/>
        </row>
        <row r="3999">
          <cell r="A3999"/>
          <cell r="D3999"/>
          <cell r="E3999"/>
          <cell r="F3999"/>
          <cell r="G3999"/>
          <cell r="H3999"/>
          <cell r="I3999"/>
          <cell r="J3999"/>
          <cell r="L3999"/>
        </row>
        <row r="4000">
          <cell r="A4000"/>
          <cell r="D4000"/>
          <cell r="E4000"/>
          <cell r="F4000"/>
          <cell r="G4000"/>
          <cell r="H4000"/>
          <cell r="I4000"/>
          <cell r="J4000"/>
          <cell r="L4000"/>
        </row>
        <row r="4001">
          <cell r="A4001"/>
          <cell r="D4001"/>
          <cell r="E4001"/>
          <cell r="F4001"/>
          <cell r="G4001"/>
          <cell r="H4001"/>
          <cell r="I4001"/>
          <cell r="J4001"/>
          <cell r="L4001"/>
        </row>
        <row r="4002">
          <cell r="A4002"/>
          <cell r="D4002"/>
          <cell r="E4002"/>
          <cell r="F4002"/>
          <cell r="G4002"/>
          <cell r="H4002"/>
          <cell r="I4002"/>
          <cell r="J4002"/>
          <cell r="L4002"/>
        </row>
        <row r="4003">
          <cell r="A4003"/>
          <cell r="D4003"/>
          <cell r="E4003"/>
          <cell r="F4003"/>
          <cell r="G4003"/>
          <cell r="H4003"/>
          <cell r="I4003"/>
          <cell r="J4003"/>
          <cell r="L4003"/>
        </row>
        <row r="4004">
          <cell r="A4004"/>
          <cell r="D4004"/>
          <cell r="E4004"/>
          <cell r="F4004"/>
          <cell r="G4004"/>
          <cell r="H4004"/>
          <cell r="I4004"/>
          <cell r="J4004"/>
          <cell r="L4004"/>
        </row>
        <row r="4005">
          <cell r="A4005"/>
          <cell r="D4005"/>
          <cell r="E4005"/>
          <cell r="F4005"/>
          <cell r="G4005"/>
          <cell r="H4005"/>
          <cell r="I4005"/>
          <cell r="J4005"/>
          <cell r="L4005"/>
        </row>
        <row r="4006">
          <cell r="A4006"/>
          <cell r="D4006"/>
          <cell r="E4006"/>
          <cell r="F4006"/>
          <cell r="G4006"/>
          <cell r="H4006"/>
          <cell r="I4006"/>
          <cell r="J4006"/>
          <cell r="L4006"/>
        </row>
        <row r="4007">
          <cell r="A4007"/>
          <cell r="D4007"/>
          <cell r="E4007"/>
          <cell r="F4007"/>
          <cell r="G4007"/>
          <cell r="H4007"/>
          <cell r="I4007"/>
          <cell r="J4007"/>
          <cell r="L4007"/>
        </row>
        <row r="4008">
          <cell r="A4008"/>
          <cell r="D4008"/>
          <cell r="E4008"/>
          <cell r="F4008"/>
          <cell r="G4008"/>
          <cell r="H4008"/>
          <cell r="I4008"/>
          <cell r="J4008"/>
          <cell r="L4008"/>
        </row>
        <row r="4009">
          <cell r="A4009"/>
          <cell r="D4009"/>
          <cell r="E4009"/>
          <cell r="F4009"/>
          <cell r="G4009"/>
          <cell r="H4009"/>
          <cell r="I4009"/>
          <cell r="J4009"/>
          <cell r="L4009"/>
        </row>
        <row r="4010">
          <cell r="A4010"/>
          <cell r="D4010"/>
          <cell r="E4010"/>
          <cell r="F4010"/>
          <cell r="G4010"/>
          <cell r="H4010"/>
          <cell r="I4010"/>
          <cell r="J4010"/>
          <cell r="L4010"/>
        </row>
        <row r="4011">
          <cell r="A4011"/>
          <cell r="D4011"/>
          <cell r="E4011"/>
          <cell r="F4011"/>
          <cell r="G4011"/>
          <cell r="H4011"/>
          <cell r="I4011"/>
          <cell r="J4011"/>
          <cell r="L4011"/>
        </row>
        <row r="4012">
          <cell r="A4012"/>
          <cell r="D4012"/>
          <cell r="E4012"/>
          <cell r="F4012"/>
          <cell r="G4012"/>
          <cell r="H4012"/>
          <cell r="I4012"/>
          <cell r="J4012"/>
          <cell r="L4012"/>
        </row>
        <row r="4013">
          <cell r="A4013"/>
          <cell r="D4013"/>
          <cell r="E4013"/>
          <cell r="F4013"/>
          <cell r="G4013"/>
          <cell r="H4013"/>
          <cell r="I4013"/>
          <cell r="J4013"/>
          <cell r="L4013"/>
        </row>
        <row r="4014">
          <cell r="A4014"/>
          <cell r="D4014"/>
          <cell r="E4014"/>
          <cell r="F4014"/>
          <cell r="G4014"/>
          <cell r="H4014"/>
          <cell r="I4014"/>
          <cell r="J4014"/>
          <cell r="L4014"/>
        </row>
        <row r="4015">
          <cell r="A4015"/>
          <cell r="D4015"/>
          <cell r="E4015"/>
          <cell r="F4015"/>
          <cell r="G4015"/>
          <cell r="H4015"/>
          <cell r="I4015"/>
          <cell r="J4015"/>
          <cell r="L4015"/>
        </row>
        <row r="4016">
          <cell r="A4016"/>
          <cell r="D4016"/>
          <cell r="E4016"/>
          <cell r="F4016"/>
          <cell r="G4016"/>
          <cell r="H4016"/>
          <cell r="I4016"/>
          <cell r="J4016"/>
          <cell r="L4016"/>
        </row>
        <row r="4017">
          <cell r="A4017"/>
          <cell r="D4017"/>
          <cell r="E4017"/>
          <cell r="F4017"/>
          <cell r="G4017"/>
          <cell r="H4017"/>
          <cell r="I4017"/>
          <cell r="J4017"/>
          <cell r="L4017"/>
        </row>
        <row r="4018">
          <cell r="A4018"/>
          <cell r="D4018"/>
          <cell r="E4018"/>
          <cell r="F4018"/>
          <cell r="G4018"/>
          <cell r="H4018"/>
          <cell r="I4018"/>
          <cell r="J4018"/>
          <cell r="L4018"/>
        </row>
        <row r="4019">
          <cell r="A4019"/>
          <cell r="D4019"/>
          <cell r="E4019"/>
          <cell r="F4019"/>
          <cell r="G4019"/>
          <cell r="H4019"/>
          <cell r="I4019"/>
          <cell r="J4019"/>
          <cell r="L4019"/>
        </row>
        <row r="4020">
          <cell r="A4020"/>
          <cell r="D4020"/>
          <cell r="E4020"/>
          <cell r="F4020"/>
          <cell r="G4020"/>
          <cell r="H4020"/>
          <cell r="I4020"/>
          <cell r="J4020"/>
          <cell r="L4020"/>
        </row>
        <row r="4021">
          <cell r="A4021"/>
          <cell r="D4021"/>
          <cell r="E4021"/>
          <cell r="F4021"/>
          <cell r="G4021"/>
          <cell r="H4021"/>
          <cell r="I4021"/>
          <cell r="J4021"/>
          <cell r="L4021"/>
        </row>
        <row r="4022">
          <cell r="A4022"/>
          <cell r="D4022"/>
          <cell r="E4022"/>
          <cell r="F4022"/>
          <cell r="G4022"/>
          <cell r="H4022"/>
          <cell r="I4022"/>
          <cell r="J4022"/>
          <cell r="L4022"/>
        </row>
        <row r="4023">
          <cell r="A4023"/>
          <cell r="D4023"/>
          <cell r="E4023"/>
          <cell r="F4023"/>
          <cell r="G4023"/>
          <cell r="H4023"/>
          <cell r="I4023"/>
          <cell r="J4023"/>
          <cell r="L4023"/>
        </row>
        <row r="4024">
          <cell r="A4024"/>
          <cell r="D4024"/>
          <cell r="E4024"/>
          <cell r="F4024"/>
          <cell r="G4024"/>
          <cell r="H4024"/>
          <cell r="I4024"/>
          <cell r="J4024"/>
          <cell r="L4024"/>
        </row>
        <row r="4025">
          <cell r="A4025"/>
          <cell r="D4025"/>
          <cell r="E4025"/>
          <cell r="F4025"/>
          <cell r="G4025"/>
          <cell r="H4025"/>
          <cell r="I4025"/>
          <cell r="J4025"/>
          <cell r="L4025"/>
        </row>
        <row r="4026">
          <cell r="A4026"/>
          <cell r="D4026"/>
          <cell r="E4026"/>
          <cell r="F4026"/>
          <cell r="G4026"/>
          <cell r="H4026"/>
          <cell r="I4026"/>
          <cell r="J4026"/>
          <cell r="L4026"/>
        </row>
        <row r="4027">
          <cell r="A4027"/>
          <cell r="D4027"/>
          <cell r="E4027"/>
          <cell r="F4027"/>
          <cell r="G4027"/>
          <cell r="H4027"/>
          <cell r="I4027"/>
          <cell r="J4027"/>
          <cell r="L4027"/>
        </row>
        <row r="4028">
          <cell r="A4028"/>
          <cell r="D4028"/>
          <cell r="E4028"/>
          <cell r="F4028"/>
          <cell r="G4028"/>
          <cell r="H4028"/>
          <cell r="I4028"/>
          <cell r="J4028"/>
          <cell r="L4028"/>
        </row>
        <row r="4029">
          <cell r="A4029"/>
          <cell r="D4029"/>
          <cell r="E4029"/>
          <cell r="F4029"/>
          <cell r="G4029"/>
          <cell r="H4029"/>
          <cell r="I4029"/>
          <cell r="J4029"/>
          <cell r="L4029"/>
        </row>
        <row r="4030">
          <cell r="A4030"/>
          <cell r="D4030"/>
          <cell r="E4030"/>
          <cell r="F4030"/>
          <cell r="G4030"/>
          <cell r="H4030"/>
          <cell r="I4030"/>
          <cell r="J4030"/>
          <cell r="L4030"/>
        </row>
        <row r="4031">
          <cell r="A4031"/>
          <cell r="D4031"/>
          <cell r="E4031"/>
          <cell r="F4031"/>
          <cell r="G4031"/>
          <cell r="H4031"/>
          <cell r="I4031"/>
          <cell r="J4031"/>
          <cell r="L4031"/>
        </row>
        <row r="4032">
          <cell r="A4032"/>
          <cell r="D4032"/>
          <cell r="E4032"/>
          <cell r="F4032"/>
          <cell r="G4032"/>
          <cell r="H4032"/>
          <cell r="I4032"/>
          <cell r="J4032"/>
          <cell r="L4032"/>
        </row>
        <row r="4033">
          <cell r="A4033"/>
          <cell r="D4033"/>
          <cell r="E4033"/>
          <cell r="F4033"/>
          <cell r="G4033"/>
          <cell r="H4033"/>
          <cell r="I4033"/>
          <cell r="J4033"/>
          <cell r="L4033"/>
        </row>
        <row r="4034">
          <cell r="A4034"/>
          <cell r="D4034"/>
          <cell r="E4034"/>
          <cell r="F4034"/>
          <cell r="G4034"/>
          <cell r="H4034"/>
          <cell r="I4034"/>
          <cell r="J4034"/>
          <cell r="L4034"/>
        </row>
        <row r="4035">
          <cell r="A4035"/>
          <cell r="D4035"/>
          <cell r="E4035"/>
          <cell r="F4035"/>
          <cell r="G4035"/>
          <cell r="H4035"/>
          <cell r="I4035"/>
          <cell r="J4035"/>
          <cell r="L4035"/>
        </row>
        <row r="4036">
          <cell r="A4036"/>
          <cell r="D4036"/>
          <cell r="E4036"/>
          <cell r="F4036"/>
          <cell r="G4036"/>
          <cell r="H4036"/>
          <cell r="I4036"/>
          <cell r="J4036"/>
          <cell r="L4036"/>
        </row>
        <row r="4037">
          <cell r="A4037"/>
          <cell r="D4037"/>
          <cell r="E4037"/>
          <cell r="F4037"/>
          <cell r="G4037"/>
          <cell r="H4037"/>
          <cell r="I4037"/>
          <cell r="J4037"/>
          <cell r="L4037"/>
        </row>
        <row r="4038">
          <cell r="A4038"/>
          <cell r="D4038"/>
          <cell r="E4038"/>
          <cell r="F4038"/>
          <cell r="G4038"/>
          <cell r="H4038"/>
          <cell r="I4038"/>
          <cell r="J4038"/>
          <cell r="L4038"/>
        </row>
        <row r="4039">
          <cell r="A4039"/>
          <cell r="D4039"/>
          <cell r="E4039"/>
          <cell r="F4039"/>
          <cell r="G4039"/>
          <cell r="H4039"/>
          <cell r="I4039"/>
          <cell r="J4039"/>
          <cell r="L4039"/>
        </row>
        <row r="4040">
          <cell r="A4040"/>
          <cell r="D4040"/>
          <cell r="E4040"/>
          <cell r="F4040"/>
          <cell r="G4040"/>
          <cell r="H4040"/>
          <cell r="I4040"/>
          <cell r="J4040"/>
          <cell r="L4040"/>
        </row>
        <row r="4041">
          <cell r="A4041"/>
          <cell r="D4041"/>
          <cell r="E4041"/>
          <cell r="F4041"/>
          <cell r="G4041"/>
          <cell r="H4041"/>
          <cell r="I4041"/>
          <cell r="J4041"/>
          <cell r="L4041"/>
        </row>
        <row r="4042">
          <cell r="A4042"/>
          <cell r="D4042"/>
          <cell r="E4042"/>
          <cell r="F4042"/>
          <cell r="G4042"/>
          <cell r="H4042"/>
          <cell r="I4042"/>
          <cell r="J4042"/>
          <cell r="L4042"/>
        </row>
        <row r="4043">
          <cell r="A4043"/>
          <cell r="D4043"/>
          <cell r="E4043"/>
          <cell r="F4043"/>
          <cell r="G4043"/>
          <cell r="H4043"/>
          <cell r="I4043"/>
          <cell r="J4043"/>
          <cell r="L4043"/>
        </row>
        <row r="4044">
          <cell r="A4044"/>
          <cell r="D4044"/>
          <cell r="E4044"/>
          <cell r="F4044"/>
          <cell r="G4044"/>
          <cell r="H4044"/>
          <cell r="I4044"/>
          <cell r="J4044"/>
          <cell r="L4044"/>
        </row>
        <row r="4045">
          <cell r="A4045"/>
          <cell r="D4045"/>
          <cell r="E4045"/>
          <cell r="F4045"/>
          <cell r="G4045"/>
          <cell r="H4045"/>
          <cell r="I4045"/>
          <cell r="J4045"/>
          <cell r="L4045"/>
        </row>
        <row r="4046">
          <cell r="A4046"/>
          <cell r="D4046"/>
          <cell r="E4046"/>
          <cell r="F4046"/>
          <cell r="G4046"/>
          <cell r="H4046"/>
          <cell r="I4046"/>
          <cell r="J4046"/>
          <cell r="L4046"/>
        </row>
        <row r="4047">
          <cell r="A4047"/>
          <cell r="D4047"/>
          <cell r="E4047"/>
          <cell r="F4047"/>
          <cell r="G4047"/>
          <cell r="H4047"/>
          <cell r="I4047"/>
          <cell r="J4047"/>
          <cell r="L4047"/>
        </row>
        <row r="4048">
          <cell r="A4048"/>
          <cell r="D4048"/>
          <cell r="E4048"/>
          <cell r="F4048"/>
          <cell r="G4048"/>
          <cell r="H4048"/>
          <cell r="I4048"/>
          <cell r="J4048"/>
          <cell r="L4048"/>
        </row>
        <row r="4049">
          <cell r="A4049"/>
          <cell r="D4049"/>
          <cell r="E4049"/>
          <cell r="F4049"/>
          <cell r="G4049"/>
          <cell r="H4049"/>
          <cell r="I4049"/>
          <cell r="J4049"/>
          <cell r="L4049"/>
        </row>
        <row r="4050">
          <cell r="A4050"/>
          <cell r="D4050"/>
          <cell r="E4050"/>
          <cell r="F4050"/>
          <cell r="G4050"/>
          <cell r="H4050"/>
          <cell r="I4050"/>
          <cell r="J4050"/>
          <cell r="L4050"/>
        </row>
        <row r="4051">
          <cell r="A4051"/>
          <cell r="D4051"/>
          <cell r="E4051"/>
          <cell r="F4051"/>
          <cell r="G4051"/>
          <cell r="H4051"/>
          <cell r="I4051"/>
          <cell r="J4051"/>
          <cell r="L4051"/>
        </row>
        <row r="4052">
          <cell r="A4052"/>
          <cell r="D4052"/>
          <cell r="E4052"/>
          <cell r="F4052"/>
          <cell r="G4052"/>
          <cell r="H4052"/>
          <cell r="I4052"/>
          <cell r="J4052"/>
          <cell r="L4052"/>
        </row>
        <row r="4053">
          <cell r="A4053"/>
          <cell r="D4053"/>
          <cell r="E4053"/>
          <cell r="F4053"/>
          <cell r="G4053"/>
          <cell r="H4053"/>
          <cell r="I4053"/>
          <cell r="J4053"/>
          <cell r="L4053"/>
        </row>
        <row r="4054">
          <cell r="A4054"/>
          <cell r="D4054"/>
          <cell r="E4054"/>
          <cell r="F4054"/>
          <cell r="G4054"/>
          <cell r="H4054"/>
          <cell r="I4054"/>
          <cell r="J4054"/>
          <cell r="L4054"/>
        </row>
        <row r="4055">
          <cell r="A4055"/>
          <cell r="D4055"/>
          <cell r="E4055"/>
          <cell r="F4055"/>
          <cell r="G4055"/>
          <cell r="H4055"/>
          <cell r="I4055"/>
          <cell r="J4055"/>
          <cell r="L4055"/>
        </row>
        <row r="4056">
          <cell r="A4056"/>
          <cell r="D4056"/>
          <cell r="E4056"/>
          <cell r="F4056"/>
          <cell r="G4056"/>
          <cell r="H4056"/>
          <cell r="I4056"/>
          <cell r="J4056"/>
          <cell r="L4056"/>
        </row>
        <row r="4057">
          <cell r="A4057"/>
          <cell r="D4057"/>
          <cell r="E4057"/>
          <cell r="F4057"/>
          <cell r="G4057"/>
          <cell r="H4057"/>
          <cell r="I4057"/>
          <cell r="J4057"/>
          <cell r="L4057"/>
        </row>
        <row r="4058">
          <cell r="A4058"/>
          <cell r="D4058"/>
          <cell r="E4058"/>
          <cell r="F4058"/>
          <cell r="G4058"/>
          <cell r="H4058"/>
          <cell r="I4058"/>
          <cell r="J4058"/>
          <cell r="L4058"/>
        </row>
        <row r="4059">
          <cell r="A4059"/>
          <cell r="D4059"/>
          <cell r="E4059"/>
          <cell r="F4059"/>
          <cell r="G4059"/>
          <cell r="H4059"/>
          <cell r="I4059"/>
          <cell r="J4059"/>
          <cell r="L4059"/>
        </row>
        <row r="4060">
          <cell r="A4060"/>
          <cell r="D4060"/>
          <cell r="E4060"/>
          <cell r="F4060"/>
          <cell r="G4060"/>
          <cell r="H4060"/>
          <cell r="I4060"/>
          <cell r="J4060"/>
          <cell r="L4060"/>
        </row>
        <row r="4061">
          <cell r="A4061"/>
          <cell r="D4061"/>
          <cell r="E4061"/>
          <cell r="F4061"/>
          <cell r="G4061"/>
          <cell r="H4061"/>
          <cell r="I4061"/>
          <cell r="J4061"/>
          <cell r="L4061"/>
        </row>
        <row r="4062">
          <cell r="A4062"/>
          <cell r="D4062"/>
          <cell r="E4062"/>
          <cell r="F4062"/>
          <cell r="G4062"/>
          <cell r="H4062"/>
          <cell r="I4062"/>
          <cell r="J4062"/>
          <cell r="L4062"/>
        </row>
        <row r="4063">
          <cell r="A4063"/>
          <cell r="D4063"/>
          <cell r="E4063"/>
          <cell r="F4063"/>
          <cell r="G4063"/>
          <cell r="H4063"/>
          <cell r="I4063"/>
          <cell r="J4063"/>
          <cell r="L4063"/>
        </row>
        <row r="4064">
          <cell r="A4064"/>
          <cell r="D4064"/>
          <cell r="E4064"/>
          <cell r="F4064"/>
          <cell r="G4064"/>
          <cell r="H4064"/>
          <cell r="I4064"/>
          <cell r="J4064"/>
          <cell r="L4064"/>
        </row>
        <row r="4065">
          <cell r="A4065"/>
          <cell r="D4065"/>
          <cell r="E4065"/>
          <cell r="F4065"/>
          <cell r="G4065"/>
          <cell r="H4065"/>
          <cell r="I4065"/>
          <cell r="J4065"/>
          <cell r="L4065"/>
        </row>
        <row r="4066">
          <cell r="A4066"/>
          <cell r="D4066"/>
          <cell r="E4066"/>
          <cell r="F4066"/>
          <cell r="G4066"/>
          <cell r="H4066"/>
          <cell r="I4066"/>
          <cell r="J4066"/>
          <cell r="L4066"/>
        </row>
        <row r="4067">
          <cell r="A4067"/>
          <cell r="D4067"/>
          <cell r="E4067"/>
          <cell r="F4067"/>
          <cell r="G4067"/>
          <cell r="H4067"/>
          <cell r="I4067"/>
          <cell r="J4067"/>
          <cell r="L4067"/>
        </row>
        <row r="4068">
          <cell r="A4068"/>
          <cell r="D4068"/>
          <cell r="E4068"/>
          <cell r="F4068"/>
          <cell r="G4068"/>
          <cell r="H4068"/>
          <cell r="I4068"/>
          <cell r="J4068"/>
          <cell r="L4068"/>
        </row>
        <row r="4069">
          <cell r="A4069"/>
          <cell r="D4069"/>
          <cell r="E4069"/>
          <cell r="F4069"/>
          <cell r="G4069"/>
          <cell r="H4069"/>
          <cell r="I4069"/>
          <cell r="J4069"/>
          <cell r="L4069"/>
        </row>
        <row r="4070">
          <cell r="A4070"/>
          <cell r="D4070"/>
          <cell r="E4070"/>
          <cell r="F4070"/>
          <cell r="G4070"/>
          <cell r="H4070"/>
          <cell r="I4070"/>
          <cell r="J4070"/>
          <cell r="L4070"/>
        </row>
        <row r="4071">
          <cell r="A4071"/>
          <cell r="D4071"/>
          <cell r="E4071"/>
          <cell r="F4071"/>
          <cell r="G4071"/>
          <cell r="H4071"/>
          <cell r="I4071"/>
          <cell r="J4071"/>
          <cell r="L4071"/>
        </row>
        <row r="4072">
          <cell r="A4072"/>
          <cell r="D4072"/>
          <cell r="E4072"/>
          <cell r="F4072"/>
          <cell r="G4072"/>
          <cell r="H4072"/>
          <cell r="I4072"/>
          <cell r="J4072"/>
          <cell r="L4072"/>
        </row>
        <row r="4073">
          <cell r="A4073"/>
          <cell r="D4073"/>
          <cell r="E4073"/>
          <cell r="F4073"/>
          <cell r="G4073"/>
          <cell r="H4073"/>
          <cell r="I4073"/>
          <cell r="J4073"/>
          <cell r="L4073"/>
        </row>
        <row r="4074">
          <cell r="A4074"/>
          <cell r="D4074"/>
          <cell r="E4074"/>
          <cell r="F4074"/>
          <cell r="G4074"/>
          <cell r="H4074"/>
          <cell r="I4074"/>
          <cell r="J4074"/>
          <cell r="L4074"/>
        </row>
        <row r="4075">
          <cell r="A4075"/>
          <cell r="D4075"/>
          <cell r="E4075"/>
          <cell r="F4075"/>
          <cell r="G4075"/>
          <cell r="H4075"/>
          <cell r="I4075"/>
          <cell r="J4075"/>
          <cell r="L4075"/>
        </row>
        <row r="4076">
          <cell r="A4076"/>
          <cell r="D4076"/>
          <cell r="E4076"/>
          <cell r="F4076"/>
          <cell r="G4076"/>
          <cell r="H4076"/>
          <cell r="I4076"/>
          <cell r="J4076"/>
          <cell r="L4076"/>
        </row>
        <row r="4077">
          <cell r="A4077"/>
          <cell r="D4077"/>
          <cell r="E4077"/>
          <cell r="F4077"/>
          <cell r="G4077"/>
          <cell r="H4077"/>
          <cell r="I4077"/>
          <cell r="J4077"/>
          <cell r="L4077"/>
        </row>
        <row r="4078">
          <cell r="A4078"/>
          <cell r="D4078"/>
          <cell r="E4078"/>
          <cell r="F4078"/>
          <cell r="G4078"/>
          <cell r="H4078"/>
          <cell r="I4078"/>
          <cell r="J4078"/>
          <cell r="L4078"/>
        </row>
        <row r="4079">
          <cell r="A4079"/>
          <cell r="D4079"/>
          <cell r="E4079"/>
          <cell r="F4079"/>
          <cell r="G4079"/>
          <cell r="H4079"/>
          <cell r="I4079"/>
          <cell r="J4079"/>
          <cell r="L4079"/>
        </row>
        <row r="4080">
          <cell r="A4080"/>
          <cell r="D4080"/>
          <cell r="E4080"/>
          <cell r="F4080"/>
          <cell r="G4080"/>
          <cell r="H4080"/>
          <cell r="I4080"/>
          <cell r="J4080"/>
          <cell r="L4080"/>
        </row>
        <row r="4081">
          <cell r="A4081"/>
          <cell r="D4081"/>
          <cell r="E4081"/>
          <cell r="F4081"/>
          <cell r="G4081"/>
          <cell r="H4081"/>
          <cell r="I4081"/>
          <cell r="J4081"/>
          <cell r="L4081"/>
        </row>
        <row r="4082">
          <cell r="A4082"/>
          <cell r="D4082"/>
          <cell r="E4082"/>
          <cell r="F4082"/>
          <cell r="G4082"/>
          <cell r="H4082"/>
          <cell r="I4082"/>
          <cell r="J4082"/>
          <cell r="L4082"/>
        </row>
        <row r="4083">
          <cell r="A4083"/>
          <cell r="D4083"/>
          <cell r="E4083"/>
          <cell r="F4083"/>
          <cell r="G4083"/>
          <cell r="H4083"/>
          <cell r="I4083"/>
          <cell r="J4083"/>
          <cell r="L4083"/>
        </row>
        <row r="4084">
          <cell r="A4084"/>
          <cell r="D4084"/>
          <cell r="E4084"/>
          <cell r="F4084"/>
          <cell r="G4084"/>
          <cell r="H4084"/>
          <cell r="I4084"/>
          <cell r="J4084"/>
          <cell r="L4084"/>
        </row>
        <row r="4085">
          <cell r="A4085"/>
          <cell r="D4085"/>
          <cell r="E4085"/>
          <cell r="F4085"/>
          <cell r="G4085"/>
          <cell r="H4085"/>
          <cell r="I4085"/>
          <cell r="J4085"/>
          <cell r="L4085"/>
        </row>
        <row r="4086">
          <cell r="A4086"/>
          <cell r="D4086"/>
          <cell r="E4086"/>
          <cell r="F4086"/>
          <cell r="G4086"/>
          <cell r="H4086"/>
          <cell r="I4086"/>
          <cell r="J4086"/>
          <cell r="L4086"/>
        </row>
        <row r="4087">
          <cell r="A4087"/>
          <cell r="D4087"/>
          <cell r="E4087"/>
          <cell r="F4087"/>
          <cell r="G4087"/>
          <cell r="H4087"/>
          <cell r="I4087"/>
          <cell r="J4087"/>
          <cell r="L4087"/>
        </row>
        <row r="4088">
          <cell r="A4088"/>
          <cell r="D4088"/>
          <cell r="E4088"/>
          <cell r="F4088"/>
          <cell r="G4088"/>
          <cell r="H4088"/>
          <cell r="I4088"/>
          <cell r="J4088"/>
          <cell r="L4088"/>
        </row>
        <row r="4089">
          <cell r="A4089"/>
          <cell r="D4089"/>
          <cell r="E4089"/>
          <cell r="F4089"/>
          <cell r="G4089"/>
          <cell r="H4089"/>
          <cell r="I4089"/>
          <cell r="J4089"/>
          <cell r="L4089"/>
        </row>
        <row r="4090">
          <cell r="A4090"/>
          <cell r="D4090"/>
          <cell r="E4090"/>
          <cell r="F4090"/>
          <cell r="G4090"/>
          <cell r="H4090"/>
          <cell r="I4090"/>
          <cell r="J4090"/>
          <cell r="L4090"/>
        </row>
        <row r="4091">
          <cell r="A4091"/>
          <cell r="D4091"/>
          <cell r="E4091"/>
          <cell r="F4091"/>
          <cell r="G4091"/>
          <cell r="H4091"/>
          <cell r="I4091"/>
          <cell r="J4091"/>
          <cell r="L4091"/>
        </row>
        <row r="4092">
          <cell r="A4092"/>
          <cell r="D4092"/>
          <cell r="E4092"/>
          <cell r="F4092"/>
          <cell r="G4092"/>
          <cell r="H4092"/>
          <cell r="I4092"/>
          <cell r="J4092"/>
          <cell r="L4092"/>
        </row>
        <row r="4093">
          <cell r="A4093"/>
          <cell r="D4093"/>
          <cell r="E4093"/>
          <cell r="F4093"/>
          <cell r="G4093"/>
          <cell r="H4093"/>
          <cell r="I4093"/>
          <cell r="J4093"/>
          <cell r="L4093"/>
        </row>
        <row r="4094">
          <cell r="A4094"/>
          <cell r="D4094"/>
          <cell r="E4094"/>
          <cell r="F4094"/>
          <cell r="G4094"/>
          <cell r="H4094"/>
          <cell r="I4094"/>
          <cell r="J4094"/>
          <cell r="L4094"/>
        </row>
        <row r="4095">
          <cell r="A4095"/>
          <cell r="D4095"/>
          <cell r="E4095"/>
          <cell r="F4095"/>
          <cell r="G4095"/>
          <cell r="H4095"/>
          <cell r="I4095"/>
          <cell r="J4095"/>
          <cell r="L4095"/>
        </row>
        <row r="4096">
          <cell r="A4096"/>
          <cell r="D4096"/>
          <cell r="E4096"/>
          <cell r="F4096"/>
          <cell r="G4096"/>
          <cell r="H4096"/>
          <cell r="I4096"/>
          <cell r="J4096"/>
          <cell r="L4096"/>
        </row>
        <row r="4097">
          <cell r="A4097"/>
          <cell r="D4097"/>
          <cell r="E4097"/>
          <cell r="F4097"/>
          <cell r="G4097"/>
          <cell r="H4097"/>
          <cell r="I4097"/>
          <cell r="J4097"/>
          <cell r="L4097"/>
        </row>
        <row r="4098">
          <cell r="A4098"/>
          <cell r="D4098"/>
          <cell r="E4098"/>
          <cell r="F4098"/>
          <cell r="G4098"/>
          <cell r="H4098"/>
          <cell r="I4098"/>
          <cell r="J4098"/>
          <cell r="L4098"/>
        </row>
        <row r="4099">
          <cell r="A4099"/>
          <cell r="D4099"/>
          <cell r="E4099"/>
          <cell r="F4099"/>
          <cell r="G4099"/>
          <cell r="H4099"/>
          <cell r="I4099"/>
          <cell r="J4099"/>
          <cell r="L4099"/>
        </row>
        <row r="4100">
          <cell r="A4100"/>
          <cell r="D4100"/>
          <cell r="E4100"/>
          <cell r="F4100"/>
          <cell r="G4100"/>
          <cell r="H4100"/>
          <cell r="I4100"/>
          <cell r="J4100"/>
          <cell r="L4100"/>
        </row>
        <row r="4101">
          <cell r="A4101"/>
          <cell r="D4101"/>
          <cell r="E4101"/>
          <cell r="F4101"/>
          <cell r="G4101"/>
          <cell r="H4101"/>
          <cell r="I4101"/>
          <cell r="J4101"/>
          <cell r="L4101"/>
        </row>
        <row r="4102">
          <cell r="A4102"/>
          <cell r="D4102"/>
          <cell r="E4102"/>
          <cell r="F4102"/>
          <cell r="G4102"/>
          <cell r="H4102"/>
          <cell r="I4102"/>
          <cell r="J4102"/>
          <cell r="L4102"/>
        </row>
        <row r="4103">
          <cell r="A4103"/>
          <cell r="D4103"/>
          <cell r="E4103"/>
          <cell r="F4103"/>
          <cell r="G4103"/>
          <cell r="H4103"/>
          <cell r="I4103"/>
          <cell r="J4103"/>
          <cell r="L4103"/>
        </row>
        <row r="4104">
          <cell r="A4104"/>
          <cell r="D4104"/>
          <cell r="E4104"/>
          <cell r="F4104"/>
          <cell r="G4104"/>
          <cell r="H4104"/>
          <cell r="I4104"/>
          <cell r="J4104"/>
          <cell r="L4104"/>
        </row>
        <row r="4105">
          <cell r="A4105"/>
          <cell r="D4105"/>
          <cell r="E4105"/>
          <cell r="F4105"/>
          <cell r="G4105"/>
          <cell r="H4105"/>
          <cell r="I4105"/>
          <cell r="J4105"/>
          <cell r="L4105"/>
        </row>
        <row r="4106">
          <cell r="A4106"/>
          <cell r="D4106"/>
          <cell r="E4106"/>
          <cell r="F4106"/>
          <cell r="G4106"/>
          <cell r="H4106"/>
          <cell r="I4106"/>
          <cell r="J4106"/>
          <cell r="L4106"/>
        </row>
        <row r="4107">
          <cell r="A4107"/>
          <cell r="D4107"/>
          <cell r="E4107"/>
          <cell r="F4107"/>
          <cell r="G4107"/>
          <cell r="H4107"/>
          <cell r="I4107"/>
          <cell r="J4107"/>
          <cell r="L4107"/>
        </row>
        <row r="4108">
          <cell r="A4108"/>
          <cell r="D4108"/>
          <cell r="E4108"/>
          <cell r="F4108"/>
          <cell r="G4108"/>
          <cell r="H4108"/>
          <cell r="I4108"/>
          <cell r="J4108"/>
          <cell r="L4108"/>
        </row>
        <row r="4109">
          <cell r="A4109"/>
          <cell r="D4109"/>
          <cell r="E4109"/>
          <cell r="F4109"/>
          <cell r="G4109"/>
          <cell r="H4109"/>
          <cell r="I4109"/>
          <cell r="J4109"/>
          <cell r="L4109"/>
        </row>
        <row r="4110">
          <cell r="A4110"/>
          <cell r="D4110"/>
          <cell r="E4110"/>
          <cell r="F4110"/>
          <cell r="G4110"/>
          <cell r="H4110"/>
          <cell r="I4110"/>
          <cell r="J4110"/>
          <cell r="L4110"/>
        </row>
        <row r="4111">
          <cell r="A4111"/>
          <cell r="D4111"/>
          <cell r="E4111"/>
          <cell r="F4111"/>
          <cell r="G4111"/>
          <cell r="H4111"/>
          <cell r="I4111"/>
          <cell r="J4111"/>
          <cell r="L4111"/>
        </row>
        <row r="4112">
          <cell r="A4112"/>
          <cell r="D4112"/>
          <cell r="E4112"/>
          <cell r="F4112"/>
          <cell r="G4112"/>
          <cell r="H4112"/>
          <cell r="I4112"/>
          <cell r="J4112"/>
          <cell r="L4112"/>
        </row>
        <row r="4113">
          <cell r="A4113"/>
          <cell r="D4113"/>
          <cell r="E4113"/>
          <cell r="F4113"/>
          <cell r="G4113"/>
          <cell r="H4113"/>
          <cell r="I4113"/>
          <cell r="J4113"/>
          <cell r="L4113"/>
        </row>
        <row r="4114">
          <cell r="A4114"/>
          <cell r="D4114"/>
          <cell r="E4114"/>
          <cell r="F4114"/>
          <cell r="G4114"/>
          <cell r="H4114"/>
          <cell r="I4114"/>
          <cell r="J4114"/>
          <cell r="L4114"/>
        </row>
        <row r="4115">
          <cell r="A4115"/>
          <cell r="D4115"/>
          <cell r="E4115"/>
          <cell r="F4115"/>
          <cell r="G4115"/>
          <cell r="H4115"/>
          <cell r="I4115"/>
          <cell r="J4115"/>
          <cell r="L4115"/>
        </row>
        <row r="4116">
          <cell r="A4116"/>
          <cell r="D4116"/>
          <cell r="E4116"/>
          <cell r="F4116"/>
          <cell r="G4116"/>
          <cell r="H4116"/>
          <cell r="I4116"/>
          <cell r="J4116"/>
          <cell r="L4116"/>
        </row>
        <row r="4117">
          <cell r="A4117"/>
          <cell r="D4117"/>
          <cell r="E4117"/>
          <cell r="F4117"/>
          <cell r="G4117"/>
          <cell r="H4117"/>
          <cell r="I4117"/>
          <cell r="J4117"/>
          <cell r="L4117"/>
        </row>
        <row r="4118">
          <cell r="A4118"/>
          <cell r="D4118"/>
          <cell r="E4118"/>
          <cell r="F4118"/>
          <cell r="G4118"/>
          <cell r="H4118"/>
          <cell r="I4118"/>
          <cell r="J4118"/>
          <cell r="L4118"/>
        </row>
        <row r="4119">
          <cell r="A4119"/>
          <cell r="D4119"/>
          <cell r="E4119"/>
          <cell r="F4119"/>
          <cell r="G4119"/>
          <cell r="H4119"/>
          <cell r="I4119"/>
          <cell r="J4119"/>
          <cell r="L4119"/>
        </row>
        <row r="4120">
          <cell r="A4120"/>
          <cell r="D4120"/>
          <cell r="E4120"/>
          <cell r="F4120"/>
          <cell r="G4120"/>
          <cell r="H4120"/>
          <cell r="I4120"/>
          <cell r="J4120"/>
          <cell r="L4120"/>
        </row>
        <row r="4121">
          <cell r="A4121"/>
          <cell r="D4121"/>
          <cell r="E4121"/>
          <cell r="F4121"/>
          <cell r="G4121"/>
          <cell r="H4121"/>
          <cell r="I4121"/>
          <cell r="J4121"/>
          <cell r="L4121"/>
        </row>
        <row r="4122">
          <cell r="A4122"/>
          <cell r="D4122"/>
          <cell r="E4122"/>
          <cell r="F4122"/>
          <cell r="G4122"/>
          <cell r="H4122"/>
          <cell r="I4122"/>
          <cell r="J4122"/>
          <cell r="L4122"/>
        </row>
        <row r="4123">
          <cell r="A4123"/>
          <cell r="D4123"/>
          <cell r="E4123"/>
          <cell r="F4123"/>
          <cell r="G4123"/>
          <cell r="H4123"/>
          <cell r="I4123"/>
          <cell r="J4123"/>
          <cell r="L4123"/>
        </row>
        <row r="4124">
          <cell r="A4124"/>
          <cell r="D4124"/>
          <cell r="E4124"/>
          <cell r="F4124"/>
          <cell r="G4124"/>
          <cell r="H4124"/>
          <cell r="I4124"/>
          <cell r="J4124"/>
          <cell r="L4124"/>
        </row>
        <row r="4125">
          <cell r="A4125"/>
          <cell r="D4125"/>
          <cell r="E4125"/>
          <cell r="F4125"/>
          <cell r="G4125"/>
          <cell r="H4125"/>
          <cell r="I4125"/>
          <cell r="J4125"/>
          <cell r="L4125"/>
        </row>
        <row r="4126">
          <cell r="A4126"/>
          <cell r="D4126"/>
          <cell r="E4126"/>
          <cell r="F4126"/>
          <cell r="G4126"/>
          <cell r="H4126"/>
          <cell r="I4126"/>
          <cell r="J4126"/>
          <cell r="L4126"/>
        </row>
        <row r="4127">
          <cell r="A4127"/>
          <cell r="D4127"/>
          <cell r="E4127"/>
          <cell r="F4127"/>
          <cell r="G4127"/>
          <cell r="H4127"/>
          <cell r="I4127"/>
          <cell r="J4127"/>
          <cell r="L4127"/>
        </row>
        <row r="4128">
          <cell r="A4128"/>
          <cell r="D4128"/>
          <cell r="E4128"/>
          <cell r="F4128"/>
          <cell r="G4128"/>
          <cell r="H4128"/>
          <cell r="I4128"/>
          <cell r="J4128"/>
          <cell r="L4128"/>
        </row>
        <row r="4129">
          <cell r="A4129"/>
          <cell r="D4129"/>
          <cell r="E4129"/>
          <cell r="F4129"/>
          <cell r="G4129"/>
          <cell r="H4129"/>
          <cell r="I4129"/>
          <cell r="J4129"/>
          <cell r="L4129"/>
        </row>
        <row r="4130">
          <cell r="A4130"/>
          <cell r="D4130"/>
          <cell r="E4130"/>
          <cell r="F4130"/>
          <cell r="G4130"/>
          <cell r="H4130"/>
          <cell r="I4130"/>
          <cell r="J4130"/>
          <cell r="L4130"/>
        </row>
        <row r="4131">
          <cell r="A4131"/>
          <cell r="D4131"/>
          <cell r="E4131"/>
          <cell r="F4131"/>
          <cell r="G4131"/>
          <cell r="H4131"/>
          <cell r="I4131"/>
          <cell r="J4131"/>
          <cell r="L4131"/>
        </row>
        <row r="4132">
          <cell r="A4132"/>
          <cell r="D4132"/>
          <cell r="E4132"/>
          <cell r="F4132"/>
          <cell r="G4132"/>
          <cell r="H4132"/>
          <cell r="I4132"/>
          <cell r="J4132"/>
          <cell r="L4132"/>
        </row>
        <row r="4133">
          <cell r="A4133"/>
          <cell r="D4133"/>
          <cell r="E4133"/>
          <cell r="F4133"/>
          <cell r="G4133"/>
          <cell r="H4133"/>
          <cell r="I4133"/>
          <cell r="J4133"/>
          <cell r="L4133"/>
        </row>
        <row r="4134">
          <cell r="A4134"/>
          <cell r="D4134"/>
          <cell r="E4134"/>
          <cell r="F4134"/>
          <cell r="G4134"/>
          <cell r="H4134"/>
          <cell r="I4134"/>
          <cell r="J4134"/>
          <cell r="L4134"/>
        </row>
        <row r="4135">
          <cell r="A4135"/>
          <cell r="D4135"/>
          <cell r="E4135"/>
          <cell r="F4135"/>
          <cell r="G4135"/>
          <cell r="H4135"/>
          <cell r="I4135"/>
          <cell r="J4135"/>
          <cell r="L4135"/>
        </row>
        <row r="4136">
          <cell r="A4136"/>
          <cell r="D4136"/>
          <cell r="E4136"/>
          <cell r="F4136"/>
          <cell r="G4136"/>
          <cell r="H4136"/>
          <cell r="I4136"/>
          <cell r="J4136"/>
          <cell r="L4136"/>
        </row>
        <row r="4137">
          <cell r="A4137"/>
          <cell r="D4137"/>
          <cell r="E4137"/>
          <cell r="F4137"/>
          <cell r="G4137"/>
          <cell r="H4137"/>
          <cell r="I4137"/>
          <cell r="J4137"/>
          <cell r="L4137"/>
        </row>
        <row r="4138">
          <cell r="A4138"/>
          <cell r="D4138"/>
          <cell r="E4138"/>
          <cell r="F4138"/>
          <cell r="G4138"/>
          <cell r="H4138"/>
          <cell r="I4138"/>
          <cell r="J4138"/>
          <cell r="L4138"/>
        </row>
        <row r="4139">
          <cell r="A4139"/>
          <cell r="D4139"/>
          <cell r="E4139"/>
          <cell r="F4139"/>
          <cell r="G4139"/>
          <cell r="H4139"/>
          <cell r="I4139"/>
          <cell r="J4139"/>
          <cell r="L4139"/>
        </row>
        <row r="4140">
          <cell r="A4140"/>
          <cell r="D4140"/>
          <cell r="E4140"/>
          <cell r="F4140"/>
          <cell r="G4140"/>
          <cell r="H4140"/>
          <cell r="I4140"/>
          <cell r="J4140"/>
          <cell r="L4140"/>
        </row>
        <row r="4141">
          <cell r="A4141"/>
          <cell r="D4141"/>
          <cell r="E4141"/>
          <cell r="F4141"/>
          <cell r="G4141"/>
          <cell r="H4141"/>
          <cell r="I4141"/>
          <cell r="J4141"/>
          <cell r="L4141"/>
        </row>
        <row r="4142">
          <cell r="A4142"/>
          <cell r="D4142"/>
          <cell r="E4142"/>
          <cell r="F4142"/>
          <cell r="G4142"/>
          <cell r="H4142"/>
          <cell r="I4142"/>
          <cell r="J4142"/>
          <cell r="L4142"/>
        </row>
        <row r="4143">
          <cell r="A4143"/>
          <cell r="D4143"/>
          <cell r="E4143"/>
          <cell r="F4143"/>
          <cell r="G4143"/>
          <cell r="H4143"/>
          <cell r="I4143"/>
          <cell r="J4143"/>
          <cell r="L4143"/>
        </row>
        <row r="4144">
          <cell r="A4144"/>
          <cell r="D4144"/>
          <cell r="E4144"/>
          <cell r="F4144"/>
          <cell r="G4144"/>
          <cell r="H4144"/>
          <cell r="I4144"/>
          <cell r="J4144"/>
          <cell r="L4144"/>
        </row>
        <row r="4145">
          <cell r="A4145"/>
          <cell r="D4145"/>
          <cell r="E4145"/>
          <cell r="F4145"/>
          <cell r="G4145"/>
          <cell r="H4145"/>
          <cell r="I4145"/>
          <cell r="J4145"/>
          <cell r="L4145"/>
        </row>
        <row r="4146">
          <cell r="A4146"/>
          <cell r="D4146"/>
          <cell r="E4146"/>
          <cell r="F4146"/>
          <cell r="G4146"/>
          <cell r="H4146"/>
          <cell r="I4146"/>
          <cell r="J4146"/>
          <cell r="L4146"/>
        </row>
        <row r="4147">
          <cell r="A4147"/>
          <cell r="D4147"/>
          <cell r="E4147"/>
          <cell r="F4147"/>
          <cell r="G4147"/>
          <cell r="H4147"/>
          <cell r="I4147"/>
          <cell r="J4147"/>
          <cell r="L4147"/>
        </row>
        <row r="4148">
          <cell r="A4148"/>
          <cell r="D4148"/>
          <cell r="E4148"/>
          <cell r="F4148"/>
          <cell r="G4148"/>
          <cell r="H4148"/>
          <cell r="I4148"/>
          <cell r="J4148"/>
          <cell r="L4148"/>
        </row>
        <row r="4149">
          <cell r="A4149"/>
          <cell r="D4149"/>
          <cell r="E4149"/>
          <cell r="F4149"/>
          <cell r="G4149"/>
          <cell r="H4149"/>
          <cell r="I4149"/>
          <cell r="J4149"/>
          <cell r="L4149"/>
        </row>
        <row r="4150">
          <cell r="A4150"/>
          <cell r="D4150"/>
          <cell r="E4150"/>
          <cell r="F4150"/>
          <cell r="G4150"/>
          <cell r="H4150"/>
          <cell r="I4150"/>
          <cell r="J4150"/>
          <cell r="L4150"/>
        </row>
        <row r="4151">
          <cell r="A4151"/>
          <cell r="D4151"/>
          <cell r="E4151"/>
          <cell r="F4151"/>
          <cell r="G4151"/>
          <cell r="H4151"/>
          <cell r="I4151"/>
          <cell r="J4151"/>
          <cell r="L4151"/>
        </row>
        <row r="4152">
          <cell r="A4152"/>
          <cell r="D4152"/>
          <cell r="E4152"/>
          <cell r="F4152"/>
          <cell r="G4152"/>
          <cell r="H4152"/>
          <cell r="I4152"/>
          <cell r="J4152"/>
          <cell r="L4152"/>
        </row>
        <row r="4153">
          <cell r="A4153"/>
          <cell r="D4153"/>
          <cell r="E4153"/>
          <cell r="F4153"/>
          <cell r="G4153"/>
          <cell r="H4153"/>
          <cell r="I4153"/>
          <cell r="J4153"/>
          <cell r="L4153"/>
        </row>
        <row r="4154">
          <cell r="A4154"/>
          <cell r="D4154"/>
          <cell r="E4154"/>
          <cell r="F4154"/>
          <cell r="G4154"/>
          <cell r="H4154"/>
          <cell r="I4154"/>
          <cell r="J4154"/>
          <cell r="L4154"/>
        </row>
        <row r="4155">
          <cell r="A4155"/>
          <cell r="D4155"/>
          <cell r="E4155"/>
          <cell r="F4155"/>
          <cell r="G4155"/>
          <cell r="H4155"/>
          <cell r="I4155"/>
          <cell r="J4155"/>
          <cell r="L4155"/>
        </row>
        <row r="4156">
          <cell r="A4156"/>
          <cell r="D4156"/>
          <cell r="E4156"/>
          <cell r="F4156"/>
          <cell r="G4156"/>
          <cell r="H4156"/>
          <cell r="I4156"/>
          <cell r="J4156"/>
          <cell r="L4156"/>
        </row>
        <row r="4157">
          <cell r="A4157"/>
          <cell r="D4157"/>
          <cell r="E4157"/>
          <cell r="F4157"/>
          <cell r="G4157"/>
          <cell r="H4157"/>
          <cell r="I4157"/>
          <cell r="J4157"/>
          <cell r="L4157"/>
        </row>
        <row r="4158">
          <cell r="A4158"/>
          <cell r="D4158"/>
          <cell r="E4158"/>
          <cell r="F4158"/>
          <cell r="G4158"/>
          <cell r="H4158"/>
          <cell r="I4158"/>
          <cell r="J4158"/>
          <cell r="L4158"/>
        </row>
        <row r="4159">
          <cell r="A4159"/>
          <cell r="D4159"/>
          <cell r="E4159"/>
          <cell r="F4159"/>
          <cell r="G4159"/>
          <cell r="H4159"/>
          <cell r="I4159"/>
          <cell r="J4159"/>
          <cell r="L4159"/>
        </row>
        <row r="4160">
          <cell r="A4160"/>
          <cell r="D4160"/>
          <cell r="E4160"/>
          <cell r="F4160"/>
          <cell r="G4160"/>
          <cell r="H4160"/>
          <cell r="I4160"/>
          <cell r="J4160"/>
          <cell r="L4160"/>
        </row>
        <row r="4161">
          <cell r="A4161"/>
          <cell r="D4161"/>
          <cell r="E4161"/>
          <cell r="F4161"/>
          <cell r="G4161"/>
          <cell r="H4161"/>
          <cell r="I4161"/>
          <cell r="J4161"/>
          <cell r="L4161"/>
        </row>
        <row r="4162">
          <cell r="A4162"/>
          <cell r="D4162"/>
          <cell r="E4162"/>
          <cell r="F4162"/>
          <cell r="G4162"/>
          <cell r="H4162"/>
          <cell r="I4162"/>
          <cell r="J4162"/>
          <cell r="L4162"/>
        </row>
        <row r="4163">
          <cell r="A4163"/>
          <cell r="D4163"/>
          <cell r="E4163"/>
          <cell r="F4163"/>
          <cell r="G4163"/>
          <cell r="H4163"/>
          <cell r="I4163"/>
          <cell r="J4163"/>
          <cell r="L4163"/>
        </row>
        <row r="4164">
          <cell r="A4164"/>
          <cell r="D4164"/>
          <cell r="E4164"/>
          <cell r="F4164"/>
          <cell r="G4164"/>
          <cell r="H4164"/>
          <cell r="I4164"/>
          <cell r="J4164"/>
          <cell r="L4164"/>
        </row>
        <row r="4165">
          <cell r="A4165"/>
          <cell r="D4165"/>
          <cell r="E4165"/>
          <cell r="F4165"/>
          <cell r="G4165"/>
          <cell r="H4165"/>
          <cell r="I4165"/>
          <cell r="J4165"/>
          <cell r="L4165"/>
        </row>
        <row r="4166">
          <cell r="A4166"/>
          <cell r="D4166"/>
          <cell r="E4166"/>
          <cell r="F4166"/>
          <cell r="G4166"/>
          <cell r="H4166"/>
          <cell r="I4166"/>
          <cell r="J4166"/>
          <cell r="L4166"/>
        </row>
        <row r="4167">
          <cell r="A4167"/>
          <cell r="D4167"/>
          <cell r="E4167"/>
          <cell r="F4167"/>
          <cell r="G4167"/>
          <cell r="H4167"/>
          <cell r="I4167"/>
          <cell r="J4167"/>
          <cell r="L4167"/>
        </row>
        <row r="4168">
          <cell r="A4168"/>
          <cell r="D4168"/>
          <cell r="E4168"/>
          <cell r="F4168"/>
          <cell r="G4168"/>
          <cell r="H4168"/>
          <cell r="I4168"/>
          <cell r="J4168"/>
          <cell r="L4168"/>
        </row>
        <row r="4169">
          <cell r="A4169"/>
          <cell r="D4169"/>
          <cell r="E4169"/>
          <cell r="F4169"/>
          <cell r="G4169"/>
          <cell r="H4169"/>
          <cell r="I4169"/>
          <cell r="J4169"/>
          <cell r="L4169"/>
        </row>
        <row r="4170">
          <cell r="A4170"/>
          <cell r="D4170"/>
          <cell r="E4170"/>
          <cell r="F4170"/>
          <cell r="G4170"/>
          <cell r="H4170"/>
          <cell r="I4170"/>
          <cell r="J4170"/>
          <cell r="L4170"/>
        </row>
        <row r="4171">
          <cell r="A4171"/>
          <cell r="D4171"/>
          <cell r="E4171"/>
          <cell r="F4171"/>
          <cell r="G4171"/>
          <cell r="H4171"/>
          <cell r="I4171"/>
          <cell r="J4171"/>
          <cell r="L4171"/>
        </row>
        <row r="4172">
          <cell r="A4172"/>
          <cell r="D4172"/>
          <cell r="E4172"/>
          <cell r="F4172"/>
          <cell r="G4172"/>
          <cell r="H4172"/>
          <cell r="I4172"/>
          <cell r="J4172"/>
          <cell r="L4172"/>
        </row>
        <row r="4173">
          <cell r="A4173"/>
          <cell r="D4173"/>
          <cell r="E4173"/>
          <cell r="F4173"/>
          <cell r="G4173"/>
          <cell r="H4173"/>
          <cell r="I4173"/>
          <cell r="J4173"/>
          <cell r="L4173"/>
        </row>
        <row r="4174">
          <cell r="A4174"/>
          <cell r="D4174"/>
          <cell r="E4174"/>
          <cell r="F4174"/>
          <cell r="G4174"/>
          <cell r="H4174"/>
          <cell r="I4174"/>
          <cell r="J4174"/>
          <cell r="L4174"/>
        </row>
        <row r="4175">
          <cell r="A4175"/>
          <cell r="D4175"/>
          <cell r="E4175"/>
          <cell r="F4175"/>
          <cell r="G4175"/>
          <cell r="H4175"/>
          <cell r="I4175"/>
          <cell r="J4175"/>
          <cell r="L4175"/>
        </row>
        <row r="4176">
          <cell r="A4176"/>
          <cell r="D4176"/>
          <cell r="E4176"/>
          <cell r="F4176"/>
          <cell r="G4176"/>
          <cell r="H4176"/>
          <cell r="I4176"/>
          <cell r="J4176"/>
          <cell r="L4176"/>
        </row>
        <row r="4177">
          <cell r="A4177"/>
          <cell r="D4177"/>
          <cell r="E4177"/>
          <cell r="F4177"/>
          <cell r="G4177"/>
          <cell r="H4177"/>
          <cell r="I4177"/>
          <cell r="J4177"/>
          <cell r="L4177"/>
        </row>
        <row r="4178">
          <cell r="A4178"/>
          <cell r="D4178"/>
          <cell r="E4178"/>
          <cell r="F4178"/>
          <cell r="G4178"/>
          <cell r="H4178"/>
          <cell r="I4178"/>
          <cell r="J4178"/>
          <cell r="L4178"/>
        </row>
        <row r="4179">
          <cell r="A4179"/>
          <cell r="D4179"/>
          <cell r="E4179"/>
          <cell r="F4179"/>
          <cell r="G4179"/>
          <cell r="H4179"/>
          <cell r="I4179"/>
          <cell r="J4179"/>
          <cell r="L4179"/>
        </row>
        <row r="4180">
          <cell r="A4180"/>
          <cell r="D4180"/>
          <cell r="E4180"/>
          <cell r="F4180"/>
          <cell r="G4180"/>
          <cell r="H4180"/>
          <cell r="I4180"/>
          <cell r="J4180"/>
          <cell r="L4180"/>
        </row>
        <row r="4181">
          <cell r="A4181"/>
          <cell r="D4181"/>
          <cell r="E4181"/>
          <cell r="F4181"/>
          <cell r="G4181"/>
          <cell r="H4181"/>
          <cell r="I4181"/>
          <cell r="J4181"/>
          <cell r="L4181"/>
        </row>
        <row r="4182">
          <cell r="A4182"/>
          <cell r="D4182"/>
          <cell r="E4182"/>
          <cell r="F4182"/>
          <cell r="G4182"/>
          <cell r="H4182"/>
          <cell r="I4182"/>
          <cell r="J4182"/>
          <cell r="L4182"/>
        </row>
        <row r="4183">
          <cell r="A4183"/>
          <cell r="D4183"/>
          <cell r="E4183"/>
          <cell r="F4183"/>
          <cell r="G4183"/>
          <cell r="H4183"/>
          <cell r="I4183"/>
          <cell r="J4183"/>
          <cell r="L4183"/>
        </row>
        <row r="4184">
          <cell r="A4184"/>
          <cell r="D4184"/>
          <cell r="E4184"/>
          <cell r="F4184"/>
          <cell r="G4184"/>
          <cell r="H4184"/>
          <cell r="I4184"/>
          <cell r="J4184"/>
          <cell r="L4184"/>
        </row>
        <row r="4185">
          <cell r="A4185"/>
          <cell r="D4185"/>
          <cell r="E4185"/>
          <cell r="F4185"/>
          <cell r="G4185"/>
          <cell r="H4185"/>
          <cell r="I4185"/>
          <cell r="J4185"/>
          <cell r="L4185"/>
        </row>
        <row r="4186">
          <cell r="A4186"/>
          <cell r="D4186"/>
          <cell r="E4186"/>
          <cell r="F4186"/>
          <cell r="G4186"/>
          <cell r="H4186"/>
          <cell r="I4186"/>
          <cell r="J4186"/>
          <cell r="L4186"/>
        </row>
        <row r="4187">
          <cell r="A4187"/>
          <cell r="D4187"/>
          <cell r="E4187"/>
          <cell r="F4187"/>
          <cell r="G4187"/>
          <cell r="H4187"/>
          <cell r="I4187"/>
          <cell r="J4187"/>
          <cell r="L4187"/>
        </row>
        <row r="4188">
          <cell r="A4188"/>
          <cell r="D4188"/>
          <cell r="E4188"/>
          <cell r="F4188"/>
          <cell r="G4188"/>
          <cell r="H4188"/>
          <cell r="I4188"/>
          <cell r="J4188"/>
          <cell r="L4188"/>
        </row>
        <row r="4189">
          <cell r="A4189"/>
          <cell r="D4189"/>
          <cell r="E4189"/>
          <cell r="F4189"/>
          <cell r="G4189"/>
          <cell r="H4189"/>
          <cell r="I4189"/>
          <cell r="J4189"/>
          <cell r="L4189"/>
        </row>
        <row r="4190">
          <cell r="A4190"/>
          <cell r="D4190"/>
          <cell r="E4190"/>
          <cell r="F4190"/>
          <cell r="G4190"/>
          <cell r="H4190"/>
          <cell r="I4190"/>
          <cell r="J4190"/>
          <cell r="L4190"/>
        </row>
        <row r="4191">
          <cell r="A4191"/>
          <cell r="D4191"/>
          <cell r="E4191"/>
          <cell r="F4191"/>
          <cell r="G4191"/>
          <cell r="H4191"/>
          <cell r="I4191"/>
          <cell r="J4191"/>
          <cell r="L4191"/>
        </row>
        <row r="4192">
          <cell r="A4192"/>
          <cell r="D4192"/>
          <cell r="E4192"/>
          <cell r="F4192"/>
          <cell r="G4192"/>
          <cell r="H4192"/>
          <cell r="I4192"/>
          <cell r="J4192"/>
          <cell r="L4192"/>
        </row>
        <row r="4193">
          <cell r="A4193"/>
          <cell r="D4193"/>
          <cell r="E4193"/>
          <cell r="F4193"/>
          <cell r="G4193"/>
          <cell r="H4193"/>
          <cell r="I4193"/>
          <cell r="J4193"/>
          <cell r="L4193"/>
        </row>
        <row r="4194">
          <cell r="A4194"/>
          <cell r="D4194"/>
          <cell r="E4194"/>
          <cell r="F4194"/>
          <cell r="G4194"/>
          <cell r="H4194"/>
          <cell r="I4194"/>
          <cell r="J4194"/>
          <cell r="L4194"/>
        </row>
        <row r="4195">
          <cell r="A4195"/>
          <cell r="D4195"/>
          <cell r="E4195"/>
          <cell r="F4195"/>
          <cell r="G4195"/>
          <cell r="H4195"/>
          <cell r="I4195"/>
          <cell r="J4195"/>
          <cell r="L4195"/>
        </row>
        <row r="4196">
          <cell r="A4196"/>
          <cell r="D4196"/>
          <cell r="E4196"/>
          <cell r="F4196"/>
          <cell r="G4196"/>
          <cell r="H4196"/>
          <cell r="I4196"/>
          <cell r="J4196"/>
          <cell r="L4196"/>
        </row>
        <row r="4197">
          <cell r="A4197"/>
          <cell r="D4197"/>
          <cell r="E4197"/>
          <cell r="F4197"/>
          <cell r="G4197"/>
          <cell r="H4197"/>
          <cell r="I4197"/>
          <cell r="J4197"/>
          <cell r="L4197"/>
        </row>
        <row r="4198">
          <cell r="A4198"/>
          <cell r="D4198"/>
          <cell r="E4198"/>
          <cell r="F4198"/>
          <cell r="G4198"/>
          <cell r="H4198"/>
          <cell r="I4198"/>
          <cell r="J4198"/>
          <cell r="L4198"/>
        </row>
        <row r="4199">
          <cell r="A4199"/>
          <cell r="D4199"/>
          <cell r="E4199"/>
          <cell r="F4199"/>
          <cell r="G4199"/>
          <cell r="H4199"/>
          <cell r="I4199"/>
          <cell r="J4199"/>
          <cell r="L4199"/>
        </row>
        <row r="4200">
          <cell r="A4200"/>
          <cell r="D4200"/>
          <cell r="E4200"/>
          <cell r="F4200"/>
          <cell r="G4200"/>
          <cell r="H4200"/>
          <cell r="I4200"/>
          <cell r="J4200"/>
          <cell r="L4200"/>
        </row>
        <row r="4201">
          <cell r="A4201"/>
          <cell r="D4201"/>
          <cell r="E4201"/>
          <cell r="F4201"/>
          <cell r="G4201"/>
          <cell r="H4201"/>
          <cell r="I4201"/>
          <cell r="J4201"/>
          <cell r="L4201"/>
        </row>
        <row r="4202">
          <cell r="A4202"/>
          <cell r="D4202"/>
          <cell r="E4202"/>
          <cell r="F4202"/>
          <cell r="G4202"/>
          <cell r="H4202"/>
          <cell r="I4202"/>
          <cell r="J4202"/>
          <cell r="L4202"/>
        </row>
        <row r="4203">
          <cell r="A4203"/>
          <cell r="D4203"/>
          <cell r="E4203"/>
          <cell r="F4203"/>
          <cell r="G4203"/>
          <cell r="H4203"/>
          <cell r="I4203"/>
          <cell r="J4203"/>
          <cell r="L4203"/>
        </row>
        <row r="4204">
          <cell r="A4204"/>
          <cell r="D4204"/>
          <cell r="E4204"/>
          <cell r="F4204"/>
          <cell r="G4204"/>
          <cell r="H4204"/>
          <cell r="I4204"/>
          <cell r="J4204"/>
          <cell r="L4204"/>
        </row>
        <row r="4205">
          <cell r="A4205"/>
          <cell r="D4205"/>
          <cell r="E4205"/>
          <cell r="F4205"/>
          <cell r="G4205"/>
          <cell r="H4205"/>
          <cell r="I4205"/>
          <cell r="J4205"/>
          <cell r="L4205"/>
        </row>
        <row r="4206">
          <cell r="A4206"/>
          <cell r="D4206"/>
          <cell r="E4206"/>
          <cell r="F4206"/>
          <cell r="G4206"/>
          <cell r="H4206"/>
          <cell r="I4206"/>
          <cell r="J4206"/>
          <cell r="L4206"/>
        </row>
        <row r="4207">
          <cell r="A4207"/>
          <cell r="D4207"/>
          <cell r="E4207"/>
          <cell r="F4207"/>
          <cell r="G4207"/>
          <cell r="H4207"/>
          <cell r="I4207"/>
          <cell r="J4207"/>
          <cell r="L4207"/>
        </row>
        <row r="4208">
          <cell r="A4208"/>
          <cell r="D4208"/>
          <cell r="E4208"/>
          <cell r="F4208"/>
          <cell r="G4208"/>
          <cell r="H4208"/>
          <cell r="I4208"/>
          <cell r="J4208"/>
          <cell r="L4208"/>
        </row>
        <row r="4209">
          <cell r="A4209"/>
          <cell r="D4209"/>
          <cell r="E4209"/>
          <cell r="F4209"/>
          <cell r="G4209"/>
          <cell r="H4209"/>
          <cell r="I4209"/>
          <cell r="J4209"/>
          <cell r="L4209"/>
        </row>
        <row r="4210">
          <cell r="A4210"/>
          <cell r="D4210"/>
          <cell r="E4210"/>
          <cell r="F4210"/>
          <cell r="G4210"/>
          <cell r="H4210"/>
          <cell r="I4210"/>
          <cell r="J4210"/>
          <cell r="L4210"/>
        </row>
        <row r="4211">
          <cell r="A4211"/>
          <cell r="D4211"/>
          <cell r="E4211"/>
          <cell r="F4211"/>
          <cell r="G4211"/>
          <cell r="H4211"/>
          <cell r="I4211"/>
          <cell r="J4211"/>
          <cell r="L4211"/>
        </row>
        <row r="4212">
          <cell r="A4212"/>
          <cell r="D4212"/>
          <cell r="E4212"/>
          <cell r="F4212"/>
          <cell r="G4212"/>
          <cell r="H4212"/>
          <cell r="I4212"/>
          <cell r="J4212"/>
          <cell r="L4212"/>
        </row>
        <row r="4213">
          <cell r="A4213"/>
          <cell r="D4213"/>
          <cell r="E4213"/>
          <cell r="F4213"/>
          <cell r="G4213"/>
          <cell r="H4213"/>
          <cell r="I4213"/>
          <cell r="J4213"/>
          <cell r="L4213"/>
        </row>
        <row r="4214">
          <cell r="A4214"/>
          <cell r="D4214"/>
          <cell r="E4214"/>
          <cell r="F4214"/>
          <cell r="G4214"/>
          <cell r="H4214"/>
          <cell r="I4214"/>
          <cell r="J4214"/>
          <cell r="L4214"/>
        </row>
        <row r="4215">
          <cell r="A4215"/>
          <cell r="D4215"/>
          <cell r="E4215"/>
          <cell r="F4215"/>
          <cell r="G4215"/>
          <cell r="H4215"/>
          <cell r="I4215"/>
          <cell r="J4215"/>
          <cell r="L4215"/>
        </row>
        <row r="4216">
          <cell r="A4216"/>
          <cell r="D4216"/>
          <cell r="E4216"/>
          <cell r="F4216"/>
          <cell r="G4216"/>
          <cell r="H4216"/>
          <cell r="I4216"/>
          <cell r="J4216"/>
          <cell r="L4216"/>
        </row>
        <row r="4217">
          <cell r="A4217"/>
          <cell r="D4217"/>
          <cell r="E4217"/>
          <cell r="F4217"/>
          <cell r="G4217"/>
          <cell r="H4217"/>
          <cell r="I4217"/>
          <cell r="J4217"/>
          <cell r="L4217"/>
        </row>
        <row r="4218">
          <cell r="A4218"/>
          <cell r="D4218"/>
          <cell r="E4218"/>
          <cell r="F4218"/>
          <cell r="G4218"/>
          <cell r="H4218"/>
          <cell r="I4218"/>
          <cell r="J4218"/>
          <cell r="L4218"/>
        </row>
        <row r="4219">
          <cell r="A4219"/>
          <cell r="D4219"/>
          <cell r="E4219"/>
          <cell r="F4219"/>
          <cell r="G4219"/>
          <cell r="H4219"/>
          <cell r="I4219"/>
          <cell r="J4219"/>
          <cell r="L4219"/>
        </row>
        <row r="4220">
          <cell r="A4220"/>
          <cell r="D4220"/>
          <cell r="E4220"/>
          <cell r="F4220"/>
          <cell r="G4220"/>
          <cell r="H4220"/>
          <cell r="I4220"/>
          <cell r="J4220"/>
          <cell r="L4220"/>
        </row>
        <row r="4221">
          <cell r="A4221"/>
          <cell r="D4221"/>
          <cell r="E4221"/>
          <cell r="F4221"/>
          <cell r="G4221"/>
          <cell r="H4221"/>
          <cell r="I4221"/>
          <cell r="J4221"/>
          <cell r="L4221"/>
        </row>
        <row r="4222">
          <cell r="A4222"/>
          <cell r="D4222"/>
          <cell r="E4222"/>
          <cell r="F4222"/>
          <cell r="G4222"/>
          <cell r="H4222"/>
          <cell r="I4222"/>
          <cell r="J4222"/>
          <cell r="L4222"/>
        </row>
        <row r="4223">
          <cell r="A4223"/>
          <cell r="D4223"/>
          <cell r="E4223"/>
          <cell r="F4223"/>
          <cell r="G4223"/>
          <cell r="H4223"/>
          <cell r="I4223"/>
          <cell r="J4223"/>
          <cell r="L4223"/>
        </row>
        <row r="4224">
          <cell r="A4224"/>
          <cell r="D4224"/>
          <cell r="E4224"/>
          <cell r="F4224"/>
          <cell r="G4224"/>
          <cell r="H4224"/>
          <cell r="I4224"/>
          <cell r="J4224"/>
          <cell r="L4224"/>
        </row>
        <row r="4225">
          <cell r="A4225"/>
          <cell r="D4225"/>
          <cell r="E4225"/>
          <cell r="F4225"/>
          <cell r="G4225"/>
          <cell r="H4225"/>
          <cell r="I4225"/>
          <cell r="J4225"/>
          <cell r="L4225"/>
        </row>
        <row r="4226">
          <cell r="A4226"/>
          <cell r="D4226"/>
          <cell r="E4226"/>
          <cell r="F4226"/>
          <cell r="G4226"/>
          <cell r="H4226"/>
          <cell r="I4226"/>
          <cell r="J4226"/>
          <cell r="L4226"/>
        </row>
        <row r="4227">
          <cell r="A4227"/>
          <cell r="D4227"/>
          <cell r="E4227"/>
          <cell r="F4227"/>
          <cell r="G4227"/>
          <cell r="H4227"/>
          <cell r="I4227"/>
          <cell r="J4227"/>
          <cell r="L4227"/>
        </row>
        <row r="4228">
          <cell r="A4228"/>
          <cell r="D4228"/>
          <cell r="E4228"/>
          <cell r="F4228"/>
          <cell r="G4228"/>
          <cell r="H4228"/>
          <cell r="I4228"/>
          <cell r="J4228"/>
          <cell r="L4228"/>
        </row>
        <row r="4229">
          <cell r="A4229"/>
          <cell r="D4229"/>
          <cell r="E4229"/>
          <cell r="F4229"/>
          <cell r="G4229"/>
          <cell r="H4229"/>
          <cell r="I4229"/>
          <cell r="J4229"/>
          <cell r="L4229"/>
        </row>
        <row r="4230">
          <cell r="A4230"/>
          <cell r="D4230"/>
          <cell r="E4230"/>
          <cell r="F4230"/>
          <cell r="G4230"/>
          <cell r="H4230"/>
          <cell r="I4230"/>
          <cell r="J4230"/>
          <cell r="L4230"/>
        </row>
        <row r="4231">
          <cell r="A4231"/>
          <cell r="D4231"/>
          <cell r="E4231"/>
          <cell r="F4231"/>
          <cell r="G4231"/>
          <cell r="H4231"/>
          <cell r="I4231"/>
          <cell r="J4231"/>
          <cell r="L4231"/>
        </row>
        <row r="4232">
          <cell r="A4232"/>
          <cell r="D4232"/>
          <cell r="E4232"/>
          <cell r="F4232"/>
          <cell r="G4232"/>
          <cell r="H4232"/>
          <cell r="I4232"/>
          <cell r="J4232"/>
          <cell r="L4232"/>
        </row>
        <row r="4233">
          <cell r="A4233"/>
          <cell r="D4233"/>
          <cell r="E4233"/>
          <cell r="F4233"/>
          <cell r="G4233"/>
          <cell r="H4233"/>
          <cell r="I4233"/>
          <cell r="J4233"/>
          <cell r="L4233"/>
        </row>
        <row r="4234">
          <cell r="A4234"/>
          <cell r="D4234"/>
          <cell r="E4234"/>
          <cell r="F4234"/>
          <cell r="G4234"/>
          <cell r="H4234"/>
          <cell r="I4234"/>
          <cell r="J4234"/>
          <cell r="L4234"/>
        </row>
        <row r="4235">
          <cell r="A4235"/>
          <cell r="D4235"/>
          <cell r="E4235"/>
          <cell r="F4235"/>
          <cell r="G4235"/>
          <cell r="H4235"/>
          <cell r="I4235"/>
          <cell r="J4235"/>
          <cell r="L4235"/>
        </row>
        <row r="4236">
          <cell r="A4236"/>
          <cell r="D4236"/>
          <cell r="E4236"/>
          <cell r="F4236"/>
          <cell r="G4236"/>
          <cell r="H4236"/>
          <cell r="I4236"/>
          <cell r="J4236"/>
          <cell r="L4236"/>
        </row>
        <row r="4237">
          <cell r="A4237"/>
          <cell r="D4237"/>
          <cell r="E4237"/>
          <cell r="F4237"/>
          <cell r="G4237"/>
          <cell r="H4237"/>
          <cell r="I4237"/>
          <cell r="J4237"/>
          <cell r="L4237"/>
        </row>
        <row r="4238">
          <cell r="A4238"/>
          <cell r="D4238"/>
          <cell r="E4238"/>
          <cell r="F4238"/>
          <cell r="G4238"/>
          <cell r="H4238"/>
          <cell r="I4238"/>
          <cell r="J4238"/>
          <cell r="L4238"/>
        </row>
        <row r="4239">
          <cell r="A4239"/>
          <cell r="D4239"/>
          <cell r="E4239"/>
          <cell r="F4239"/>
          <cell r="G4239"/>
          <cell r="H4239"/>
          <cell r="I4239"/>
          <cell r="J4239"/>
          <cell r="L4239"/>
        </row>
        <row r="4240">
          <cell r="A4240"/>
          <cell r="D4240"/>
          <cell r="E4240"/>
          <cell r="F4240"/>
          <cell r="G4240"/>
          <cell r="H4240"/>
          <cell r="I4240"/>
          <cell r="J4240"/>
          <cell r="L4240"/>
        </row>
        <row r="4241">
          <cell r="A4241"/>
          <cell r="D4241"/>
          <cell r="E4241"/>
          <cell r="F4241"/>
          <cell r="G4241"/>
          <cell r="H4241"/>
          <cell r="I4241"/>
          <cell r="J4241"/>
          <cell r="L4241"/>
        </row>
        <row r="4242">
          <cell r="A4242"/>
          <cell r="D4242"/>
          <cell r="E4242"/>
          <cell r="F4242"/>
          <cell r="G4242"/>
          <cell r="H4242"/>
          <cell r="I4242"/>
          <cell r="J4242"/>
          <cell r="L4242"/>
        </row>
        <row r="4243">
          <cell r="A4243"/>
          <cell r="D4243"/>
          <cell r="E4243"/>
          <cell r="F4243"/>
          <cell r="G4243"/>
          <cell r="H4243"/>
          <cell r="I4243"/>
          <cell r="J4243"/>
          <cell r="L4243"/>
        </row>
        <row r="4244">
          <cell r="A4244"/>
          <cell r="D4244"/>
          <cell r="E4244"/>
          <cell r="F4244"/>
          <cell r="G4244"/>
          <cell r="H4244"/>
          <cell r="I4244"/>
          <cell r="J4244"/>
          <cell r="L4244"/>
        </row>
        <row r="4245">
          <cell r="A4245"/>
          <cell r="D4245"/>
          <cell r="E4245"/>
          <cell r="F4245"/>
          <cell r="G4245"/>
          <cell r="H4245"/>
          <cell r="I4245"/>
          <cell r="J4245"/>
          <cell r="L4245"/>
        </row>
        <row r="4246">
          <cell r="A4246"/>
          <cell r="D4246"/>
          <cell r="E4246"/>
          <cell r="F4246"/>
          <cell r="G4246"/>
          <cell r="H4246"/>
          <cell r="I4246"/>
          <cell r="J4246"/>
          <cell r="L4246"/>
        </row>
        <row r="4247">
          <cell r="A4247"/>
          <cell r="D4247"/>
          <cell r="E4247"/>
          <cell r="F4247"/>
          <cell r="G4247"/>
          <cell r="H4247"/>
          <cell r="I4247"/>
          <cell r="J4247"/>
          <cell r="L4247"/>
        </row>
        <row r="4248">
          <cell r="A4248"/>
          <cell r="D4248"/>
          <cell r="E4248"/>
          <cell r="F4248"/>
          <cell r="G4248"/>
          <cell r="H4248"/>
          <cell r="I4248"/>
          <cell r="J4248"/>
          <cell r="L4248"/>
        </row>
        <row r="4249">
          <cell r="A4249"/>
          <cell r="D4249"/>
          <cell r="E4249"/>
          <cell r="F4249"/>
          <cell r="G4249"/>
          <cell r="H4249"/>
          <cell r="I4249"/>
          <cell r="J4249"/>
          <cell r="L4249"/>
        </row>
        <row r="4250">
          <cell r="A4250"/>
          <cell r="D4250"/>
          <cell r="E4250"/>
          <cell r="F4250"/>
          <cell r="G4250"/>
          <cell r="H4250"/>
          <cell r="I4250"/>
          <cell r="J4250"/>
          <cell r="L4250"/>
        </row>
        <row r="4251">
          <cell r="A4251"/>
          <cell r="D4251"/>
          <cell r="E4251"/>
          <cell r="F4251"/>
          <cell r="G4251"/>
          <cell r="H4251"/>
          <cell r="I4251"/>
          <cell r="J4251"/>
          <cell r="L4251"/>
        </row>
        <row r="4252">
          <cell r="A4252"/>
          <cell r="D4252"/>
          <cell r="E4252"/>
          <cell r="F4252"/>
          <cell r="G4252"/>
          <cell r="H4252"/>
          <cell r="I4252"/>
          <cell r="J4252"/>
          <cell r="L4252"/>
        </row>
        <row r="4253">
          <cell r="A4253"/>
          <cell r="D4253"/>
          <cell r="E4253"/>
          <cell r="F4253"/>
          <cell r="G4253"/>
          <cell r="H4253"/>
          <cell r="I4253"/>
          <cell r="J4253"/>
          <cell r="L4253"/>
        </row>
        <row r="4254">
          <cell r="A4254"/>
          <cell r="D4254"/>
          <cell r="E4254"/>
          <cell r="F4254"/>
          <cell r="G4254"/>
          <cell r="H4254"/>
          <cell r="I4254"/>
          <cell r="J4254"/>
          <cell r="L4254"/>
        </row>
        <row r="4255">
          <cell r="A4255"/>
          <cell r="D4255"/>
          <cell r="E4255"/>
          <cell r="F4255"/>
          <cell r="G4255"/>
          <cell r="H4255"/>
          <cell r="I4255"/>
          <cell r="J4255"/>
          <cell r="L4255"/>
        </row>
        <row r="4256">
          <cell r="A4256"/>
          <cell r="D4256"/>
          <cell r="E4256"/>
          <cell r="F4256"/>
          <cell r="G4256"/>
          <cell r="H4256"/>
          <cell r="I4256"/>
          <cell r="J4256"/>
          <cell r="L4256"/>
        </row>
        <row r="4257">
          <cell r="A4257"/>
          <cell r="D4257"/>
          <cell r="E4257"/>
          <cell r="F4257"/>
          <cell r="G4257"/>
          <cell r="H4257"/>
          <cell r="I4257"/>
          <cell r="J4257"/>
          <cell r="L4257"/>
        </row>
        <row r="4258">
          <cell r="A4258"/>
          <cell r="D4258"/>
          <cell r="E4258"/>
          <cell r="F4258"/>
          <cell r="G4258"/>
          <cell r="H4258"/>
          <cell r="I4258"/>
          <cell r="J4258"/>
          <cell r="L4258"/>
        </row>
        <row r="4259">
          <cell r="A4259"/>
          <cell r="D4259"/>
          <cell r="E4259"/>
          <cell r="F4259"/>
          <cell r="G4259"/>
          <cell r="H4259"/>
          <cell r="I4259"/>
          <cell r="J4259"/>
          <cell r="L4259"/>
        </row>
        <row r="4260">
          <cell r="A4260"/>
          <cell r="D4260"/>
          <cell r="E4260"/>
          <cell r="F4260"/>
          <cell r="G4260"/>
          <cell r="H4260"/>
          <cell r="I4260"/>
          <cell r="J4260"/>
          <cell r="L4260"/>
        </row>
        <row r="4261">
          <cell r="A4261"/>
          <cell r="D4261"/>
          <cell r="E4261"/>
          <cell r="F4261"/>
          <cell r="G4261"/>
          <cell r="H4261"/>
          <cell r="I4261"/>
          <cell r="J4261"/>
          <cell r="L4261"/>
        </row>
        <row r="4262">
          <cell r="A4262"/>
          <cell r="D4262"/>
          <cell r="E4262"/>
          <cell r="F4262"/>
          <cell r="G4262"/>
          <cell r="H4262"/>
          <cell r="I4262"/>
          <cell r="J4262"/>
          <cell r="L4262"/>
        </row>
        <row r="4263">
          <cell r="A4263"/>
          <cell r="D4263"/>
          <cell r="E4263"/>
          <cell r="F4263"/>
          <cell r="G4263"/>
          <cell r="H4263"/>
          <cell r="I4263"/>
          <cell r="J4263"/>
          <cell r="L4263"/>
        </row>
        <row r="4264">
          <cell r="A4264"/>
          <cell r="D4264"/>
          <cell r="E4264"/>
          <cell r="F4264"/>
          <cell r="G4264"/>
          <cell r="H4264"/>
          <cell r="I4264"/>
          <cell r="J4264"/>
          <cell r="L4264"/>
        </row>
        <row r="4265">
          <cell r="A4265"/>
          <cell r="D4265"/>
          <cell r="E4265"/>
          <cell r="F4265"/>
          <cell r="G4265"/>
          <cell r="H4265"/>
          <cell r="I4265"/>
          <cell r="J4265"/>
          <cell r="L4265"/>
        </row>
        <row r="4266">
          <cell r="A4266"/>
          <cell r="D4266"/>
          <cell r="E4266"/>
          <cell r="F4266"/>
          <cell r="G4266"/>
          <cell r="H4266"/>
          <cell r="I4266"/>
          <cell r="J4266"/>
          <cell r="L4266"/>
        </row>
        <row r="4267">
          <cell r="A4267"/>
          <cell r="D4267"/>
          <cell r="E4267"/>
          <cell r="F4267"/>
          <cell r="G4267"/>
          <cell r="H4267"/>
          <cell r="I4267"/>
          <cell r="J4267"/>
          <cell r="L4267"/>
        </row>
        <row r="4268">
          <cell r="A4268"/>
          <cell r="D4268"/>
          <cell r="E4268"/>
          <cell r="F4268"/>
          <cell r="G4268"/>
          <cell r="H4268"/>
          <cell r="I4268"/>
          <cell r="J4268"/>
          <cell r="L4268"/>
        </row>
        <row r="4269">
          <cell r="A4269"/>
          <cell r="D4269"/>
          <cell r="E4269"/>
          <cell r="F4269"/>
          <cell r="G4269"/>
          <cell r="H4269"/>
          <cell r="I4269"/>
          <cell r="J4269"/>
          <cell r="L4269"/>
        </row>
        <row r="4270">
          <cell r="A4270"/>
          <cell r="D4270"/>
          <cell r="E4270"/>
          <cell r="F4270"/>
          <cell r="G4270"/>
          <cell r="H4270"/>
          <cell r="I4270"/>
          <cell r="J4270"/>
          <cell r="L4270"/>
        </row>
        <row r="4271">
          <cell r="A4271"/>
          <cell r="D4271"/>
          <cell r="E4271"/>
          <cell r="F4271"/>
          <cell r="G4271"/>
          <cell r="H4271"/>
          <cell r="I4271"/>
          <cell r="J4271"/>
          <cell r="L4271"/>
        </row>
        <row r="4272">
          <cell r="A4272"/>
          <cell r="D4272"/>
          <cell r="E4272"/>
          <cell r="F4272"/>
          <cell r="G4272"/>
          <cell r="H4272"/>
          <cell r="I4272"/>
          <cell r="J4272"/>
          <cell r="L4272"/>
        </row>
        <row r="4273">
          <cell r="A4273"/>
          <cell r="D4273"/>
          <cell r="E4273"/>
          <cell r="F4273"/>
          <cell r="G4273"/>
          <cell r="H4273"/>
          <cell r="I4273"/>
          <cell r="J4273"/>
          <cell r="L4273"/>
        </row>
        <row r="4274">
          <cell r="A4274"/>
          <cell r="D4274"/>
          <cell r="E4274"/>
          <cell r="F4274"/>
          <cell r="G4274"/>
          <cell r="H4274"/>
          <cell r="I4274"/>
          <cell r="J4274"/>
          <cell r="L4274"/>
        </row>
        <row r="4275">
          <cell r="A4275"/>
          <cell r="D4275"/>
          <cell r="E4275"/>
          <cell r="F4275"/>
          <cell r="G4275"/>
          <cell r="H4275"/>
          <cell r="I4275"/>
          <cell r="J4275"/>
          <cell r="L4275"/>
        </row>
        <row r="4276">
          <cell r="A4276"/>
          <cell r="D4276"/>
          <cell r="E4276"/>
          <cell r="F4276"/>
          <cell r="G4276"/>
          <cell r="H4276"/>
          <cell r="I4276"/>
          <cell r="J4276"/>
          <cell r="L4276"/>
        </row>
        <row r="4277">
          <cell r="A4277"/>
          <cell r="D4277"/>
          <cell r="E4277"/>
          <cell r="F4277"/>
          <cell r="G4277"/>
          <cell r="H4277"/>
          <cell r="I4277"/>
          <cell r="J4277"/>
          <cell r="L4277"/>
        </row>
        <row r="4278">
          <cell r="A4278"/>
          <cell r="D4278"/>
          <cell r="E4278"/>
          <cell r="F4278"/>
          <cell r="G4278"/>
          <cell r="H4278"/>
          <cell r="I4278"/>
          <cell r="J4278"/>
          <cell r="L4278"/>
        </row>
        <row r="4279">
          <cell r="A4279"/>
          <cell r="D4279"/>
          <cell r="E4279"/>
          <cell r="F4279"/>
          <cell r="G4279"/>
          <cell r="H4279"/>
          <cell r="I4279"/>
          <cell r="J4279"/>
          <cell r="L4279"/>
        </row>
        <row r="4280">
          <cell r="A4280"/>
          <cell r="D4280"/>
          <cell r="E4280"/>
          <cell r="F4280"/>
          <cell r="G4280"/>
          <cell r="H4280"/>
          <cell r="I4280"/>
          <cell r="J4280"/>
          <cell r="L4280"/>
        </row>
        <row r="4281">
          <cell r="A4281"/>
          <cell r="D4281"/>
          <cell r="E4281"/>
          <cell r="F4281"/>
          <cell r="G4281"/>
          <cell r="H4281"/>
          <cell r="I4281"/>
          <cell r="J4281"/>
          <cell r="L4281"/>
        </row>
        <row r="4282">
          <cell r="A4282"/>
          <cell r="D4282"/>
          <cell r="E4282"/>
          <cell r="F4282"/>
          <cell r="G4282"/>
          <cell r="H4282"/>
          <cell r="I4282"/>
          <cell r="J4282"/>
          <cell r="L4282"/>
        </row>
        <row r="4283">
          <cell r="A4283"/>
          <cell r="D4283"/>
          <cell r="E4283"/>
          <cell r="F4283"/>
          <cell r="G4283"/>
          <cell r="H4283"/>
          <cell r="I4283"/>
          <cell r="J4283"/>
          <cell r="L4283"/>
        </row>
        <row r="4284">
          <cell r="A4284"/>
          <cell r="D4284"/>
          <cell r="E4284"/>
          <cell r="F4284"/>
          <cell r="G4284"/>
          <cell r="H4284"/>
          <cell r="I4284"/>
          <cell r="J4284"/>
          <cell r="L4284"/>
        </row>
        <row r="4285">
          <cell r="A4285"/>
          <cell r="D4285"/>
          <cell r="E4285"/>
          <cell r="F4285"/>
          <cell r="G4285"/>
          <cell r="H4285"/>
          <cell r="I4285"/>
          <cell r="J4285"/>
          <cell r="L4285"/>
        </row>
        <row r="4286">
          <cell r="A4286"/>
          <cell r="D4286"/>
          <cell r="E4286"/>
          <cell r="F4286"/>
          <cell r="G4286"/>
          <cell r="H4286"/>
          <cell r="I4286"/>
          <cell r="J4286"/>
          <cell r="L4286"/>
        </row>
        <row r="4287">
          <cell r="A4287"/>
          <cell r="D4287"/>
          <cell r="E4287"/>
          <cell r="F4287"/>
          <cell r="G4287"/>
          <cell r="H4287"/>
          <cell r="I4287"/>
          <cell r="J4287"/>
          <cell r="L4287"/>
        </row>
        <row r="4288">
          <cell r="A4288"/>
          <cell r="D4288"/>
          <cell r="E4288"/>
          <cell r="F4288"/>
          <cell r="G4288"/>
          <cell r="H4288"/>
          <cell r="I4288"/>
          <cell r="J4288"/>
          <cell r="L4288"/>
        </row>
        <row r="4289">
          <cell r="A4289"/>
          <cell r="D4289"/>
          <cell r="E4289"/>
          <cell r="F4289"/>
          <cell r="G4289"/>
          <cell r="H4289"/>
          <cell r="I4289"/>
          <cell r="J4289"/>
          <cell r="L4289"/>
        </row>
        <row r="4290">
          <cell r="A4290"/>
          <cell r="D4290"/>
          <cell r="E4290"/>
          <cell r="F4290"/>
          <cell r="G4290"/>
          <cell r="H4290"/>
          <cell r="I4290"/>
          <cell r="J4290"/>
          <cell r="L4290"/>
        </row>
        <row r="4291">
          <cell r="A4291"/>
          <cell r="D4291"/>
          <cell r="E4291"/>
          <cell r="F4291"/>
          <cell r="G4291"/>
          <cell r="H4291"/>
          <cell r="I4291"/>
          <cell r="J4291"/>
          <cell r="L4291"/>
        </row>
        <row r="4292">
          <cell r="A4292"/>
          <cell r="D4292"/>
          <cell r="E4292"/>
          <cell r="F4292"/>
          <cell r="G4292"/>
          <cell r="H4292"/>
          <cell r="I4292"/>
          <cell r="J4292"/>
          <cell r="L4292"/>
        </row>
        <row r="4293">
          <cell r="A4293"/>
          <cell r="D4293"/>
          <cell r="E4293"/>
          <cell r="F4293"/>
          <cell r="G4293"/>
          <cell r="H4293"/>
          <cell r="I4293"/>
          <cell r="J4293"/>
          <cell r="L4293"/>
        </row>
        <row r="4294">
          <cell r="A4294"/>
          <cell r="D4294"/>
          <cell r="E4294"/>
          <cell r="F4294"/>
          <cell r="G4294"/>
          <cell r="H4294"/>
          <cell r="I4294"/>
          <cell r="J4294"/>
          <cell r="L4294"/>
        </row>
        <row r="4295">
          <cell r="A4295"/>
          <cell r="D4295"/>
          <cell r="E4295"/>
          <cell r="F4295"/>
          <cell r="G4295"/>
          <cell r="H4295"/>
          <cell r="I4295"/>
          <cell r="J4295"/>
          <cell r="L4295"/>
        </row>
        <row r="4296">
          <cell r="A4296"/>
          <cell r="D4296"/>
          <cell r="E4296"/>
          <cell r="F4296"/>
          <cell r="G4296"/>
          <cell r="H4296"/>
          <cell r="I4296"/>
          <cell r="J4296"/>
          <cell r="L4296"/>
        </row>
        <row r="4297">
          <cell r="A4297"/>
          <cell r="D4297"/>
          <cell r="E4297"/>
          <cell r="F4297"/>
          <cell r="G4297"/>
          <cell r="H4297"/>
          <cell r="I4297"/>
          <cell r="J4297"/>
          <cell r="L4297"/>
        </row>
        <row r="4298">
          <cell r="A4298"/>
          <cell r="D4298"/>
          <cell r="E4298"/>
          <cell r="F4298"/>
          <cell r="G4298"/>
          <cell r="H4298"/>
          <cell r="I4298"/>
          <cell r="J4298"/>
          <cell r="L4298"/>
        </row>
        <row r="4299">
          <cell r="A4299"/>
          <cell r="D4299"/>
          <cell r="E4299"/>
          <cell r="F4299"/>
          <cell r="G4299"/>
          <cell r="H4299"/>
          <cell r="I4299"/>
          <cell r="J4299"/>
          <cell r="L4299"/>
        </row>
        <row r="4300">
          <cell r="A4300"/>
          <cell r="D4300"/>
          <cell r="E4300"/>
          <cell r="F4300"/>
          <cell r="G4300"/>
          <cell r="H4300"/>
          <cell r="I4300"/>
          <cell r="J4300"/>
          <cell r="L4300"/>
        </row>
        <row r="4301">
          <cell r="A4301"/>
          <cell r="D4301"/>
          <cell r="E4301"/>
          <cell r="F4301"/>
          <cell r="G4301"/>
          <cell r="H4301"/>
          <cell r="I4301"/>
          <cell r="J4301"/>
          <cell r="L4301"/>
        </row>
        <row r="4302">
          <cell r="A4302"/>
          <cell r="D4302"/>
          <cell r="E4302"/>
          <cell r="F4302"/>
          <cell r="G4302"/>
          <cell r="H4302"/>
          <cell r="I4302"/>
          <cell r="J4302"/>
          <cell r="L4302"/>
        </row>
        <row r="4303">
          <cell r="A4303"/>
          <cell r="D4303"/>
          <cell r="E4303"/>
          <cell r="F4303"/>
          <cell r="G4303"/>
          <cell r="H4303"/>
          <cell r="I4303"/>
          <cell r="J4303"/>
          <cell r="L4303"/>
        </row>
        <row r="4304">
          <cell r="A4304"/>
          <cell r="D4304"/>
          <cell r="E4304"/>
          <cell r="F4304"/>
          <cell r="G4304"/>
          <cell r="H4304"/>
          <cell r="I4304"/>
          <cell r="J4304"/>
          <cell r="L4304"/>
        </row>
        <row r="4305">
          <cell r="A4305"/>
          <cell r="D4305"/>
          <cell r="E4305"/>
          <cell r="F4305"/>
          <cell r="G4305"/>
          <cell r="H4305"/>
          <cell r="I4305"/>
          <cell r="J4305"/>
          <cell r="L4305"/>
        </row>
        <row r="4306">
          <cell r="A4306"/>
          <cell r="D4306"/>
          <cell r="E4306"/>
          <cell r="F4306"/>
          <cell r="G4306"/>
          <cell r="H4306"/>
          <cell r="I4306"/>
          <cell r="J4306"/>
          <cell r="L4306"/>
        </row>
        <row r="4307">
          <cell r="A4307"/>
          <cell r="D4307"/>
          <cell r="E4307"/>
          <cell r="F4307"/>
          <cell r="G4307"/>
          <cell r="H4307"/>
          <cell r="I4307"/>
          <cell r="J4307"/>
          <cell r="L4307"/>
        </row>
        <row r="4308">
          <cell r="A4308"/>
          <cell r="D4308"/>
          <cell r="E4308"/>
          <cell r="F4308"/>
          <cell r="G4308"/>
          <cell r="H4308"/>
          <cell r="I4308"/>
          <cell r="J4308"/>
          <cell r="L4308"/>
        </row>
        <row r="4309">
          <cell r="A4309"/>
          <cell r="D4309"/>
          <cell r="E4309"/>
          <cell r="F4309"/>
          <cell r="G4309"/>
          <cell r="H4309"/>
          <cell r="I4309"/>
          <cell r="J4309"/>
          <cell r="L4309"/>
        </row>
        <row r="4310">
          <cell r="A4310"/>
          <cell r="D4310"/>
          <cell r="E4310"/>
          <cell r="F4310"/>
          <cell r="G4310"/>
          <cell r="H4310"/>
          <cell r="I4310"/>
          <cell r="J4310"/>
          <cell r="L4310"/>
        </row>
        <row r="4311">
          <cell r="A4311"/>
          <cell r="D4311"/>
          <cell r="E4311"/>
          <cell r="F4311"/>
          <cell r="G4311"/>
          <cell r="H4311"/>
          <cell r="I4311"/>
          <cell r="J4311"/>
          <cell r="L4311"/>
        </row>
        <row r="4312">
          <cell r="A4312"/>
          <cell r="D4312"/>
          <cell r="E4312"/>
          <cell r="F4312"/>
          <cell r="G4312"/>
          <cell r="H4312"/>
          <cell r="I4312"/>
          <cell r="J4312"/>
          <cell r="L4312"/>
        </row>
        <row r="4313">
          <cell r="A4313"/>
          <cell r="D4313"/>
          <cell r="E4313"/>
          <cell r="F4313"/>
          <cell r="G4313"/>
          <cell r="H4313"/>
          <cell r="I4313"/>
          <cell r="J4313"/>
          <cell r="L4313"/>
        </row>
        <row r="4314">
          <cell r="A4314"/>
          <cell r="D4314"/>
          <cell r="E4314"/>
          <cell r="F4314"/>
          <cell r="G4314"/>
          <cell r="H4314"/>
          <cell r="I4314"/>
          <cell r="J4314"/>
          <cell r="L4314"/>
        </row>
        <row r="4315">
          <cell r="A4315"/>
          <cell r="D4315"/>
          <cell r="E4315"/>
          <cell r="F4315"/>
          <cell r="G4315"/>
          <cell r="H4315"/>
          <cell r="I4315"/>
          <cell r="J4315"/>
          <cell r="L4315"/>
        </row>
        <row r="4316">
          <cell r="A4316"/>
          <cell r="D4316"/>
          <cell r="E4316"/>
          <cell r="F4316"/>
          <cell r="G4316"/>
          <cell r="H4316"/>
          <cell r="I4316"/>
          <cell r="J4316"/>
          <cell r="L4316"/>
        </row>
        <row r="4317">
          <cell r="A4317"/>
          <cell r="D4317"/>
          <cell r="E4317"/>
          <cell r="F4317"/>
          <cell r="G4317"/>
          <cell r="H4317"/>
          <cell r="I4317"/>
          <cell r="J4317"/>
          <cell r="L4317"/>
        </row>
        <row r="4318">
          <cell r="A4318"/>
          <cell r="D4318"/>
          <cell r="E4318"/>
          <cell r="F4318"/>
          <cell r="G4318"/>
          <cell r="H4318"/>
          <cell r="I4318"/>
          <cell r="J4318"/>
          <cell r="L4318"/>
        </row>
        <row r="4319">
          <cell r="A4319"/>
          <cell r="D4319"/>
          <cell r="E4319"/>
          <cell r="F4319"/>
          <cell r="G4319"/>
          <cell r="H4319"/>
          <cell r="I4319"/>
          <cell r="J4319"/>
          <cell r="L4319"/>
        </row>
        <row r="4320">
          <cell r="A4320"/>
          <cell r="D4320"/>
          <cell r="E4320"/>
          <cell r="F4320"/>
          <cell r="G4320"/>
          <cell r="H4320"/>
          <cell r="I4320"/>
          <cell r="J4320"/>
          <cell r="L4320"/>
        </row>
        <row r="4321">
          <cell r="A4321"/>
          <cell r="D4321"/>
          <cell r="E4321"/>
          <cell r="F4321"/>
          <cell r="G4321"/>
          <cell r="H4321"/>
          <cell r="I4321"/>
          <cell r="J4321"/>
          <cell r="L4321"/>
        </row>
        <row r="4322">
          <cell r="A4322"/>
          <cell r="D4322"/>
          <cell r="E4322"/>
          <cell r="F4322"/>
          <cell r="G4322"/>
          <cell r="H4322"/>
          <cell r="I4322"/>
          <cell r="J4322"/>
          <cell r="L4322"/>
        </row>
        <row r="4323">
          <cell r="A4323"/>
          <cell r="D4323"/>
          <cell r="E4323"/>
          <cell r="F4323"/>
          <cell r="G4323"/>
          <cell r="H4323"/>
          <cell r="I4323"/>
          <cell r="J4323"/>
          <cell r="L4323"/>
        </row>
        <row r="4324">
          <cell r="A4324"/>
          <cell r="D4324"/>
          <cell r="E4324"/>
          <cell r="F4324"/>
          <cell r="G4324"/>
          <cell r="H4324"/>
          <cell r="I4324"/>
          <cell r="J4324"/>
          <cell r="L4324"/>
        </row>
        <row r="4325">
          <cell r="A4325"/>
          <cell r="D4325"/>
          <cell r="E4325"/>
          <cell r="F4325"/>
          <cell r="G4325"/>
          <cell r="H4325"/>
          <cell r="I4325"/>
          <cell r="J4325"/>
          <cell r="L4325"/>
        </row>
        <row r="4326">
          <cell r="A4326"/>
          <cell r="D4326"/>
          <cell r="E4326"/>
          <cell r="F4326"/>
          <cell r="G4326"/>
          <cell r="H4326"/>
          <cell r="I4326"/>
          <cell r="J4326"/>
          <cell r="L4326"/>
        </row>
        <row r="4327">
          <cell r="A4327"/>
          <cell r="D4327"/>
          <cell r="E4327"/>
          <cell r="F4327"/>
          <cell r="G4327"/>
          <cell r="H4327"/>
          <cell r="I4327"/>
          <cell r="J4327"/>
          <cell r="L4327"/>
        </row>
        <row r="4328">
          <cell r="A4328"/>
          <cell r="D4328"/>
          <cell r="E4328"/>
          <cell r="F4328"/>
          <cell r="G4328"/>
          <cell r="H4328"/>
          <cell r="I4328"/>
          <cell r="J4328"/>
          <cell r="L4328"/>
        </row>
        <row r="4329">
          <cell r="A4329"/>
          <cell r="D4329"/>
          <cell r="E4329"/>
          <cell r="F4329"/>
          <cell r="G4329"/>
          <cell r="H4329"/>
          <cell r="I4329"/>
          <cell r="J4329"/>
          <cell r="L4329"/>
        </row>
        <row r="4330">
          <cell r="A4330"/>
          <cell r="D4330"/>
          <cell r="E4330"/>
          <cell r="F4330"/>
          <cell r="G4330"/>
          <cell r="H4330"/>
          <cell r="I4330"/>
          <cell r="J4330"/>
          <cell r="L4330"/>
        </row>
        <row r="4331">
          <cell r="A4331"/>
          <cell r="D4331"/>
          <cell r="E4331"/>
          <cell r="F4331"/>
          <cell r="G4331"/>
          <cell r="H4331"/>
          <cell r="I4331"/>
          <cell r="J4331"/>
          <cell r="L4331"/>
        </row>
        <row r="4332">
          <cell r="A4332"/>
          <cell r="D4332"/>
          <cell r="E4332"/>
          <cell r="F4332"/>
          <cell r="G4332"/>
          <cell r="H4332"/>
          <cell r="I4332"/>
          <cell r="J4332"/>
          <cell r="L4332"/>
        </row>
        <row r="4333">
          <cell r="A4333"/>
          <cell r="D4333"/>
          <cell r="E4333"/>
          <cell r="F4333"/>
          <cell r="G4333"/>
          <cell r="H4333"/>
          <cell r="I4333"/>
          <cell r="J4333"/>
          <cell r="L4333"/>
        </row>
        <row r="4334">
          <cell r="A4334"/>
          <cell r="D4334"/>
          <cell r="E4334"/>
          <cell r="F4334"/>
          <cell r="G4334"/>
          <cell r="H4334"/>
          <cell r="I4334"/>
          <cell r="J4334"/>
          <cell r="L4334"/>
        </row>
        <row r="4335">
          <cell r="A4335"/>
          <cell r="D4335"/>
          <cell r="E4335"/>
          <cell r="F4335"/>
          <cell r="G4335"/>
          <cell r="H4335"/>
          <cell r="I4335"/>
          <cell r="J4335"/>
          <cell r="L4335"/>
        </row>
        <row r="4336">
          <cell r="A4336"/>
          <cell r="D4336"/>
          <cell r="E4336"/>
          <cell r="F4336"/>
          <cell r="G4336"/>
          <cell r="H4336"/>
          <cell r="I4336"/>
          <cell r="J4336"/>
          <cell r="L4336"/>
        </row>
        <row r="4337">
          <cell r="A4337"/>
          <cell r="D4337"/>
          <cell r="E4337"/>
          <cell r="F4337"/>
          <cell r="G4337"/>
          <cell r="H4337"/>
          <cell r="I4337"/>
          <cell r="J4337"/>
          <cell r="L4337"/>
        </row>
        <row r="4338">
          <cell r="A4338"/>
          <cell r="D4338"/>
          <cell r="E4338"/>
          <cell r="F4338"/>
          <cell r="G4338"/>
          <cell r="H4338"/>
          <cell r="I4338"/>
          <cell r="J4338"/>
          <cell r="L4338"/>
        </row>
        <row r="4339">
          <cell r="A4339"/>
          <cell r="D4339"/>
          <cell r="E4339"/>
          <cell r="F4339"/>
          <cell r="G4339"/>
          <cell r="H4339"/>
          <cell r="I4339"/>
          <cell r="J4339"/>
          <cell r="L4339"/>
        </row>
        <row r="4340">
          <cell r="A4340"/>
          <cell r="D4340"/>
          <cell r="E4340"/>
          <cell r="F4340"/>
          <cell r="G4340"/>
          <cell r="H4340"/>
          <cell r="I4340"/>
          <cell r="J4340"/>
          <cell r="L4340"/>
        </row>
        <row r="4341">
          <cell r="A4341"/>
          <cell r="D4341"/>
          <cell r="E4341"/>
          <cell r="F4341"/>
          <cell r="G4341"/>
          <cell r="H4341"/>
          <cell r="I4341"/>
          <cell r="J4341"/>
          <cell r="L4341"/>
        </row>
        <row r="4342">
          <cell r="A4342"/>
          <cell r="D4342"/>
          <cell r="E4342"/>
          <cell r="F4342"/>
          <cell r="G4342"/>
          <cell r="H4342"/>
          <cell r="I4342"/>
          <cell r="J4342"/>
          <cell r="L4342"/>
        </row>
        <row r="4343">
          <cell r="A4343"/>
          <cell r="D4343"/>
          <cell r="E4343"/>
          <cell r="F4343"/>
          <cell r="G4343"/>
          <cell r="H4343"/>
          <cell r="I4343"/>
          <cell r="J4343"/>
          <cell r="L4343"/>
        </row>
        <row r="4344">
          <cell r="A4344"/>
          <cell r="D4344"/>
          <cell r="E4344"/>
          <cell r="F4344"/>
          <cell r="G4344"/>
          <cell r="H4344"/>
          <cell r="I4344"/>
          <cell r="J4344"/>
          <cell r="L4344"/>
        </row>
        <row r="4345">
          <cell r="A4345"/>
          <cell r="D4345"/>
          <cell r="E4345"/>
          <cell r="F4345"/>
          <cell r="G4345"/>
          <cell r="H4345"/>
          <cell r="I4345"/>
          <cell r="J4345"/>
          <cell r="L4345"/>
        </row>
        <row r="4346">
          <cell r="A4346"/>
          <cell r="D4346"/>
          <cell r="E4346"/>
          <cell r="F4346"/>
          <cell r="G4346"/>
          <cell r="H4346"/>
          <cell r="I4346"/>
          <cell r="J4346"/>
          <cell r="L4346"/>
        </row>
        <row r="4347">
          <cell r="A4347"/>
          <cell r="D4347"/>
          <cell r="E4347"/>
          <cell r="F4347"/>
          <cell r="G4347"/>
          <cell r="H4347"/>
          <cell r="I4347"/>
          <cell r="J4347"/>
          <cell r="L4347"/>
        </row>
        <row r="4348">
          <cell r="A4348"/>
          <cell r="D4348"/>
          <cell r="E4348"/>
          <cell r="F4348"/>
          <cell r="G4348"/>
          <cell r="H4348"/>
          <cell r="I4348"/>
          <cell r="J4348"/>
          <cell r="L4348"/>
        </row>
        <row r="4349">
          <cell r="A4349"/>
          <cell r="D4349"/>
          <cell r="E4349"/>
          <cell r="F4349"/>
          <cell r="G4349"/>
          <cell r="H4349"/>
          <cell r="I4349"/>
          <cell r="J4349"/>
          <cell r="L4349"/>
        </row>
        <row r="4350">
          <cell r="A4350"/>
          <cell r="D4350"/>
          <cell r="E4350"/>
          <cell r="F4350"/>
          <cell r="G4350"/>
          <cell r="H4350"/>
          <cell r="I4350"/>
          <cell r="J4350"/>
          <cell r="L4350"/>
        </row>
        <row r="4351">
          <cell r="A4351"/>
          <cell r="D4351"/>
          <cell r="E4351"/>
          <cell r="F4351"/>
          <cell r="G4351"/>
          <cell r="H4351"/>
          <cell r="I4351"/>
          <cell r="J4351"/>
          <cell r="L4351"/>
        </row>
        <row r="4352">
          <cell r="A4352"/>
          <cell r="D4352"/>
          <cell r="E4352"/>
          <cell r="F4352"/>
          <cell r="G4352"/>
          <cell r="H4352"/>
          <cell r="I4352"/>
          <cell r="J4352"/>
          <cell r="L4352"/>
        </row>
        <row r="4353">
          <cell r="A4353"/>
          <cell r="D4353"/>
          <cell r="E4353"/>
          <cell r="F4353"/>
          <cell r="G4353"/>
          <cell r="H4353"/>
          <cell r="I4353"/>
          <cell r="J4353"/>
          <cell r="L4353"/>
        </row>
        <row r="4354">
          <cell r="A4354"/>
          <cell r="D4354"/>
          <cell r="E4354"/>
          <cell r="F4354"/>
          <cell r="G4354"/>
          <cell r="H4354"/>
          <cell r="I4354"/>
          <cell r="J4354"/>
          <cell r="L4354"/>
        </row>
        <row r="4355">
          <cell r="A4355"/>
          <cell r="D4355"/>
          <cell r="E4355"/>
          <cell r="F4355"/>
          <cell r="G4355"/>
          <cell r="H4355"/>
          <cell r="I4355"/>
          <cell r="J4355"/>
          <cell r="L4355"/>
        </row>
        <row r="4356">
          <cell r="A4356"/>
          <cell r="D4356"/>
          <cell r="E4356"/>
          <cell r="F4356"/>
          <cell r="G4356"/>
          <cell r="H4356"/>
          <cell r="I4356"/>
          <cell r="J4356"/>
          <cell r="L4356"/>
        </row>
        <row r="4357">
          <cell r="A4357"/>
          <cell r="D4357"/>
          <cell r="E4357"/>
          <cell r="F4357"/>
          <cell r="G4357"/>
          <cell r="H4357"/>
          <cell r="I4357"/>
          <cell r="J4357"/>
          <cell r="L4357"/>
        </row>
        <row r="4358">
          <cell r="A4358"/>
          <cell r="D4358"/>
          <cell r="E4358"/>
          <cell r="F4358"/>
          <cell r="G4358"/>
          <cell r="H4358"/>
          <cell r="I4358"/>
          <cell r="J4358"/>
          <cell r="L4358"/>
        </row>
        <row r="4359">
          <cell r="A4359"/>
          <cell r="D4359"/>
          <cell r="E4359"/>
          <cell r="F4359"/>
          <cell r="G4359"/>
          <cell r="H4359"/>
          <cell r="I4359"/>
          <cell r="J4359"/>
          <cell r="L4359"/>
        </row>
        <row r="4360">
          <cell r="A4360"/>
          <cell r="D4360"/>
          <cell r="E4360"/>
          <cell r="F4360"/>
          <cell r="G4360"/>
          <cell r="H4360"/>
          <cell r="I4360"/>
          <cell r="J4360"/>
          <cell r="L4360"/>
        </row>
        <row r="4361">
          <cell r="A4361"/>
          <cell r="D4361"/>
          <cell r="E4361"/>
          <cell r="F4361"/>
          <cell r="G4361"/>
          <cell r="H4361"/>
          <cell r="I4361"/>
          <cell r="J4361"/>
          <cell r="L4361"/>
        </row>
        <row r="4362">
          <cell r="A4362"/>
          <cell r="D4362"/>
          <cell r="E4362"/>
          <cell r="F4362"/>
          <cell r="G4362"/>
          <cell r="H4362"/>
          <cell r="I4362"/>
          <cell r="J4362"/>
          <cell r="L4362"/>
        </row>
        <row r="4363">
          <cell r="A4363"/>
          <cell r="D4363"/>
          <cell r="E4363"/>
          <cell r="F4363"/>
          <cell r="G4363"/>
          <cell r="H4363"/>
          <cell r="I4363"/>
          <cell r="J4363"/>
          <cell r="L4363"/>
        </row>
        <row r="4364">
          <cell r="A4364"/>
          <cell r="D4364"/>
          <cell r="E4364"/>
          <cell r="F4364"/>
          <cell r="G4364"/>
          <cell r="H4364"/>
          <cell r="I4364"/>
          <cell r="J4364"/>
          <cell r="L4364"/>
        </row>
        <row r="4365">
          <cell r="A4365"/>
          <cell r="D4365"/>
          <cell r="E4365"/>
          <cell r="F4365"/>
          <cell r="G4365"/>
          <cell r="H4365"/>
          <cell r="I4365"/>
          <cell r="J4365"/>
          <cell r="L4365"/>
        </row>
        <row r="4366">
          <cell r="A4366"/>
          <cell r="D4366"/>
          <cell r="E4366"/>
          <cell r="F4366"/>
          <cell r="G4366"/>
          <cell r="H4366"/>
          <cell r="I4366"/>
          <cell r="J4366"/>
          <cell r="L4366"/>
        </row>
        <row r="4367">
          <cell r="A4367"/>
          <cell r="D4367"/>
          <cell r="E4367"/>
          <cell r="F4367"/>
          <cell r="G4367"/>
          <cell r="H4367"/>
          <cell r="I4367"/>
          <cell r="J4367"/>
          <cell r="L4367"/>
        </row>
        <row r="4368">
          <cell r="A4368"/>
          <cell r="D4368"/>
          <cell r="E4368"/>
          <cell r="F4368"/>
          <cell r="G4368"/>
          <cell r="H4368"/>
          <cell r="I4368"/>
          <cell r="J4368"/>
          <cell r="L4368"/>
        </row>
        <row r="4369">
          <cell r="A4369"/>
          <cell r="D4369"/>
          <cell r="E4369"/>
          <cell r="F4369"/>
          <cell r="G4369"/>
          <cell r="H4369"/>
          <cell r="I4369"/>
          <cell r="J4369"/>
          <cell r="L4369"/>
        </row>
        <row r="4370">
          <cell r="A4370"/>
          <cell r="D4370"/>
          <cell r="E4370"/>
          <cell r="F4370"/>
          <cell r="G4370"/>
          <cell r="H4370"/>
          <cell r="I4370"/>
          <cell r="J4370"/>
          <cell r="L4370"/>
        </row>
        <row r="4371">
          <cell r="A4371"/>
          <cell r="D4371"/>
          <cell r="E4371"/>
          <cell r="F4371"/>
          <cell r="G4371"/>
          <cell r="H4371"/>
          <cell r="I4371"/>
          <cell r="J4371"/>
          <cell r="L4371"/>
        </row>
        <row r="4372">
          <cell r="A4372"/>
          <cell r="D4372"/>
          <cell r="E4372"/>
          <cell r="F4372"/>
          <cell r="G4372"/>
          <cell r="H4372"/>
          <cell r="I4372"/>
          <cell r="J4372"/>
          <cell r="L4372"/>
        </row>
        <row r="4373">
          <cell r="A4373"/>
          <cell r="D4373"/>
          <cell r="E4373"/>
          <cell r="F4373"/>
          <cell r="G4373"/>
          <cell r="H4373"/>
          <cell r="I4373"/>
          <cell r="J4373"/>
          <cell r="L4373"/>
        </row>
        <row r="4374">
          <cell r="A4374"/>
          <cell r="D4374"/>
          <cell r="E4374"/>
          <cell r="F4374"/>
          <cell r="G4374"/>
          <cell r="H4374"/>
          <cell r="I4374"/>
          <cell r="J4374"/>
          <cell r="L4374"/>
        </row>
        <row r="4375">
          <cell r="A4375"/>
          <cell r="D4375"/>
          <cell r="E4375"/>
          <cell r="F4375"/>
          <cell r="G4375"/>
          <cell r="H4375"/>
          <cell r="I4375"/>
          <cell r="J4375"/>
          <cell r="L4375"/>
        </row>
        <row r="4376">
          <cell r="A4376"/>
          <cell r="D4376"/>
          <cell r="E4376"/>
          <cell r="F4376"/>
          <cell r="G4376"/>
          <cell r="H4376"/>
          <cell r="I4376"/>
          <cell r="J4376"/>
          <cell r="L4376"/>
        </row>
        <row r="4377">
          <cell r="A4377"/>
          <cell r="D4377"/>
          <cell r="E4377"/>
          <cell r="F4377"/>
          <cell r="G4377"/>
          <cell r="H4377"/>
          <cell r="I4377"/>
          <cell r="J4377"/>
          <cell r="L4377"/>
        </row>
        <row r="4378">
          <cell r="A4378"/>
          <cell r="D4378"/>
          <cell r="E4378"/>
          <cell r="F4378"/>
          <cell r="G4378"/>
          <cell r="H4378"/>
          <cell r="I4378"/>
          <cell r="J4378"/>
          <cell r="L4378"/>
        </row>
        <row r="4379">
          <cell r="A4379"/>
          <cell r="D4379"/>
          <cell r="E4379"/>
          <cell r="F4379"/>
          <cell r="G4379"/>
          <cell r="H4379"/>
          <cell r="I4379"/>
          <cell r="J4379"/>
          <cell r="L4379"/>
        </row>
        <row r="4380">
          <cell r="A4380"/>
          <cell r="D4380"/>
          <cell r="E4380"/>
          <cell r="F4380"/>
          <cell r="G4380"/>
          <cell r="H4380"/>
          <cell r="I4380"/>
          <cell r="J4380"/>
          <cell r="L4380"/>
        </row>
        <row r="4381">
          <cell r="A4381"/>
          <cell r="D4381"/>
          <cell r="E4381"/>
          <cell r="F4381"/>
          <cell r="G4381"/>
          <cell r="H4381"/>
          <cell r="I4381"/>
          <cell r="J4381"/>
          <cell r="L4381"/>
        </row>
        <row r="4382">
          <cell r="A4382"/>
          <cell r="D4382"/>
          <cell r="E4382"/>
          <cell r="F4382"/>
          <cell r="G4382"/>
          <cell r="H4382"/>
          <cell r="I4382"/>
          <cell r="J4382"/>
          <cell r="L4382"/>
        </row>
        <row r="4383">
          <cell r="A4383"/>
          <cell r="D4383"/>
          <cell r="E4383"/>
          <cell r="F4383"/>
          <cell r="G4383"/>
          <cell r="H4383"/>
          <cell r="I4383"/>
          <cell r="J4383"/>
          <cell r="L4383"/>
        </row>
        <row r="4384">
          <cell r="A4384"/>
          <cell r="D4384"/>
          <cell r="E4384"/>
          <cell r="F4384"/>
          <cell r="G4384"/>
          <cell r="H4384"/>
          <cell r="I4384"/>
          <cell r="J4384"/>
          <cell r="L4384"/>
        </row>
        <row r="4385">
          <cell r="A4385"/>
          <cell r="D4385"/>
          <cell r="E4385"/>
          <cell r="F4385"/>
          <cell r="G4385"/>
          <cell r="H4385"/>
          <cell r="I4385"/>
          <cell r="J4385"/>
          <cell r="L4385"/>
        </row>
        <row r="4386">
          <cell r="A4386"/>
          <cell r="D4386"/>
          <cell r="E4386"/>
          <cell r="F4386"/>
          <cell r="G4386"/>
          <cell r="H4386"/>
          <cell r="I4386"/>
          <cell r="J4386"/>
          <cell r="L4386"/>
        </row>
        <row r="4387">
          <cell r="A4387"/>
          <cell r="D4387"/>
          <cell r="E4387"/>
          <cell r="F4387"/>
          <cell r="G4387"/>
          <cell r="H4387"/>
          <cell r="I4387"/>
          <cell r="J4387"/>
          <cell r="L4387"/>
        </row>
        <row r="4388">
          <cell r="A4388"/>
          <cell r="D4388"/>
          <cell r="E4388"/>
          <cell r="F4388"/>
          <cell r="G4388"/>
          <cell r="H4388"/>
          <cell r="I4388"/>
          <cell r="J4388"/>
          <cell r="L4388"/>
        </row>
        <row r="4389">
          <cell r="A4389"/>
          <cell r="D4389"/>
          <cell r="E4389"/>
          <cell r="F4389"/>
          <cell r="G4389"/>
          <cell r="H4389"/>
          <cell r="I4389"/>
          <cell r="J4389"/>
          <cell r="L4389"/>
        </row>
        <row r="4390">
          <cell r="A4390"/>
          <cell r="D4390"/>
          <cell r="E4390"/>
          <cell r="F4390"/>
          <cell r="G4390"/>
          <cell r="H4390"/>
          <cell r="I4390"/>
          <cell r="J4390"/>
          <cell r="L4390"/>
        </row>
        <row r="4391">
          <cell r="A4391"/>
          <cell r="D4391"/>
          <cell r="E4391"/>
          <cell r="F4391"/>
          <cell r="G4391"/>
          <cell r="H4391"/>
          <cell r="I4391"/>
          <cell r="J4391"/>
          <cell r="L4391"/>
        </row>
        <row r="4392">
          <cell r="A4392"/>
          <cell r="D4392"/>
          <cell r="E4392"/>
          <cell r="F4392"/>
          <cell r="G4392"/>
          <cell r="H4392"/>
          <cell r="I4392"/>
          <cell r="J4392"/>
          <cell r="L4392"/>
        </row>
        <row r="4393">
          <cell r="A4393"/>
          <cell r="D4393"/>
          <cell r="E4393"/>
          <cell r="F4393"/>
          <cell r="G4393"/>
          <cell r="H4393"/>
          <cell r="I4393"/>
          <cell r="J4393"/>
          <cell r="L4393"/>
        </row>
        <row r="4394">
          <cell r="A4394"/>
          <cell r="D4394"/>
          <cell r="E4394"/>
          <cell r="F4394"/>
          <cell r="G4394"/>
          <cell r="H4394"/>
          <cell r="I4394"/>
          <cell r="J4394"/>
          <cell r="L4394"/>
        </row>
        <row r="4395">
          <cell r="A4395"/>
          <cell r="D4395"/>
          <cell r="E4395"/>
          <cell r="F4395"/>
          <cell r="G4395"/>
          <cell r="H4395"/>
          <cell r="I4395"/>
          <cell r="J4395"/>
          <cell r="L4395"/>
        </row>
        <row r="4396">
          <cell r="A4396"/>
          <cell r="D4396"/>
          <cell r="E4396"/>
          <cell r="F4396"/>
          <cell r="G4396"/>
          <cell r="H4396"/>
          <cell r="I4396"/>
          <cell r="J4396"/>
          <cell r="L4396"/>
        </row>
        <row r="4397">
          <cell r="A4397"/>
          <cell r="D4397"/>
          <cell r="E4397"/>
          <cell r="F4397"/>
          <cell r="G4397"/>
          <cell r="H4397"/>
          <cell r="I4397"/>
          <cell r="J4397"/>
          <cell r="L4397"/>
        </row>
        <row r="4398">
          <cell r="A4398"/>
          <cell r="D4398"/>
          <cell r="E4398"/>
          <cell r="F4398"/>
          <cell r="G4398"/>
          <cell r="H4398"/>
          <cell r="I4398"/>
          <cell r="J4398"/>
          <cell r="L4398"/>
        </row>
        <row r="4399">
          <cell r="A4399"/>
          <cell r="D4399"/>
          <cell r="E4399"/>
          <cell r="F4399"/>
          <cell r="G4399"/>
          <cell r="H4399"/>
          <cell r="I4399"/>
          <cell r="J4399"/>
          <cell r="L4399"/>
        </row>
        <row r="4400">
          <cell r="A4400"/>
          <cell r="D4400"/>
          <cell r="E4400"/>
          <cell r="F4400"/>
          <cell r="G4400"/>
          <cell r="H4400"/>
          <cell r="I4400"/>
          <cell r="J4400"/>
          <cell r="L4400"/>
        </row>
        <row r="4401">
          <cell r="A4401"/>
          <cell r="D4401"/>
          <cell r="E4401"/>
          <cell r="F4401"/>
          <cell r="G4401"/>
          <cell r="H4401"/>
          <cell r="I4401"/>
          <cell r="J4401"/>
          <cell r="L4401"/>
        </row>
        <row r="4402">
          <cell r="A4402"/>
          <cell r="D4402"/>
          <cell r="E4402"/>
          <cell r="F4402"/>
          <cell r="G4402"/>
          <cell r="H4402"/>
          <cell r="I4402"/>
          <cell r="J4402"/>
          <cell r="L4402"/>
        </row>
        <row r="4403">
          <cell r="A4403"/>
          <cell r="D4403"/>
          <cell r="E4403"/>
          <cell r="F4403"/>
          <cell r="G4403"/>
          <cell r="H4403"/>
          <cell r="I4403"/>
          <cell r="J4403"/>
          <cell r="L4403"/>
        </row>
        <row r="4404">
          <cell r="A4404"/>
          <cell r="D4404"/>
          <cell r="E4404"/>
          <cell r="F4404"/>
          <cell r="G4404"/>
          <cell r="H4404"/>
          <cell r="I4404"/>
          <cell r="J4404"/>
          <cell r="L4404"/>
        </row>
        <row r="4405">
          <cell r="A4405"/>
          <cell r="D4405"/>
          <cell r="E4405"/>
          <cell r="F4405"/>
          <cell r="G4405"/>
          <cell r="H4405"/>
          <cell r="I4405"/>
          <cell r="J4405"/>
          <cell r="L4405"/>
        </row>
        <row r="4406">
          <cell r="A4406"/>
          <cell r="D4406"/>
          <cell r="E4406"/>
          <cell r="F4406"/>
          <cell r="G4406"/>
          <cell r="H4406"/>
          <cell r="I4406"/>
          <cell r="J4406"/>
          <cell r="L4406"/>
        </row>
        <row r="4407">
          <cell r="A4407"/>
          <cell r="D4407"/>
          <cell r="E4407"/>
          <cell r="F4407"/>
          <cell r="G4407"/>
          <cell r="H4407"/>
          <cell r="I4407"/>
          <cell r="J4407"/>
          <cell r="L4407"/>
        </row>
        <row r="4408">
          <cell r="A4408"/>
          <cell r="D4408"/>
          <cell r="E4408"/>
          <cell r="F4408"/>
          <cell r="G4408"/>
          <cell r="H4408"/>
          <cell r="I4408"/>
          <cell r="J4408"/>
          <cell r="L4408"/>
        </row>
        <row r="4409">
          <cell r="A4409"/>
          <cell r="D4409"/>
          <cell r="E4409"/>
          <cell r="F4409"/>
          <cell r="G4409"/>
          <cell r="H4409"/>
          <cell r="I4409"/>
          <cell r="J4409"/>
          <cell r="L4409"/>
        </row>
        <row r="4410">
          <cell r="A4410"/>
          <cell r="D4410"/>
          <cell r="E4410"/>
          <cell r="F4410"/>
          <cell r="G4410"/>
          <cell r="H4410"/>
          <cell r="I4410"/>
          <cell r="J4410"/>
          <cell r="L4410"/>
        </row>
        <row r="4411">
          <cell r="A4411"/>
          <cell r="D4411"/>
          <cell r="E4411"/>
          <cell r="F4411"/>
          <cell r="G4411"/>
          <cell r="H4411"/>
          <cell r="I4411"/>
          <cell r="J4411"/>
          <cell r="L4411"/>
        </row>
        <row r="4412">
          <cell r="A4412"/>
          <cell r="D4412"/>
          <cell r="E4412"/>
          <cell r="F4412"/>
          <cell r="G4412"/>
          <cell r="H4412"/>
          <cell r="I4412"/>
          <cell r="J4412"/>
          <cell r="L4412"/>
        </row>
        <row r="4413">
          <cell r="A4413"/>
          <cell r="D4413"/>
          <cell r="E4413"/>
          <cell r="F4413"/>
          <cell r="G4413"/>
          <cell r="H4413"/>
          <cell r="I4413"/>
          <cell r="J4413"/>
          <cell r="L4413"/>
        </row>
        <row r="4414">
          <cell r="A4414"/>
          <cell r="D4414"/>
          <cell r="E4414"/>
          <cell r="F4414"/>
          <cell r="G4414"/>
          <cell r="H4414"/>
          <cell r="I4414"/>
          <cell r="J4414"/>
          <cell r="L4414"/>
        </row>
        <row r="4415">
          <cell r="A4415"/>
          <cell r="D4415"/>
          <cell r="E4415"/>
          <cell r="F4415"/>
          <cell r="G4415"/>
          <cell r="H4415"/>
          <cell r="I4415"/>
          <cell r="J4415"/>
          <cell r="L4415"/>
        </row>
        <row r="4416">
          <cell r="A4416"/>
          <cell r="D4416"/>
          <cell r="E4416"/>
          <cell r="F4416"/>
          <cell r="G4416"/>
          <cell r="H4416"/>
          <cell r="I4416"/>
          <cell r="J4416"/>
          <cell r="L4416"/>
        </row>
        <row r="4417">
          <cell r="A4417"/>
          <cell r="D4417"/>
          <cell r="E4417"/>
          <cell r="F4417"/>
          <cell r="G4417"/>
          <cell r="H4417"/>
          <cell r="I4417"/>
          <cell r="J4417"/>
          <cell r="L4417"/>
        </row>
        <row r="4418">
          <cell r="A4418"/>
          <cell r="D4418"/>
          <cell r="E4418"/>
          <cell r="F4418"/>
          <cell r="G4418"/>
          <cell r="H4418"/>
          <cell r="I4418"/>
          <cell r="J4418"/>
          <cell r="L4418"/>
        </row>
        <row r="4419">
          <cell r="A4419"/>
          <cell r="D4419"/>
          <cell r="E4419"/>
          <cell r="F4419"/>
          <cell r="G4419"/>
          <cell r="H4419"/>
          <cell r="I4419"/>
          <cell r="J4419"/>
          <cell r="L4419"/>
        </row>
        <row r="4420">
          <cell r="A4420"/>
          <cell r="D4420"/>
          <cell r="E4420"/>
          <cell r="F4420"/>
          <cell r="G4420"/>
          <cell r="H4420"/>
          <cell r="I4420"/>
          <cell r="J4420"/>
          <cell r="L4420"/>
        </row>
        <row r="4421">
          <cell r="A4421"/>
          <cell r="D4421"/>
          <cell r="E4421"/>
          <cell r="F4421"/>
          <cell r="G4421"/>
          <cell r="H4421"/>
          <cell r="I4421"/>
          <cell r="J4421"/>
          <cell r="L4421"/>
        </row>
        <row r="4422">
          <cell r="A4422"/>
          <cell r="D4422"/>
          <cell r="E4422"/>
          <cell r="F4422"/>
          <cell r="G4422"/>
          <cell r="H4422"/>
          <cell r="I4422"/>
          <cell r="J4422"/>
          <cell r="L4422"/>
        </row>
        <row r="4423">
          <cell r="A4423"/>
          <cell r="D4423"/>
          <cell r="E4423"/>
          <cell r="F4423"/>
          <cell r="G4423"/>
          <cell r="H4423"/>
          <cell r="I4423"/>
          <cell r="J4423"/>
          <cell r="L4423"/>
        </row>
        <row r="4424">
          <cell r="A4424"/>
          <cell r="D4424"/>
          <cell r="E4424"/>
          <cell r="F4424"/>
          <cell r="G4424"/>
          <cell r="H4424"/>
          <cell r="I4424"/>
          <cell r="J4424"/>
          <cell r="L4424"/>
        </row>
        <row r="4425">
          <cell r="A4425"/>
          <cell r="D4425"/>
          <cell r="E4425"/>
          <cell r="F4425"/>
          <cell r="G4425"/>
          <cell r="H4425"/>
          <cell r="I4425"/>
          <cell r="J4425"/>
          <cell r="L4425"/>
        </row>
        <row r="4426">
          <cell r="A4426"/>
          <cell r="D4426"/>
          <cell r="E4426"/>
          <cell r="F4426"/>
          <cell r="G4426"/>
          <cell r="H4426"/>
          <cell r="I4426"/>
          <cell r="J4426"/>
          <cell r="L4426"/>
        </row>
        <row r="4427">
          <cell r="A4427"/>
          <cell r="D4427"/>
          <cell r="E4427"/>
          <cell r="F4427"/>
          <cell r="G4427"/>
          <cell r="H4427"/>
          <cell r="I4427"/>
          <cell r="J4427"/>
          <cell r="L4427"/>
        </row>
        <row r="4428">
          <cell r="A4428"/>
          <cell r="D4428"/>
          <cell r="E4428"/>
          <cell r="F4428"/>
          <cell r="G4428"/>
          <cell r="H4428"/>
          <cell r="I4428"/>
          <cell r="J4428"/>
          <cell r="L4428"/>
        </row>
        <row r="4429">
          <cell r="A4429"/>
          <cell r="D4429"/>
          <cell r="E4429"/>
          <cell r="F4429"/>
          <cell r="G4429"/>
          <cell r="H4429"/>
          <cell r="I4429"/>
          <cell r="J4429"/>
          <cell r="L4429"/>
        </row>
        <row r="4430">
          <cell r="A4430"/>
          <cell r="D4430"/>
          <cell r="E4430"/>
          <cell r="F4430"/>
          <cell r="G4430"/>
          <cell r="H4430"/>
          <cell r="I4430"/>
          <cell r="J4430"/>
          <cell r="L4430"/>
        </row>
        <row r="4431">
          <cell r="A4431"/>
          <cell r="D4431"/>
          <cell r="E4431"/>
          <cell r="F4431"/>
          <cell r="G4431"/>
          <cell r="H4431"/>
          <cell r="I4431"/>
          <cell r="J4431"/>
          <cell r="L4431"/>
        </row>
        <row r="4432">
          <cell r="A4432"/>
          <cell r="D4432"/>
          <cell r="E4432"/>
          <cell r="F4432"/>
          <cell r="G4432"/>
          <cell r="H4432"/>
          <cell r="I4432"/>
          <cell r="J4432"/>
          <cell r="L4432"/>
        </row>
        <row r="4433">
          <cell r="A4433"/>
          <cell r="D4433"/>
          <cell r="E4433"/>
          <cell r="F4433"/>
          <cell r="G4433"/>
          <cell r="H4433"/>
          <cell r="I4433"/>
          <cell r="J4433"/>
          <cell r="L4433"/>
        </row>
        <row r="4434">
          <cell r="A4434"/>
          <cell r="D4434"/>
          <cell r="E4434"/>
          <cell r="F4434"/>
          <cell r="G4434"/>
          <cell r="H4434"/>
          <cell r="I4434"/>
          <cell r="J4434"/>
          <cell r="L4434"/>
        </row>
        <row r="4435">
          <cell r="A4435"/>
          <cell r="D4435"/>
          <cell r="E4435"/>
          <cell r="F4435"/>
          <cell r="G4435"/>
          <cell r="H4435"/>
          <cell r="I4435"/>
          <cell r="J4435"/>
          <cell r="L4435"/>
        </row>
        <row r="4436">
          <cell r="A4436"/>
          <cell r="D4436"/>
          <cell r="E4436"/>
          <cell r="F4436"/>
          <cell r="G4436"/>
          <cell r="H4436"/>
          <cell r="I4436"/>
          <cell r="J4436"/>
          <cell r="L4436"/>
        </row>
        <row r="4437">
          <cell r="A4437"/>
          <cell r="D4437"/>
          <cell r="E4437"/>
          <cell r="F4437"/>
          <cell r="G4437"/>
          <cell r="H4437"/>
          <cell r="I4437"/>
          <cell r="J4437"/>
          <cell r="L4437"/>
        </row>
        <row r="4438">
          <cell r="A4438"/>
          <cell r="D4438"/>
          <cell r="E4438"/>
          <cell r="F4438"/>
          <cell r="G4438"/>
          <cell r="H4438"/>
          <cell r="I4438"/>
          <cell r="J4438"/>
          <cell r="L4438"/>
        </row>
        <row r="4439">
          <cell r="A4439"/>
          <cell r="D4439"/>
          <cell r="E4439"/>
          <cell r="F4439"/>
          <cell r="G4439"/>
          <cell r="H4439"/>
          <cell r="I4439"/>
          <cell r="J4439"/>
          <cell r="L4439"/>
        </row>
        <row r="4440">
          <cell r="A4440"/>
          <cell r="D4440"/>
          <cell r="E4440"/>
          <cell r="F4440"/>
          <cell r="G4440"/>
          <cell r="H4440"/>
          <cell r="I4440"/>
          <cell r="J4440"/>
          <cell r="L4440"/>
        </row>
        <row r="4441">
          <cell r="A4441"/>
          <cell r="D4441"/>
          <cell r="E4441"/>
          <cell r="F4441"/>
          <cell r="G4441"/>
          <cell r="H4441"/>
          <cell r="I4441"/>
          <cell r="J4441"/>
          <cell r="L4441"/>
        </row>
        <row r="4442">
          <cell r="A4442"/>
          <cell r="D4442"/>
          <cell r="E4442"/>
          <cell r="F4442"/>
          <cell r="G4442"/>
          <cell r="H4442"/>
          <cell r="I4442"/>
          <cell r="J4442"/>
          <cell r="L4442"/>
        </row>
        <row r="4443">
          <cell r="A4443"/>
          <cell r="D4443"/>
          <cell r="E4443"/>
          <cell r="F4443"/>
          <cell r="G4443"/>
          <cell r="H4443"/>
          <cell r="I4443"/>
          <cell r="J4443"/>
          <cell r="L4443"/>
        </row>
        <row r="4444">
          <cell r="A4444"/>
          <cell r="D4444"/>
          <cell r="E4444"/>
          <cell r="F4444"/>
          <cell r="G4444"/>
          <cell r="H4444"/>
          <cell r="I4444"/>
          <cell r="J4444"/>
          <cell r="L4444"/>
        </row>
        <row r="4445">
          <cell r="A4445"/>
          <cell r="D4445"/>
          <cell r="E4445"/>
          <cell r="F4445"/>
          <cell r="G4445"/>
          <cell r="H4445"/>
          <cell r="I4445"/>
          <cell r="J4445"/>
          <cell r="L4445"/>
        </row>
        <row r="4446">
          <cell r="A4446"/>
          <cell r="D4446"/>
          <cell r="E4446"/>
          <cell r="F4446"/>
          <cell r="G4446"/>
          <cell r="H4446"/>
          <cell r="I4446"/>
          <cell r="J4446"/>
          <cell r="L4446"/>
        </row>
        <row r="4447">
          <cell r="A4447"/>
          <cell r="D4447"/>
          <cell r="E4447"/>
          <cell r="F4447"/>
          <cell r="G4447"/>
          <cell r="H4447"/>
          <cell r="I4447"/>
          <cell r="J4447"/>
          <cell r="L4447"/>
        </row>
        <row r="4448">
          <cell r="A4448"/>
          <cell r="D4448"/>
          <cell r="E4448"/>
          <cell r="F4448"/>
          <cell r="G4448"/>
          <cell r="H4448"/>
          <cell r="I4448"/>
          <cell r="J4448"/>
          <cell r="L4448"/>
        </row>
        <row r="4449">
          <cell r="A4449"/>
          <cell r="D4449"/>
          <cell r="E4449"/>
          <cell r="F4449"/>
          <cell r="G4449"/>
          <cell r="H4449"/>
          <cell r="I4449"/>
          <cell r="J4449"/>
          <cell r="L4449"/>
        </row>
        <row r="4450">
          <cell r="A4450"/>
          <cell r="D4450"/>
          <cell r="E4450"/>
          <cell r="F4450"/>
          <cell r="G4450"/>
          <cell r="H4450"/>
          <cell r="I4450"/>
          <cell r="J4450"/>
          <cell r="L4450"/>
        </row>
        <row r="4451">
          <cell r="A4451"/>
          <cell r="D4451"/>
          <cell r="E4451"/>
          <cell r="F4451"/>
          <cell r="G4451"/>
          <cell r="H4451"/>
          <cell r="I4451"/>
          <cell r="J4451"/>
          <cell r="L4451"/>
        </row>
        <row r="4452">
          <cell r="A4452"/>
          <cell r="D4452"/>
          <cell r="E4452"/>
          <cell r="F4452"/>
          <cell r="G4452"/>
          <cell r="H4452"/>
          <cell r="I4452"/>
          <cell r="J4452"/>
          <cell r="L4452"/>
        </row>
        <row r="4453">
          <cell r="A4453"/>
          <cell r="D4453"/>
          <cell r="E4453"/>
          <cell r="F4453"/>
          <cell r="G4453"/>
          <cell r="H4453"/>
          <cell r="I4453"/>
          <cell r="J4453"/>
          <cell r="L4453"/>
        </row>
        <row r="4454">
          <cell r="A4454"/>
          <cell r="D4454"/>
          <cell r="E4454"/>
          <cell r="F4454"/>
          <cell r="G4454"/>
          <cell r="H4454"/>
          <cell r="I4454"/>
          <cell r="J4454"/>
          <cell r="L4454"/>
        </row>
        <row r="4455">
          <cell r="A4455"/>
          <cell r="D4455"/>
          <cell r="E4455"/>
          <cell r="F4455"/>
          <cell r="G4455"/>
          <cell r="H4455"/>
          <cell r="I4455"/>
          <cell r="J4455"/>
          <cell r="L4455"/>
        </row>
        <row r="4456">
          <cell r="A4456"/>
          <cell r="D4456"/>
          <cell r="E4456"/>
          <cell r="F4456"/>
          <cell r="G4456"/>
          <cell r="H4456"/>
          <cell r="I4456"/>
          <cell r="J4456"/>
          <cell r="L4456"/>
        </row>
        <row r="4457">
          <cell r="A4457"/>
          <cell r="D4457"/>
          <cell r="E4457"/>
          <cell r="F4457"/>
          <cell r="G4457"/>
          <cell r="H4457"/>
          <cell r="I4457"/>
          <cell r="J4457"/>
          <cell r="L4457"/>
        </row>
        <row r="4458">
          <cell r="A4458"/>
          <cell r="D4458"/>
          <cell r="E4458"/>
          <cell r="F4458"/>
          <cell r="G4458"/>
          <cell r="H4458"/>
          <cell r="I4458"/>
          <cell r="J4458"/>
          <cell r="L4458"/>
        </row>
        <row r="4459">
          <cell r="A4459"/>
          <cell r="D4459"/>
          <cell r="E4459"/>
          <cell r="F4459"/>
          <cell r="G4459"/>
          <cell r="H4459"/>
          <cell r="I4459"/>
          <cell r="J4459"/>
          <cell r="L4459"/>
        </row>
        <row r="4460">
          <cell r="A4460"/>
          <cell r="D4460"/>
          <cell r="E4460"/>
          <cell r="F4460"/>
          <cell r="G4460"/>
          <cell r="H4460"/>
          <cell r="I4460"/>
          <cell r="J4460"/>
          <cell r="L4460"/>
        </row>
        <row r="4461">
          <cell r="A4461"/>
          <cell r="D4461"/>
          <cell r="E4461"/>
          <cell r="F4461"/>
          <cell r="G4461"/>
          <cell r="H4461"/>
          <cell r="I4461"/>
          <cell r="J4461"/>
          <cell r="L4461"/>
        </row>
        <row r="4462">
          <cell r="A4462"/>
          <cell r="D4462"/>
          <cell r="E4462"/>
          <cell r="F4462"/>
          <cell r="G4462"/>
          <cell r="H4462"/>
          <cell r="I4462"/>
          <cell r="J4462"/>
          <cell r="L4462"/>
        </row>
        <row r="4463">
          <cell r="A4463"/>
          <cell r="D4463"/>
          <cell r="E4463"/>
          <cell r="F4463"/>
          <cell r="G4463"/>
          <cell r="H4463"/>
          <cell r="I4463"/>
          <cell r="J4463"/>
          <cell r="L4463"/>
        </row>
        <row r="4464">
          <cell r="A4464"/>
          <cell r="D4464"/>
          <cell r="E4464"/>
          <cell r="F4464"/>
          <cell r="G4464"/>
          <cell r="H4464"/>
          <cell r="I4464"/>
          <cell r="J4464"/>
          <cell r="L4464"/>
        </row>
        <row r="4465">
          <cell r="A4465"/>
          <cell r="D4465"/>
          <cell r="E4465"/>
          <cell r="F4465"/>
          <cell r="G4465"/>
          <cell r="H4465"/>
          <cell r="I4465"/>
          <cell r="J4465"/>
          <cell r="L4465"/>
        </row>
        <row r="4466">
          <cell r="A4466"/>
          <cell r="D4466"/>
          <cell r="E4466"/>
          <cell r="F4466"/>
          <cell r="G4466"/>
          <cell r="H4466"/>
          <cell r="I4466"/>
          <cell r="J4466"/>
          <cell r="L4466"/>
        </row>
        <row r="4467">
          <cell r="A4467"/>
          <cell r="D4467"/>
          <cell r="E4467"/>
          <cell r="F4467"/>
          <cell r="G4467"/>
          <cell r="H4467"/>
          <cell r="I4467"/>
          <cell r="J4467"/>
          <cell r="L4467"/>
        </row>
        <row r="4468">
          <cell r="A4468"/>
          <cell r="D4468"/>
          <cell r="E4468"/>
          <cell r="F4468"/>
          <cell r="G4468"/>
          <cell r="H4468"/>
          <cell r="I4468"/>
          <cell r="J4468"/>
          <cell r="L4468"/>
        </row>
        <row r="4469">
          <cell r="A4469"/>
          <cell r="D4469"/>
          <cell r="E4469"/>
          <cell r="F4469"/>
          <cell r="G4469"/>
          <cell r="H4469"/>
          <cell r="I4469"/>
          <cell r="J4469"/>
          <cell r="L4469"/>
        </row>
        <row r="4470">
          <cell r="A4470"/>
          <cell r="D4470"/>
          <cell r="E4470"/>
          <cell r="F4470"/>
          <cell r="G4470"/>
          <cell r="H4470"/>
          <cell r="I4470"/>
          <cell r="J4470"/>
          <cell r="L4470"/>
        </row>
        <row r="4471">
          <cell r="A4471"/>
          <cell r="D4471"/>
          <cell r="E4471"/>
          <cell r="F4471"/>
          <cell r="G4471"/>
          <cell r="H4471"/>
          <cell r="I4471"/>
          <cell r="J4471"/>
          <cell r="L4471"/>
        </row>
        <row r="4472">
          <cell r="A4472"/>
          <cell r="D4472"/>
          <cell r="E4472"/>
          <cell r="F4472"/>
          <cell r="G4472"/>
          <cell r="H4472"/>
          <cell r="I4472"/>
          <cell r="J4472"/>
          <cell r="L4472"/>
        </row>
        <row r="4473">
          <cell r="A4473"/>
          <cell r="D4473"/>
          <cell r="E4473"/>
          <cell r="F4473"/>
          <cell r="G4473"/>
          <cell r="H4473"/>
          <cell r="I4473"/>
          <cell r="J4473"/>
          <cell r="L4473"/>
        </row>
        <row r="4474">
          <cell r="A4474"/>
          <cell r="D4474"/>
          <cell r="E4474"/>
          <cell r="F4474"/>
          <cell r="G4474"/>
          <cell r="H4474"/>
          <cell r="I4474"/>
          <cell r="J4474"/>
          <cell r="L4474"/>
        </row>
        <row r="4475">
          <cell r="A4475"/>
          <cell r="D4475"/>
          <cell r="E4475"/>
          <cell r="F4475"/>
          <cell r="G4475"/>
          <cell r="H4475"/>
          <cell r="I4475"/>
          <cell r="J4475"/>
          <cell r="L4475"/>
        </row>
        <row r="4476">
          <cell r="A4476"/>
          <cell r="D4476"/>
          <cell r="E4476"/>
          <cell r="F4476"/>
          <cell r="G4476"/>
          <cell r="H4476"/>
          <cell r="I4476"/>
          <cell r="J4476"/>
          <cell r="L4476"/>
        </row>
        <row r="4477">
          <cell r="A4477"/>
          <cell r="D4477"/>
          <cell r="E4477"/>
          <cell r="F4477"/>
          <cell r="G4477"/>
          <cell r="H4477"/>
          <cell r="I4477"/>
          <cell r="J4477"/>
          <cell r="L4477"/>
        </row>
        <row r="4478">
          <cell r="A4478"/>
          <cell r="D4478"/>
          <cell r="E4478"/>
          <cell r="F4478"/>
          <cell r="G4478"/>
          <cell r="H4478"/>
          <cell r="I4478"/>
          <cell r="J4478"/>
          <cell r="L4478"/>
        </row>
        <row r="4479">
          <cell r="A4479"/>
          <cell r="D4479"/>
          <cell r="E4479"/>
          <cell r="F4479"/>
          <cell r="G4479"/>
          <cell r="H4479"/>
          <cell r="I4479"/>
          <cell r="J4479"/>
          <cell r="L4479"/>
        </row>
        <row r="4480">
          <cell r="A4480"/>
          <cell r="D4480"/>
          <cell r="E4480"/>
          <cell r="F4480"/>
          <cell r="G4480"/>
          <cell r="H4480"/>
          <cell r="I4480"/>
          <cell r="J4480"/>
          <cell r="L4480"/>
        </row>
        <row r="4481">
          <cell r="A4481"/>
          <cell r="D4481"/>
          <cell r="E4481"/>
          <cell r="F4481"/>
          <cell r="G4481"/>
          <cell r="H4481"/>
          <cell r="I4481"/>
          <cell r="J4481"/>
          <cell r="L4481"/>
        </row>
        <row r="4482">
          <cell r="A4482"/>
          <cell r="D4482"/>
          <cell r="E4482"/>
          <cell r="F4482"/>
          <cell r="G4482"/>
          <cell r="H4482"/>
          <cell r="I4482"/>
          <cell r="J4482"/>
          <cell r="L4482"/>
        </row>
        <row r="4483">
          <cell r="A4483"/>
          <cell r="D4483"/>
          <cell r="E4483"/>
          <cell r="F4483"/>
          <cell r="G4483"/>
          <cell r="H4483"/>
          <cell r="I4483"/>
          <cell r="J4483"/>
          <cell r="L4483"/>
        </row>
        <row r="4484">
          <cell r="A4484"/>
          <cell r="D4484"/>
          <cell r="E4484"/>
          <cell r="F4484"/>
          <cell r="G4484"/>
          <cell r="H4484"/>
          <cell r="I4484"/>
          <cell r="J4484"/>
          <cell r="L4484"/>
        </row>
        <row r="4485">
          <cell r="A4485"/>
          <cell r="D4485"/>
          <cell r="E4485"/>
          <cell r="F4485"/>
          <cell r="G4485"/>
          <cell r="H4485"/>
          <cell r="I4485"/>
          <cell r="J4485"/>
          <cell r="L4485"/>
        </row>
        <row r="4486">
          <cell r="A4486"/>
          <cell r="D4486"/>
          <cell r="E4486"/>
          <cell r="F4486"/>
          <cell r="G4486"/>
          <cell r="H4486"/>
          <cell r="I4486"/>
          <cell r="J4486"/>
          <cell r="L4486"/>
        </row>
        <row r="4487">
          <cell r="A4487"/>
          <cell r="D4487"/>
          <cell r="E4487"/>
          <cell r="F4487"/>
          <cell r="G4487"/>
          <cell r="H4487"/>
          <cell r="I4487"/>
          <cell r="J4487"/>
          <cell r="L4487"/>
        </row>
        <row r="4488">
          <cell r="A4488"/>
          <cell r="D4488"/>
          <cell r="E4488"/>
          <cell r="F4488"/>
          <cell r="G4488"/>
          <cell r="H4488"/>
          <cell r="I4488"/>
          <cell r="J4488"/>
          <cell r="L4488"/>
        </row>
        <row r="4489">
          <cell r="A4489"/>
          <cell r="D4489"/>
          <cell r="E4489"/>
          <cell r="F4489"/>
          <cell r="G4489"/>
          <cell r="H4489"/>
          <cell r="I4489"/>
          <cell r="J4489"/>
          <cell r="L4489"/>
        </row>
        <row r="4490">
          <cell r="A4490"/>
          <cell r="D4490"/>
          <cell r="E4490"/>
          <cell r="F4490"/>
          <cell r="G4490"/>
          <cell r="H4490"/>
          <cell r="I4490"/>
          <cell r="J4490"/>
          <cell r="L4490"/>
        </row>
        <row r="4491">
          <cell r="A4491"/>
          <cell r="D4491"/>
          <cell r="E4491"/>
          <cell r="F4491"/>
          <cell r="G4491"/>
          <cell r="H4491"/>
          <cell r="I4491"/>
          <cell r="J4491"/>
          <cell r="L4491"/>
        </row>
        <row r="4492">
          <cell r="A4492"/>
          <cell r="D4492"/>
          <cell r="E4492"/>
          <cell r="F4492"/>
          <cell r="G4492"/>
          <cell r="H4492"/>
          <cell r="I4492"/>
          <cell r="J4492"/>
          <cell r="L4492"/>
        </row>
        <row r="4493">
          <cell r="A4493"/>
          <cell r="D4493"/>
          <cell r="E4493"/>
          <cell r="F4493"/>
          <cell r="G4493"/>
          <cell r="H4493"/>
          <cell r="I4493"/>
          <cell r="J4493"/>
          <cell r="L4493"/>
        </row>
        <row r="4494">
          <cell r="A4494"/>
          <cell r="D4494"/>
          <cell r="E4494"/>
          <cell r="F4494"/>
          <cell r="G4494"/>
          <cell r="H4494"/>
          <cell r="I4494"/>
          <cell r="J4494"/>
          <cell r="L4494"/>
        </row>
        <row r="4495">
          <cell r="A4495"/>
          <cell r="D4495"/>
          <cell r="E4495"/>
          <cell r="F4495"/>
          <cell r="G4495"/>
          <cell r="H4495"/>
          <cell r="I4495"/>
          <cell r="J4495"/>
          <cell r="L4495"/>
        </row>
        <row r="4496">
          <cell r="A4496"/>
          <cell r="D4496"/>
          <cell r="E4496"/>
          <cell r="F4496"/>
          <cell r="G4496"/>
          <cell r="H4496"/>
          <cell r="I4496"/>
          <cell r="J4496"/>
          <cell r="L4496"/>
        </row>
        <row r="4497">
          <cell r="A4497"/>
          <cell r="D4497"/>
          <cell r="E4497"/>
          <cell r="F4497"/>
          <cell r="G4497"/>
          <cell r="H4497"/>
          <cell r="I4497"/>
          <cell r="J4497"/>
          <cell r="L4497"/>
        </row>
        <row r="4498">
          <cell r="A4498"/>
          <cell r="D4498"/>
          <cell r="E4498"/>
          <cell r="F4498"/>
          <cell r="G4498"/>
          <cell r="H4498"/>
          <cell r="I4498"/>
          <cell r="J4498"/>
          <cell r="L4498"/>
        </row>
        <row r="4499">
          <cell r="A4499"/>
          <cell r="D4499"/>
          <cell r="E4499"/>
          <cell r="F4499"/>
          <cell r="G4499"/>
          <cell r="H4499"/>
          <cell r="I4499"/>
          <cell r="J4499"/>
          <cell r="L4499"/>
        </row>
        <row r="4500">
          <cell r="A4500"/>
          <cell r="D4500"/>
          <cell r="E4500"/>
          <cell r="F4500"/>
          <cell r="G4500"/>
          <cell r="H4500"/>
          <cell r="I4500"/>
          <cell r="J4500"/>
          <cell r="L4500"/>
        </row>
        <row r="4501">
          <cell r="A4501"/>
          <cell r="D4501"/>
          <cell r="E4501"/>
          <cell r="F4501"/>
          <cell r="G4501"/>
          <cell r="H4501"/>
          <cell r="I4501"/>
          <cell r="J4501"/>
          <cell r="L4501"/>
        </row>
        <row r="4502">
          <cell r="A4502"/>
          <cell r="D4502"/>
          <cell r="E4502"/>
          <cell r="F4502"/>
          <cell r="G4502"/>
          <cell r="H4502"/>
          <cell r="I4502"/>
          <cell r="J4502"/>
          <cell r="L4502"/>
        </row>
        <row r="4503">
          <cell r="A4503"/>
          <cell r="D4503"/>
          <cell r="E4503"/>
          <cell r="F4503"/>
          <cell r="G4503"/>
          <cell r="H4503"/>
          <cell r="I4503"/>
          <cell r="J4503"/>
          <cell r="L4503"/>
        </row>
        <row r="4504">
          <cell r="A4504"/>
          <cell r="D4504"/>
          <cell r="E4504"/>
          <cell r="F4504"/>
          <cell r="G4504"/>
          <cell r="H4504"/>
          <cell r="I4504"/>
          <cell r="J4504"/>
          <cell r="L4504"/>
        </row>
        <row r="4505">
          <cell r="A4505"/>
          <cell r="D4505"/>
          <cell r="E4505"/>
          <cell r="F4505"/>
          <cell r="G4505"/>
          <cell r="H4505"/>
          <cell r="I4505"/>
          <cell r="J4505"/>
          <cell r="L4505"/>
        </row>
        <row r="4506">
          <cell r="A4506"/>
          <cell r="D4506"/>
          <cell r="E4506"/>
          <cell r="F4506"/>
          <cell r="G4506"/>
          <cell r="H4506"/>
          <cell r="I4506"/>
          <cell r="J4506"/>
          <cell r="L4506"/>
        </row>
        <row r="4507">
          <cell r="A4507"/>
          <cell r="D4507"/>
          <cell r="E4507"/>
          <cell r="F4507"/>
          <cell r="G4507"/>
          <cell r="H4507"/>
          <cell r="I4507"/>
          <cell r="J4507"/>
          <cell r="L4507"/>
        </row>
        <row r="4508">
          <cell r="A4508"/>
          <cell r="D4508"/>
          <cell r="E4508"/>
          <cell r="F4508"/>
          <cell r="G4508"/>
          <cell r="H4508"/>
          <cell r="I4508"/>
          <cell r="J4508"/>
          <cell r="L4508"/>
        </row>
        <row r="4509">
          <cell r="A4509"/>
          <cell r="D4509"/>
          <cell r="E4509"/>
          <cell r="F4509"/>
          <cell r="G4509"/>
          <cell r="H4509"/>
          <cell r="I4509"/>
          <cell r="J4509"/>
          <cell r="L4509"/>
        </row>
        <row r="4510">
          <cell r="A4510"/>
          <cell r="D4510"/>
          <cell r="E4510"/>
          <cell r="F4510"/>
          <cell r="G4510"/>
          <cell r="H4510"/>
          <cell r="I4510"/>
          <cell r="J4510"/>
          <cell r="L4510"/>
        </row>
        <row r="4511">
          <cell r="A4511"/>
          <cell r="D4511"/>
          <cell r="E4511"/>
          <cell r="F4511"/>
          <cell r="G4511"/>
          <cell r="H4511"/>
          <cell r="I4511"/>
          <cell r="J4511"/>
          <cell r="L4511"/>
        </row>
        <row r="4512">
          <cell r="A4512"/>
          <cell r="D4512"/>
          <cell r="E4512"/>
          <cell r="F4512"/>
          <cell r="G4512"/>
          <cell r="H4512"/>
          <cell r="I4512"/>
          <cell r="J4512"/>
          <cell r="L4512"/>
        </row>
        <row r="4513">
          <cell r="A4513"/>
          <cell r="D4513"/>
          <cell r="E4513"/>
          <cell r="F4513"/>
          <cell r="G4513"/>
          <cell r="H4513"/>
          <cell r="I4513"/>
          <cell r="J4513"/>
          <cell r="L4513"/>
        </row>
        <row r="4514">
          <cell r="A4514"/>
          <cell r="D4514"/>
          <cell r="E4514"/>
          <cell r="F4514"/>
          <cell r="G4514"/>
          <cell r="H4514"/>
          <cell r="I4514"/>
          <cell r="J4514"/>
          <cell r="L4514"/>
        </row>
        <row r="4515">
          <cell r="A4515"/>
          <cell r="D4515"/>
          <cell r="E4515"/>
          <cell r="F4515"/>
          <cell r="G4515"/>
          <cell r="H4515"/>
          <cell r="I4515"/>
          <cell r="J4515"/>
          <cell r="L4515"/>
        </row>
        <row r="4516">
          <cell r="A4516"/>
          <cell r="D4516"/>
          <cell r="E4516"/>
          <cell r="F4516"/>
          <cell r="G4516"/>
          <cell r="H4516"/>
          <cell r="I4516"/>
          <cell r="J4516"/>
          <cell r="L4516"/>
        </row>
        <row r="4517">
          <cell r="A4517"/>
          <cell r="D4517"/>
          <cell r="E4517"/>
          <cell r="F4517"/>
          <cell r="G4517"/>
          <cell r="H4517"/>
          <cell r="I4517"/>
          <cell r="J4517"/>
          <cell r="L4517"/>
        </row>
        <row r="4518">
          <cell r="A4518"/>
          <cell r="D4518"/>
          <cell r="E4518"/>
          <cell r="F4518"/>
          <cell r="G4518"/>
          <cell r="H4518"/>
          <cell r="I4518"/>
          <cell r="J4518"/>
          <cell r="L4518"/>
        </row>
        <row r="4519">
          <cell r="A4519"/>
          <cell r="D4519"/>
          <cell r="E4519"/>
          <cell r="F4519"/>
          <cell r="G4519"/>
          <cell r="H4519"/>
          <cell r="I4519"/>
          <cell r="J4519"/>
          <cell r="L4519"/>
        </row>
        <row r="4520">
          <cell r="A4520"/>
          <cell r="D4520"/>
          <cell r="E4520"/>
          <cell r="F4520"/>
          <cell r="G4520"/>
          <cell r="H4520"/>
          <cell r="I4520"/>
          <cell r="J4520"/>
          <cell r="L4520"/>
        </row>
        <row r="4521">
          <cell r="A4521"/>
          <cell r="D4521"/>
          <cell r="E4521"/>
          <cell r="F4521"/>
          <cell r="G4521"/>
          <cell r="H4521"/>
          <cell r="I4521"/>
          <cell r="J4521"/>
          <cell r="L4521"/>
        </row>
        <row r="4522">
          <cell r="A4522"/>
          <cell r="D4522"/>
          <cell r="E4522"/>
          <cell r="F4522"/>
          <cell r="G4522"/>
          <cell r="H4522"/>
          <cell r="I4522"/>
          <cell r="J4522"/>
          <cell r="L4522"/>
        </row>
        <row r="4523">
          <cell r="A4523"/>
          <cell r="D4523"/>
          <cell r="E4523"/>
          <cell r="F4523"/>
          <cell r="G4523"/>
          <cell r="H4523"/>
          <cell r="I4523"/>
          <cell r="J4523"/>
          <cell r="L4523"/>
        </row>
        <row r="4524">
          <cell r="A4524"/>
          <cell r="D4524"/>
          <cell r="E4524"/>
          <cell r="F4524"/>
          <cell r="G4524"/>
          <cell r="H4524"/>
          <cell r="I4524"/>
          <cell r="J4524"/>
          <cell r="L4524"/>
        </row>
        <row r="4525">
          <cell r="A4525"/>
          <cell r="D4525"/>
          <cell r="E4525"/>
          <cell r="F4525"/>
          <cell r="G4525"/>
          <cell r="H4525"/>
          <cell r="I4525"/>
          <cell r="J4525"/>
          <cell r="L4525"/>
        </row>
        <row r="4526">
          <cell r="A4526"/>
          <cell r="D4526"/>
          <cell r="E4526"/>
          <cell r="F4526"/>
          <cell r="G4526"/>
          <cell r="H4526"/>
          <cell r="I4526"/>
          <cell r="J4526"/>
          <cell r="L4526"/>
        </row>
        <row r="4527">
          <cell r="A4527"/>
          <cell r="D4527"/>
          <cell r="E4527"/>
          <cell r="F4527"/>
          <cell r="G4527"/>
          <cell r="H4527"/>
          <cell r="I4527"/>
          <cell r="J4527"/>
          <cell r="L4527"/>
        </row>
        <row r="4528">
          <cell r="A4528"/>
          <cell r="D4528"/>
          <cell r="E4528"/>
          <cell r="F4528"/>
          <cell r="G4528"/>
          <cell r="H4528"/>
          <cell r="I4528"/>
          <cell r="J4528"/>
          <cell r="L4528"/>
        </row>
        <row r="4529">
          <cell r="A4529"/>
          <cell r="D4529"/>
          <cell r="E4529"/>
          <cell r="F4529"/>
          <cell r="G4529"/>
          <cell r="H4529"/>
          <cell r="I4529"/>
          <cell r="J4529"/>
          <cell r="L4529"/>
        </row>
        <row r="4530">
          <cell r="A4530"/>
          <cell r="D4530"/>
          <cell r="E4530"/>
          <cell r="F4530"/>
          <cell r="G4530"/>
          <cell r="H4530"/>
          <cell r="I4530"/>
          <cell r="J4530"/>
          <cell r="L4530"/>
        </row>
        <row r="4531">
          <cell r="A4531"/>
          <cell r="D4531"/>
          <cell r="E4531"/>
          <cell r="F4531"/>
          <cell r="G4531"/>
          <cell r="H4531"/>
          <cell r="I4531"/>
          <cell r="J4531"/>
          <cell r="L4531"/>
        </row>
        <row r="4532">
          <cell r="A4532"/>
          <cell r="D4532"/>
          <cell r="E4532"/>
          <cell r="F4532"/>
          <cell r="G4532"/>
          <cell r="H4532"/>
          <cell r="I4532"/>
          <cell r="J4532"/>
          <cell r="L4532"/>
        </row>
        <row r="4533">
          <cell r="A4533"/>
          <cell r="D4533"/>
          <cell r="E4533"/>
          <cell r="F4533"/>
          <cell r="G4533"/>
          <cell r="H4533"/>
          <cell r="I4533"/>
          <cell r="J4533"/>
          <cell r="L4533"/>
        </row>
        <row r="4534">
          <cell r="A4534"/>
          <cell r="D4534"/>
          <cell r="E4534"/>
          <cell r="F4534"/>
          <cell r="G4534"/>
          <cell r="H4534"/>
          <cell r="I4534"/>
          <cell r="J4534"/>
          <cell r="L4534"/>
        </row>
        <row r="4535">
          <cell r="A4535"/>
          <cell r="D4535"/>
          <cell r="E4535"/>
          <cell r="F4535"/>
          <cell r="G4535"/>
          <cell r="H4535"/>
          <cell r="I4535"/>
          <cell r="J4535"/>
          <cell r="L4535"/>
        </row>
        <row r="4536">
          <cell r="A4536"/>
          <cell r="D4536"/>
          <cell r="E4536"/>
          <cell r="F4536"/>
          <cell r="G4536"/>
          <cell r="H4536"/>
          <cell r="I4536"/>
          <cell r="J4536"/>
          <cell r="L4536"/>
        </row>
        <row r="4537">
          <cell r="A4537"/>
          <cell r="D4537"/>
          <cell r="E4537"/>
          <cell r="F4537"/>
          <cell r="G4537"/>
          <cell r="H4537"/>
          <cell r="I4537"/>
          <cell r="J4537"/>
          <cell r="L4537"/>
        </row>
        <row r="4538">
          <cell r="A4538"/>
          <cell r="D4538"/>
          <cell r="E4538"/>
          <cell r="F4538"/>
          <cell r="G4538"/>
          <cell r="H4538"/>
          <cell r="I4538"/>
          <cell r="J4538"/>
          <cell r="L4538"/>
        </row>
        <row r="4539">
          <cell r="A4539"/>
          <cell r="D4539"/>
          <cell r="E4539"/>
          <cell r="F4539"/>
          <cell r="G4539"/>
          <cell r="H4539"/>
          <cell r="I4539"/>
          <cell r="J4539"/>
          <cell r="L4539"/>
        </row>
        <row r="4540">
          <cell r="A4540"/>
          <cell r="D4540"/>
          <cell r="E4540"/>
          <cell r="F4540"/>
          <cell r="G4540"/>
          <cell r="H4540"/>
          <cell r="I4540"/>
          <cell r="J4540"/>
          <cell r="L4540"/>
        </row>
        <row r="4541">
          <cell r="A4541"/>
          <cell r="D4541"/>
          <cell r="E4541"/>
          <cell r="F4541"/>
          <cell r="G4541"/>
          <cell r="H4541"/>
          <cell r="I4541"/>
          <cell r="J4541"/>
          <cell r="L4541"/>
        </row>
        <row r="4542">
          <cell r="A4542"/>
          <cell r="D4542"/>
          <cell r="E4542"/>
          <cell r="F4542"/>
          <cell r="G4542"/>
          <cell r="H4542"/>
          <cell r="I4542"/>
          <cell r="J4542"/>
          <cell r="L4542"/>
        </row>
        <row r="4543">
          <cell r="A4543"/>
          <cell r="D4543"/>
          <cell r="E4543"/>
          <cell r="F4543"/>
          <cell r="G4543"/>
          <cell r="H4543"/>
          <cell r="I4543"/>
          <cell r="J4543"/>
          <cell r="L4543"/>
        </row>
        <row r="4544">
          <cell r="A4544"/>
          <cell r="D4544"/>
          <cell r="E4544"/>
          <cell r="F4544"/>
          <cell r="G4544"/>
          <cell r="H4544"/>
          <cell r="I4544"/>
          <cell r="J4544"/>
          <cell r="L4544"/>
        </row>
        <row r="4545">
          <cell r="A4545"/>
          <cell r="D4545"/>
          <cell r="E4545"/>
          <cell r="F4545"/>
          <cell r="G4545"/>
          <cell r="H4545"/>
          <cell r="I4545"/>
          <cell r="J4545"/>
          <cell r="L4545"/>
        </row>
        <row r="4546">
          <cell r="A4546"/>
          <cell r="D4546"/>
          <cell r="E4546"/>
          <cell r="F4546"/>
          <cell r="G4546"/>
          <cell r="H4546"/>
          <cell r="I4546"/>
          <cell r="J4546"/>
          <cell r="L4546"/>
        </row>
        <row r="4547">
          <cell r="A4547"/>
          <cell r="D4547"/>
          <cell r="E4547"/>
          <cell r="F4547"/>
          <cell r="G4547"/>
          <cell r="H4547"/>
          <cell r="I4547"/>
          <cell r="J4547"/>
          <cell r="L4547"/>
        </row>
        <row r="4548">
          <cell r="A4548"/>
          <cell r="D4548"/>
          <cell r="E4548"/>
          <cell r="F4548"/>
          <cell r="G4548"/>
          <cell r="H4548"/>
          <cell r="I4548"/>
          <cell r="J4548"/>
          <cell r="L4548"/>
        </row>
        <row r="4549">
          <cell r="A4549"/>
          <cell r="D4549"/>
          <cell r="E4549"/>
          <cell r="F4549"/>
          <cell r="G4549"/>
          <cell r="H4549"/>
          <cell r="I4549"/>
          <cell r="J4549"/>
          <cell r="L4549"/>
        </row>
        <row r="4550">
          <cell r="A4550"/>
          <cell r="D4550"/>
          <cell r="E4550"/>
          <cell r="F4550"/>
          <cell r="G4550"/>
          <cell r="H4550"/>
          <cell r="I4550"/>
          <cell r="J4550"/>
          <cell r="L4550"/>
        </row>
        <row r="4551">
          <cell r="A4551"/>
          <cell r="D4551"/>
          <cell r="E4551"/>
          <cell r="F4551"/>
          <cell r="G4551"/>
          <cell r="H4551"/>
          <cell r="I4551"/>
          <cell r="J4551"/>
          <cell r="L4551"/>
        </row>
        <row r="4552">
          <cell r="A4552"/>
          <cell r="D4552"/>
          <cell r="E4552"/>
          <cell r="F4552"/>
          <cell r="G4552"/>
          <cell r="H4552"/>
          <cell r="I4552"/>
          <cell r="J4552"/>
          <cell r="L4552"/>
        </row>
        <row r="4553">
          <cell r="A4553"/>
          <cell r="D4553"/>
          <cell r="E4553"/>
          <cell r="F4553"/>
          <cell r="G4553"/>
          <cell r="H4553"/>
          <cell r="I4553"/>
          <cell r="J4553"/>
          <cell r="L4553"/>
        </row>
        <row r="4554">
          <cell r="A4554"/>
          <cell r="D4554"/>
          <cell r="E4554"/>
          <cell r="F4554"/>
          <cell r="G4554"/>
          <cell r="H4554"/>
          <cell r="I4554"/>
          <cell r="J4554"/>
          <cell r="L4554"/>
        </row>
        <row r="4555">
          <cell r="A4555"/>
          <cell r="D4555"/>
          <cell r="E4555"/>
          <cell r="F4555"/>
          <cell r="G4555"/>
          <cell r="H4555"/>
          <cell r="I4555"/>
          <cell r="J4555"/>
          <cell r="L4555"/>
        </row>
        <row r="4556">
          <cell r="A4556"/>
          <cell r="D4556"/>
          <cell r="E4556"/>
          <cell r="F4556"/>
          <cell r="G4556"/>
          <cell r="H4556"/>
          <cell r="I4556"/>
          <cell r="J4556"/>
          <cell r="L4556"/>
        </row>
        <row r="4557">
          <cell r="A4557"/>
          <cell r="D4557"/>
          <cell r="E4557"/>
          <cell r="F4557"/>
          <cell r="G4557"/>
          <cell r="H4557"/>
          <cell r="I4557"/>
          <cell r="J4557"/>
          <cell r="L4557"/>
        </row>
        <row r="4558">
          <cell r="A4558"/>
          <cell r="D4558"/>
          <cell r="E4558"/>
          <cell r="F4558"/>
          <cell r="G4558"/>
          <cell r="H4558"/>
          <cell r="I4558"/>
          <cell r="J4558"/>
          <cell r="L4558"/>
        </row>
        <row r="4559">
          <cell r="A4559"/>
          <cell r="D4559"/>
          <cell r="E4559"/>
          <cell r="F4559"/>
          <cell r="G4559"/>
          <cell r="H4559"/>
          <cell r="I4559"/>
          <cell r="J4559"/>
          <cell r="L4559"/>
        </row>
        <row r="4560">
          <cell r="A4560"/>
          <cell r="D4560"/>
          <cell r="E4560"/>
          <cell r="F4560"/>
          <cell r="G4560"/>
          <cell r="H4560"/>
          <cell r="I4560"/>
          <cell r="J4560"/>
          <cell r="L4560"/>
        </row>
        <row r="4561">
          <cell r="A4561"/>
          <cell r="D4561"/>
          <cell r="E4561"/>
          <cell r="F4561"/>
          <cell r="G4561"/>
          <cell r="H4561"/>
          <cell r="I4561"/>
          <cell r="J4561"/>
          <cell r="L4561"/>
        </row>
        <row r="4562">
          <cell r="A4562"/>
          <cell r="D4562"/>
          <cell r="E4562"/>
          <cell r="F4562"/>
          <cell r="G4562"/>
          <cell r="H4562"/>
          <cell r="I4562"/>
          <cell r="J4562"/>
          <cell r="L4562"/>
        </row>
        <row r="4563">
          <cell r="A4563"/>
          <cell r="D4563"/>
          <cell r="E4563"/>
          <cell r="F4563"/>
          <cell r="G4563"/>
          <cell r="H4563"/>
          <cell r="I4563"/>
          <cell r="J4563"/>
          <cell r="L4563"/>
        </row>
        <row r="4564">
          <cell r="A4564"/>
          <cell r="D4564"/>
          <cell r="E4564"/>
          <cell r="F4564"/>
          <cell r="G4564"/>
          <cell r="H4564"/>
          <cell r="I4564"/>
          <cell r="J4564"/>
          <cell r="L4564"/>
        </row>
        <row r="4565">
          <cell r="A4565"/>
          <cell r="D4565"/>
          <cell r="E4565"/>
          <cell r="F4565"/>
          <cell r="G4565"/>
          <cell r="H4565"/>
          <cell r="I4565"/>
          <cell r="J4565"/>
          <cell r="L4565"/>
        </row>
        <row r="4566">
          <cell r="A4566"/>
          <cell r="D4566"/>
          <cell r="E4566"/>
          <cell r="F4566"/>
          <cell r="G4566"/>
          <cell r="H4566"/>
          <cell r="I4566"/>
          <cell r="J4566"/>
          <cell r="L4566"/>
        </row>
        <row r="4567">
          <cell r="A4567"/>
          <cell r="D4567"/>
          <cell r="E4567"/>
          <cell r="F4567"/>
          <cell r="G4567"/>
          <cell r="H4567"/>
          <cell r="I4567"/>
          <cell r="J4567"/>
          <cell r="L4567"/>
        </row>
        <row r="4568">
          <cell r="A4568"/>
          <cell r="D4568"/>
          <cell r="E4568"/>
          <cell r="F4568"/>
          <cell r="G4568"/>
          <cell r="H4568"/>
          <cell r="I4568"/>
          <cell r="J4568"/>
          <cell r="L4568"/>
        </row>
        <row r="4569">
          <cell r="A4569"/>
          <cell r="D4569"/>
          <cell r="E4569"/>
          <cell r="F4569"/>
          <cell r="G4569"/>
          <cell r="H4569"/>
          <cell r="I4569"/>
          <cell r="J4569"/>
          <cell r="L4569"/>
        </row>
        <row r="4570">
          <cell r="A4570"/>
          <cell r="D4570"/>
          <cell r="E4570"/>
          <cell r="F4570"/>
          <cell r="G4570"/>
          <cell r="H4570"/>
          <cell r="I4570"/>
          <cell r="J4570"/>
          <cell r="L4570"/>
        </row>
        <row r="4571">
          <cell r="A4571"/>
          <cell r="D4571"/>
          <cell r="E4571"/>
          <cell r="F4571"/>
          <cell r="G4571"/>
          <cell r="H4571"/>
          <cell r="I4571"/>
          <cell r="J4571"/>
          <cell r="L4571"/>
        </row>
        <row r="4572">
          <cell r="A4572"/>
          <cell r="D4572"/>
          <cell r="E4572"/>
          <cell r="F4572"/>
          <cell r="G4572"/>
          <cell r="H4572"/>
          <cell r="I4572"/>
          <cell r="J4572"/>
          <cell r="L4572"/>
        </row>
        <row r="4573">
          <cell r="A4573"/>
          <cell r="D4573"/>
          <cell r="E4573"/>
          <cell r="F4573"/>
          <cell r="G4573"/>
          <cell r="H4573"/>
          <cell r="I4573"/>
          <cell r="J4573"/>
          <cell r="L4573"/>
        </row>
        <row r="4574">
          <cell r="A4574"/>
          <cell r="D4574"/>
          <cell r="E4574"/>
          <cell r="F4574"/>
          <cell r="G4574"/>
          <cell r="H4574"/>
          <cell r="I4574"/>
          <cell r="J4574"/>
          <cell r="L4574"/>
        </row>
        <row r="4575">
          <cell r="A4575"/>
          <cell r="D4575"/>
          <cell r="E4575"/>
          <cell r="F4575"/>
          <cell r="G4575"/>
          <cell r="H4575"/>
          <cell r="I4575"/>
          <cell r="J4575"/>
          <cell r="L4575"/>
        </row>
        <row r="4576">
          <cell r="A4576"/>
          <cell r="D4576"/>
          <cell r="E4576"/>
          <cell r="F4576"/>
          <cell r="G4576"/>
          <cell r="H4576"/>
          <cell r="I4576"/>
          <cell r="J4576"/>
          <cell r="L4576"/>
        </row>
        <row r="4577">
          <cell r="A4577"/>
          <cell r="D4577"/>
          <cell r="E4577"/>
          <cell r="F4577"/>
          <cell r="G4577"/>
          <cell r="H4577"/>
          <cell r="I4577"/>
          <cell r="J4577"/>
          <cell r="L4577"/>
        </row>
        <row r="4578">
          <cell r="A4578"/>
          <cell r="D4578"/>
          <cell r="E4578"/>
          <cell r="F4578"/>
          <cell r="G4578"/>
          <cell r="H4578"/>
          <cell r="I4578"/>
          <cell r="J4578"/>
          <cell r="L4578"/>
        </row>
        <row r="4579">
          <cell r="A4579"/>
          <cell r="D4579"/>
          <cell r="E4579"/>
          <cell r="F4579"/>
          <cell r="G4579"/>
          <cell r="H4579"/>
          <cell r="I4579"/>
          <cell r="J4579"/>
          <cell r="L4579"/>
        </row>
        <row r="4580">
          <cell r="A4580"/>
          <cell r="D4580"/>
          <cell r="E4580"/>
          <cell r="F4580"/>
          <cell r="G4580"/>
          <cell r="H4580"/>
          <cell r="I4580"/>
          <cell r="J4580"/>
          <cell r="L4580"/>
        </row>
        <row r="4581">
          <cell r="A4581"/>
          <cell r="D4581"/>
          <cell r="E4581"/>
          <cell r="F4581"/>
          <cell r="G4581"/>
          <cell r="H4581"/>
          <cell r="I4581"/>
          <cell r="J4581"/>
          <cell r="L4581"/>
        </row>
        <row r="4582">
          <cell r="A4582"/>
          <cell r="D4582"/>
          <cell r="E4582"/>
          <cell r="F4582"/>
          <cell r="G4582"/>
          <cell r="H4582"/>
          <cell r="I4582"/>
          <cell r="J4582"/>
          <cell r="L4582"/>
        </row>
        <row r="4583">
          <cell r="A4583"/>
          <cell r="D4583"/>
          <cell r="E4583"/>
          <cell r="F4583"/>
          <cell r="G4583"/>
          <cell r="H4583"/>
          <cell r="I4583"/>
          <cell r="J4583"/>
          <cell r="L4583"/>
        </row>
        <row r="4584">
          <cell r="A4584"/>
          <cell r="D4584"/>
          <cell r="E4584"/>
          <cell r="F4584"/>
          <cell r="G4584"/>
          <cell r="H4584"/>
          <cell r="I4584"/>
          <cell r="J4584"/>
          <cell r="L4584"/>
        </row>
        <row r="4585">
          <cell r="A4585"/>
          <cell r="D4585"/>
          <cell r="E4585"/>
          <cell r="F4585"/>
          <cell r="G4585"/>
          <cell r="H4585"/>
          <cell r="I4585"/>
          <cell r="J4585"/>
          <cell r="L4585"/>
        </row>
        <row r="4586">
          <cell r="A4586"/>
          <cell r="D4586"/>
          <cell r="E4586"/>
          <cell r="F4586"/>
          <cell r="G4586"/>
          <cell r="H4586"/>
          <cell r="I4586"/>
          <cell r="J4586"/>
          <cell r="L4586"/>
        </row>
        <row r="4587">
          <cell r="A4587"/>
          <cell r="D4587"/>
          <cell r="E4587"/>
          <cell r="F4587"/>
          <cell r="G4587"/>
          <cell r="H4587"/>
          <cell r="I4587"/>
          <cell r="J4587"/>
          <cell r="L4587"/>
        </row>
        <row r="4588">
          <cell r="A4588"/>
          <cell r="D4588"/>
          <cell r="E4588"/>
          <cell r="F4588"/>
          <cell r="G4588"/>
          <cell r="H4588"/>
          <cell r="I4588"/>
          <cell r="J4588"/>
          <cell r="L4588"/>
        </row>
        <row r="4589">
          <cell r="A4589"/>
          <cell r="D4589"/>
          <cell r="E4589"/>
          <cell r="F4589"/>
          <cell r="G4589"/>
          <cell r="H4589"/>
          <cell r="I4589"/>
          <cell r="J4589"/>
          <cell r="L4589"/>
        </row>
        <row r="4590">
          <cell r="A4590"/>
          <cell r="D4590"/>
          <cell r="E4590"/>
          <cell r="F4590"/>
          <cell r="G4590"/>
          <cell r="H4590"/>
          <cell r="I4590"/>
          <cell r="J4590"/>
          <cell r="L4590"/>
        </row>
        <row r="4591">
          <cell r="A4591"/>
          <cell r="D4591"/>
          <cell r="E4591"/>
          <cell r="F4591"/>
          <cell r="G4591"/>
          <cell r="H4591"/>
          <cell r="I4591"/>
          <cell r="J4591"/>
          <cell r="L4591"/>
        </row>
        <row r="4592">
          <cell r="A4592"/>
          <cell r="D4592"/>
          <cell r="E4592"/>
          <cell r="F4592"/>
          <cell r="G4592"/>
          <cell r="H4592"/>
          <cell r="I4592"/>
          <cell r="J4592"/>
          <cell r="L4592"/>
        </row>
        <row r="4593">
          <cell r="A4593"/>
          <cell r="D4593"/>
          <cell r="E4593"/>
          <cell r="F4593"/>
          <cell r="G4593"/>
          <cell r="H4593"/>
          <cell r="I4593"/>
          <cell r="J4593"/>
          <cell r="L4593"/>
        </row>
        <row r="4594">
          <cell r="A4594"/>
          <cell r="D4594"/>
          <cell r="E4594"/>
          <cell r="F4594"/>
          <cell r="G4594"/>
          <cell r="H4594"/>
          <cell r="I4594"/>
          <cell r="J4594"/>
          <cell r="L4594"/>
        </row>
        <row r="4595">
          <cell r="A4595"/>
          <cell r="D4595"/>
          <cell r="E4595"/>
          <cell r="F4595"/>
          <cell r="G4595"/>
          <cell r="H4595"/>
          <cell r="I4595"/>
          <cell r="J4595"/>
          <cell r="L4595"/>
        </row>
        <row r="4596">
          <cell r="A4596"/>
          <cell r="D4596"/>
          <cell r="E4596"/>
          <cell r="F4596"/>
          <cell r="G4596"/>
          <cell r="H4596"/>
          <cell r="I4596"/>
          <cell r="J4596"/>
          <cell r="L4596"/>
        </row>
        <row r="4597">
          <cell r="A4597"/>
          <cell r="D4597"/>
          <cell r="E4597"/>
          <cell r="F4597"/>
          <cell r="G4597"/>
          <cell r="H4597"/>
          <cell r="I4597"/>
          <cell r="J4597"/>
          <cell r="L4597"/>
        </row>
        <row r="4598">
          <cell r="A4598"/>
          <cell r="D4598"/>
          <cell r="E4598"/>
          <cell r="F4598"/>
          <cell r="G4598"/>
          <cell r="H4598"/>
          <cell r="I4598"/>
          <cell r="J4598"/>
          <cell r="L4598"/>
        </row>
        <row r="4599">
          <cell r="A4599"/>
          <cell r="D4599"/>
          <cell r="E4599"/>
          <cell r="F4599"/>
          <cell r="G4599"/>
          <cell r="H4599"/>
          <cell r="I4599"/>
          <cell r="J4599"/>
          <cell r="L4599"/>
        </row>
        <row r="4600">
          <cell r="A4600"/>
          <cell r="D4600"/>
          <cell r="E4600"/>
          <cell r="F4600"/>
          <cell r="G4600"/>
          <cell r="H4600"/>
          <cell r="I4600"/>
          <cell r="J4600"/>
          <cell r="L4600"/>
        </row>
        <row r="4601">
          <cell r="A4601"/>
          <cell r="D4601"/>
          <cell r="E4601"/>
          <cell r="F4601"/>
          <cell r="G4601"/>
          <cell r="H4601"/>
          <cell r="I4601"/>
          <cell r="J4601"/>
          <cell r="L4601"/>
        </row>
        <row r="4602">
          <cell r="A4602"/>
          <cell r="D4602"/>
          <cell r="E4602"/>
          <cell r="F4602"/>
          <cell r="G4602"/>
          <cell r="H4602"/>
          <cell r="I4602"/>
          <cell r="J4602"/>
          <cell r="L4602"/>
        </row>
        <row r="4603">
          <cell r="A4603"/>
          <cell r="D4603"/>
          <cell r="E4603"/>
          <cell r="F4603"/>
          <cell r="G4603"/>
          <cell r="H4603"/>
          <cell r="I4603"/>
          <cell r="J4603"/>
          <cell r="L4603"/>
        </row>
        <row r="4604">
          <cell r="A4604"/>
          <cell r="D4604"/>
          <cell r="E4604"/>
          <cell r="F4604"/>
          <cell r="G4604"/>
          <cell r="H4604"/>
          <cell r="I4604"/>
          <cell r="J4604"/>
          <cell r="L4604"/>
        </row>
        <row r="4605">
          <cell r="A4605"/>
          <cell r="D4605"/>
          <cell r="E4605"/>
          <cell r="F4605"/>
          <cell r="G4605"/>
          <cell r="H4605"/>
          <cell r="I4605"/>
          <cell r="J4605"/>
          <cell r="L4605"/>
        </row>
        <row r="4606">
          <cell r="A4606"/>
          <cell r="D4606"/>
          <cell r="E4606"/>
          <cell r="F4606"/>
          <cell r="G4606"/>
          <cell r="H4606"/>
          <cell r="I4606"/>
          <cell r="J4606"/>
          <cell r="L4606"/>
        </row>
        <row r="4607">
          <cell r="A4607"/>
          <cell r="D4607"/>
          <cell r="E4607"/>
          <cell r="F4607"/>
          <cell r="G4607"/>
          <cell r="H4607"/>
          <cell r="I4607"/>
          <cell r="J4607"/>
          <cell r="L4607"/>
        </row>
        <row r="4608">
          <cell r="A4608"/>
          <cell r="D4608"/>
          <cell r="E4608"/>
          <cell r="F4608"/>
          <cell r="G4608"/>
          <cell r="H4608"/>
          <cell r="I4608"/>
          <cell r="J4608"/>
          <cell r="L4608"/>
        </row>
        <row r="4609">
          <cell r="A4609"/>
          <cell r="D4609"/>
          <cell r="E4609"/>
          <cell r="F4609"/>
          <cell r="G4609"/>
          <cell r="H4609"/>
          <cell r="I4609"/>
          <cell r="J4609"/>
          <cell r="L4609"/>
        </row>
        <row r="4610">
          <cell r="A4610"/>
          <cell r="D4610"/>
          <cell r="E4610"/>
          <cell r="F4610"/>
          <cell r="G4610"/>
          <cell r="H4610"/>
          <cell r="I4610"/>
          <cell r="J4610"/>
          <cell r="L4610"/>
        </row>
        <row r="4611">
          <cell r="A4611"/>
          <cell r="D4611"/>
          <cell r="E4611"/>
          <cell r="F4611"/>
          <cell r="G4611"/>
          <cell r="H4611"/>
          <cell r="I4611"/>
          <cell r="J4611"/>
          <cell r="L4611"/>
        </row>
        <row r="4612">
          <cell r="A4612"/>
          <cell r="D4612"/>
          <cell r="E4612"/>
          <cell r="F4612"/>
          <cell r="G4612"/>
          <cell r="H4612"/>
          <cell r="I4612"/>
          <cell r="J4612"/>
          <cell r="L4612"/>
        </row>
        <row r="4613">
          <cell r="A4613"/>
          <cell r="D4613"/>
          <cell r="E4613"/>
          <cell r="F4613"/>
          <cell r="G4613"/>
          <cell r="H4613"/>
          <cell r="I4613"/>
          <cell r="J4613"/>
          <cell r="L4613"/>
        </row>
        <row r="4614">
          <cell r="A4614"/>
          <cell r="D4614"/>
          <cell r="E4614"/>
          <cell r="F4614"/>
          <cell r="G4614"/>
          <cell r="H4614"/>
          <cell r="I4614"/>
          <cell r="J4614"/>
          <cell r="L4614"/>
        </row>
        <row r="4615">
          <cell r="A4615"/>
          <cell r="D4615"/>
          <cell r="E4615"/>
          <cell r="F4615"/>
          <cell r="G4615"/>
          <cell r="H4615"/>
          <cell r="I4615"/>
          <cell r="J4615"/>
          <cell r="L4615"/>
        </row>
        <row r="4616">
          <cell r="A4616"/>
          <cell r="D4616"/>
          <cell r="E4616"/>
          <cell r="F4616"/>
          <cell r="G4616"/>
          <cell r="H4616"/>
          <cell r="I4616"/>
          <cell r="J4616"/>
          <cell r="L4616"/>
        </row>
        <row r="4617">
          <cell r="A4617"/>
          <cell r="D4617"/>
          <cell r="E4617"/>
          <cell r="F4617"/>
          <cell r="G4617"/>
          <cell r="H4617"/>
          <cell r="I4617"/>
          <cell r="J4617"/>
          <cell r="L4617"/>
        </row>
        <row r="4618">
          <cell r="A4618"/>
          <cell r="D4618"/>
          <cell r="E4618"/>
          <cell r="F4618"/>
          <cell r="G4618"/>
          <cell r="H4618"/>
          <cell r="I4618"/>
          <cell r="J4618"/>
          <cell r="L4618"/>
        </row>
        <row r="4619">
          <cell r="A4619"/>
          <cell r="D4619"/>
          <cell r="E4619"/>
          <cell r="F4619"/>
          <cell r="G4619"/>
          <cell r="H4619"/>
          <cell r="I4619"/>
          <cell r="J4619"/>
          <cell r="L4619"/>
        </row>
        <row r="4620">
          <cell r="A4620"/>
          <cell r="D4620"/>
          <cell r="E4620"/>
          <cell r="F4620"/>
          <cell r="G4620"/>
          <cell r="H4620"/>
          <cell r="I4620"/>
          <cell r="J4620"/>
          <cell r="L4620"/>
        </row>
        <row r="4621">
          <cell r="A4621"/>
          <cell r="D4621"/>
          <cell r="E4621"/>
          <cell r="F4621"/>
          <cell r="G4621"/>
          <cell r="H4621"/>
          <cell r="I4621"/>
          <cell r="J4621"/>
          <cell r="L4621"/>
        </row>
        <row r="4622">
          <cell r="A4622"/>
          <cell r="D4622"/>
          <cell r="E4622"/>
          <cell r="F4622"/>
          <cell r="G4622"/>
          <cell r="H4622"/>
          <cell r="I4622"/>
          <cell r="J4622"/>
          <cell r="L4622"/>
        </row>
        <row r="4623">
          <cell r="A4623"/>
          <cell r="D4623"/>
          <cell r="E4623"/>
          <cell r="F4623"/>
          <cell r="G4623"/>
          <cell r="H4623"/>
          <cell r="I4623"/>
          <cell r="J4623"/>
          <cell r="L4623"/>
        </row>
        <row r="4624">
          <cell r="A4624"/>
          <cell r="D4624"/>
          <cell r="E4624"/>
          <cell r="F4624"/>
          <cell r="G4624"/>
          <cell r="H4624"/>
          <cell r="I4624"/>
          <cell r="J4624"/>
          <cell r="L4624"/>
        </row>
        <row r="4625">
          <cell r="A4625"/>
          <cell r="D4625"/>
          <cell r="E4625"/>
          <cell r="F4625"/>
          <cell r="G4625"/>
          <cell r="H4625"/>
          <cell r="I4625"/>
          <cell r="J4625"/>
          <cell r="L4625"/>
        </row>
        <row r="4626">
          <cell r="A4626"/>
          <cell r="D4626"/>
          <cell r="E4626"/>
          <cell r="F4626"/>
          <cell r="G4626"/>
          <cell r="H4626"/>
          <cell r="I4626"/>
          <cell r="J4626"/>
          <cell r="L4626"/>
        </row>
        <row r="4627">
          <cell r="A4627"/>
          <cell r="D4627"/>
          <cell r="E4627"/>
          <cell r="F4627"/>
          <cell r="G4627"/>
          <cell r="H4627"/>
          <cell r="I4627"/>
          <cell r="J4627"/>
          <cell r="L4627"/>
        </row>
        <row r="4628">
          <cell r="A4628"/>
          <cell r="D4628"/>
          <cell r="E4628"/>
          <cell r="F4628"/>
          <cell r="G4628"/>
          <cell r="H4628"/>
          <cell r="I4628"/>
          <cell r="J4628"/>
          <cell r="L4628"/>
        </row>
        <row r="4629">
          <cell r="A4629"/>
          <cell r="D4629"/>
          <cell r="E4629"/>
          <cell r="F4629"/>
          <cell r="G4629"/>
          <cell r="H4629"/>
          <cell r="I4629"/>
          <cell r="J4629"/>
          <cell r="L4629"/>
        </row>
        <row r="4630">
          <cell r="A4630"/>
          <cell r="D4630"/>
          <cell r="E4630"/>
          <cell r="F4630"/>
          <cell r="G4630"/>
          <cell r="H4630"/>
          <cell r="I4630"/>
          <cell r="J4630"/>
          <cell r="L4630"/>
        </row>
        <row r="4631">
          <cell r="A4631"/>
          <cell r="D4631"/>
          <cell r="E4631"/>
          <cell r="F4631"/>
          <cell r="G4631"/>
          <cell r="H4631"/>
          <cell r="I4631"/>
          <cell r="J4631"/>
          <cell r="L4631"/>
        </row>
        <row r="4632">
          <cell r="A4632"/>
          <cell r="D4632"/>
          <cell r="E4632"/>
          <cell r="F4632"/>
          <cell r="G4632"/>
          <cell r="H4632"/>
          <cell r="I4632"/>
          <cell r="J4632"/>
          <cell r="L4632"/>
        </row>
        <row r="4633">
          <cell r="A4633"/>
          <cell r="D4633"/>
          <cell r="E4633"/>
          <cell r="F4633"/>
          <cell r="G4633"/>
          <cell r="H4633"/>
          <cell r="I4633"/>
          <cell r="J4633"/>
          <cell r="L4633"/>
        </row>
        <row r="4634">
          <cell r="A4634"/>
          <cell r="D4634"/>
          <cell r="E4634"/>
          <cell r="F4634"/>
          <cell r="G4634"/>
          <cell r="H4634"/>
          <cell r="I4634"/>
          <cell r="J4634"/>
          <cell r="L4634"/>
        </row>
        <row r="4635">
          <cell r="A4635"/>
          <cell r="D4635"/>
          <cell r="E4635"/>
          <cell r="F4635"/>
          <cell r="G4635"/>
          <cell r="H4635"/>
          <cell r="I4635"/>
          <cell r="J4635"/>
          <cell r="L4635"/>
        </row>
        <row r="4636">
          <cell r="A4636"/>
          <cell r="D4636"/>
          <cell r="E4636"/>
          <cell r="F4636"/>
          <cell r="G4636"/>
          <cell r="H4636"/>
          <cell r="I4636"/>
          <cell r="J4636"/>
          <cell r="L4636"/>
        </row>
        <row r="4637">
          <cell r="A4637"/>
          <cell r="D4637"/>
          <cell r="E4637"/>
          <cell r="F4637"/>
          <cell r="G4637"/>
          <cell r="H4637"/>
          <cell r="I4637"/>
          <cell r="J4637"/>
          <cell r="L4637"/>
        </row>
        <row r="4638">
          <cell r="A4638"/>
          <cell r="D4638"/>
          <cell r="E4638"/>
          <cell r="F4638"/>
          <cell r="G4638"/>
          <cell r="H4638"/>
          <cell r="I4638"/>
          <cell r="J4638"/>
          <cell r="L4638"/>
        </row>
        <row r="4639">
          <cell r="A4639"/>
          <cell r="D4639"/>
          <cell r="E4639"/>
          <cell r="F4639"/>
          <cell r="G4639"/>
          <cell r="H4639"/>
          <cell r="I4639"/>
          <cell r="J4639"/>
          <cell r="L4639"/>
        </row>
        <row r="4640">
          <cell r="A4640"/>
          <cell r="D4640"/>
          <cell r="E4640"/>
          <cell r="F4640"/>
          <cell r="G4640"/>
          <cell r="H4640"/>
          <cell r="I4640"/>
          <cell r="J4640"/>
          <cell r="L4640"/>
        </row>
        <row r="4641">
          <cell r="A4641"/>
          <cell r="D4641"/>
          <cell r="E4641"/>
          <cell r="F4641"/>
          <cell r="G4641"/>
          <cell r="H4641"/>
          <cell r="I4641"/>
          <cell r="J4641"/>
          <cell r="L4641"/>
        </row>
        <row r="4642">
          <cell r="A4642"/>
          <cell r="D4642"/>
          <cell r="E4642"/>
          <cell r="F4642"/>
          <cell r="G4642"/>
          <cell r="H4642"/>
          <cell r="I4642"/>
          <cell r="J4642"/>
          <cell r="L4642"/>
        </row>
        <row r="4643">
          <cell r="A4643"/>
          <cell r="D4643"/>
          <cell r="E4643"/>
          <cell r="F4643"/>
          <cell r="G4643"/>
          <cell r="H4643"/>
          <cell r="I4643"/>
          <cell r="J4643"/>
          <cell r="L4643"/>
        </row>
        <row r="4644">
          <cell r="A4644"/>
          <cell r="D4644"/>
          <cell r="E4644"/>
          <cell r="F4644"/>
          <cell r="G4644"/>
          <cell r="H4644"/>
          <cell r="I4644"/>
          <cell r="J4644"/>
          <cell r="L4644"/>
        </row>
        <row r="4645">
          <cell r="A4645"/>
          <cell r="D4645"/>
          <cell r="E4645"/>
          <cell r="F4645"/>
          <cell r="G4645"/>
          <cell r="H4645"/>
          <cell r="I4645"/>
          <cell r="J4645"/>
          <cell r="L4645"/>
        </row>
        <row r="4646">
          <cell r="A4646"/>
          <cell r="D4646"/>
          <cell r="E4646"/>
          <cell r="F4646"/>
          <cell r="G4646"/>
          <cell r="H4646"/>
          <cell r="I4646"/>
          <cell r="J4646"/>
          <cell r="L4646"/>
        </row>
        <row r="4647">
          <cell r="A4647"/>
          <cell r="D4647"/>
          <cell r="E4647"/>
          <cell r="F4647"/>
          <cell r="G4647"/>
          <cell r="H4647"/>
          <cell r="I4647"/>
          <cell r="J4647"/>
          <cell r="L4647"/>
        </row>
        <row r="4648">
          <cell r="A4648"/>
          <cell r="D4648"/>
          <cell r="E4648"/>
          <cell r="F4648"/>
          <cell r="G4648"/>
          <cell r="H4648"/>
          <cell r="I4648"/>
          <cell r="J4648"/>
          <cell r="L4648"/>
        </row>
        <row r="4649">
          <cell r="A4649"/>
          <cell r="D4649"/>
          <cell r="E4649"/>
          <cell r="F4649"/>
          <cell r="G4649"/>
          <cell r="H4649"/>
          <cell r="I4649"/>
          <cell r="J4649"/>
          <cell r="L4649"/>
        </row>
        <row r="4650">
          <cell r="A4650"/>
          <cell r="D4650"/>
          <cell r="E4650"/>
          <cell r="F4650"/>
          <cell r="G4650"/>
          <cell r="H4650"/>
          <cell r="I4650"/>
          <cell r="J4650"/>
          <cell r="L4650"/>
        </row>
        <row r="4651">
          <cell r="A4651"/>
          <cell r="D4651"/>
          <cell r="E4651"/>
          <cell r="F4651"/>
          <cell r="G4651"/>
          <cell r="H4651"/>
          <cell r="I4651"/>
          <cell r="J4651"/>
          <cell r="L4651"/>
        </row>
        <row r="4652">
          <cell r="A4652"/>
          <cell r="D4652"/>
          <cell r="E4652"/>
          <cell r="F4652"/>
          <cell r="G4652"/>
          <cell r="H4652"/>
          <cell r="I4652"/>
          <cell r="J4652"/>
          <cell r="L4652"/>
        </row>
        <row r="4653">
          <cell r="A4653"/>
          <cell r="D4653"/>
          <cell r="E4653"/>
          <cell r="F4653"/>
          <cell r="G4653"/>
          <cell r="H4653"/>
          <cell r="I4653"/>
          <cell r="J4653"/>
          <cell r="L4653"/>
        </row>
        <row r="4654">
          <cell r="A4654"/>
          <cell r="D4654"/>
          <cell r="E4654"/>
          <cell r="F4654"/>
          <cell r="G4654"/>
          <cell r="H4654"/>
          <cell r="I4654"/>
          <cell r="J4654"/>
          <cell r="L4654"/>
        </row>
        <row r="4655">
          <cell r="A4655"/>
          <cell r="D4655"/>
          <cell r="E4655"/>
          <cell r="F4655"/>
          <cell r="G4655"/>
          <cell r="H4655"/>
          <cell r="I4655"/>
          <cell r="J4655"/>
          <cell r="L4655"/>
        </row>
        <row r="4656">
          <cell r="A4656"/>
          <cell r="D4656"/>
          <cell r="E4656"/>
          <cell r="F4656"/>
          <cell r="G4656"/>
          <cell r="H4656"/>
          <cell r="I4656"/>
          <cell r="J4656"/>
          <cell r="L4656"/>
        </row>
        <row r="4657">
          <cell r="A4657"/>
          <cell r="D4657"/>
          <cell r="E4657"/>
          <cell r="F4657"/>
          <cell r="G4657"/>
          <cell r="H4657"/>
          <cell r="I4657"/>
          <cell r="J4657"/>
          <cell r="L4657"/>
        </row>
        <row r="4658">
          <cell r="A4658"/>
          <cell r="D4658"/>
          <cell r="E4658"/>
          <cell r="F4658"/>
          <cell r="G4658"/>
          <cell r="H4658"/>
          <cell r="I4658"/>
          <cell r="J4658"/>
          <cell r="L4658"/>
        </row>
        <row r="4659">
          <cell r="A4659"/>
          <cell r="D4659"/>
          <cell r="E4659"/>
          <cell r="F4659"/>
          <cell r="G4659"/>
          <cell r="H4659"/>
          <cell r="I4659"/>
          <cell r="J4659"/>
          <cell r="L4659"/>
        </row>
        <row r="4660">
          <cell r="A4660"/>
          <cell r="D4660"/>
          <cell r="E4660"/>
          <cell r="F4660"/>
          <cell r="G4660"/>
          <cell r="H4660"/>
          <cell r="I4660"/>
          <cell r="J4660"/>
          <cell r="L4660"/>
        </row>
        <row r="4661">
          <cell r="A4661"/>
          <cell r="D4661"/>
          <cell r="E4661"/>
          <cell r="F4661"/>
          <cell r="G4661"/>
          <cell r="H4661"/>
          <cell r="I4661"/>
          <cell r="J4661"/>
          <cell r="L4661"/>
        </row>
        <row r="4662">
          <cell r="A4662"/>
          <cell r="D4662"/>
          <cell r="E4662"/>
          <cell r="F4662"/>
          <cell r="G4662"/>
          <cell r="H4662"/>
          <cell r="I4662"/>
          <cell r="J4662"/>
          <cell r="L4662"/>
        </row>
        <row r="4663">
          <cell r="A4663"/>
          <cell r="D4663"/>
          <cell r="E4663"/>
          <cell r="F4663"/>
          <cell r="G4663"/>
          <cell r="H4663"/>
          <cell r="I4663"/>
          <cell r="J4663"/>
          <cell r="L4663"/>
        </row>
        <row r="4664">
          <cell r="A4664"/>
          <cell r="D4664"/>
          <cell r="E4664"/>
          <cell r="F4664"/>
          <cell r="G4664"/>
          <cell r="H4664"/>
          <cell r="I4664"/>
          <cell r="J4664"/>
          <cell r="L4664"/>
        </row>
        <row r="4665">
          <cell r="A4665"/>
          <cell r="D4665"/>
          <cell r="E4665"/>
          <cell r="F4665"/>
          <cell r="G4665"/>
          <cell r="H4665"/>
          <cell r="I4665"/>
          <cell r="J4665"/>
          <cell r="L4665"/>
        </row>
        <row r="4666">
          <cell r="A4666"/>
          <cell r="D4666"/>
          <cell r="E4666"/>
          <cell r="F4666"/>
          <cell r="G4666"/>
          <cell r="H4666"/>
          <cell r="I4666"/>
          <cell r="J4666"/>
          <cell r="L4666"/>
        </row>
        <row r="4667">
          <cell r="A4667"/>
          <cell r="D4667"/>
          <cell r="E4667"/>
          <cell r="F4667"/>
          <cell r="G4667"/>
          <cell r="H4667"/>
          <cell r="I4667"/>
          <cell r="J4667"/>
          <cell r="L4667"/>
        </row>
        <row r="4668">
          <cell r="A4668"/>
          <cell r="D4668"/>
          <cell r="E4668"/>
          <cell r="F4668"/>
          <cell r="G4668"/>
          <cell r="H4668"/>
          <cell r="I4668"/>
          <cell r="J4668"/>
          <cell r="L4668"/>
        </row>
        <row r="4669">
          <cell r="A4669"/>
          <cell r="D4669"/>
          <cell r="E4669"/>
          <cell r="F4669"/>
          <cell r="G4669"/>
          <cell r="H4669"/>
          <cell r="I4669"/>
          <cell r="J4669"/>
          <cell r="L4669"/>
        </row>
        <row r="4670">
          <cell r="A4670"/>
          <cell r="D4670"/>
          <cell r="E4670"/>
          <cell r="F4670"/>
          <cell r="G4670"/>
          <cell r="H4670"/>
          <cell r="I4670"/>
          <cell r="J4670"/>
          <cell r="L4670"/>
        </row>
        <row r="4671">
          <cell r="A4671"/>
          <cell r="D4671"/>
          <cell r="E4671"/>
          <cell r="F4671"/>
          <cell r="G4671"/>
          <cell r="H4671"/>
          <cell r="I4671"/>
          <cell r="J4671"/>
          <cell r="L4671"/>
        </row>
        <row r="4672">
          <cell r="A4672"/>
          <cell r="D4672"/>
          <cell r="E4672"/>
          <cell r="F4672"/>
          <cell r="G4672"/>
          <cell r="H4672"/>
          <cell r="I4672"/>
          <cell r="J4672"/>
          <cell r="L4672"/>
        </row>
        <row r="4673">
          <cell r="A4673"/>
          <cell r="D4673"/>
          <cell r="E4673"/>
          <cell r="F4673"/>
          <cell r="G4673"/>
          <cell r="H4673"/>
          <cell r="I4673"/>
          <cell r="J4673"/>
          <cell r="L4673"/>
        </row>
        <row r="4674">
          <cell r="A4674"/>
          <cell r="D4674"/>
          <cell r="E4674"/>
          <cell r="F4674"/>
          <cell r="G4674"/>
          <cell r="H4674"/>
          <cell r="I4674"/>
          <cell r="J4674"/>
          <cell r="L4674"/>
        </row>
        <row r="4675">
          <cell r="A4675"/>
          <cell r="D4675"/>
          <cell r="E4675"/>
          <cell r="F4675"/>
          <cell r="G4675"/>
          <cell r="H4675"/>
          <cell r="I4675"/>
          <cell r="J4675"/>
          <cell r="L4675"/>
        </row>
        <row r="4676">
          <cell r="A4676"/>
          <cell r="D4676"/>
          <cell r="E4676"/>
          <cell r="F4676"/>
          <cell r="G4676"/>
          <cell r="H4676"/>
          <cell r="I4676"/>
          <cell r="J4676"/>
          <cell r="L4676"/>
        </row>
        <row r="4677">
          <cell r="A4677"/>
          <cell r="D4677"/>
          <cell r="E4677"/>
          <cell r="F4677"/>
          <cell r="G4677"/>
          <cell r="H4677"/>
          <cell r="I4677"/>
          <cell r="J4677"/>
          <cell r="L4677"/>
        </row>
        <row r="4678">
          <cell r="A4678"/>
          <cell r="D4678"/>
          <cell r="E4678"/>
          <cell r="F4678"/>
          <cell r="G4678"/>
          <cell r="H4678"/>
          <cell r="I4678"/>
          <cell r="J4678"/>
          <cell r="L4678"/>
        </row>
        <row r="4679">
          <cell r="A4679"/>
          <cell r="D4679"/>
          <cell r="E4679"/>
          <cell r="F4679"/>
          <cell r="G4679"/>
          <cell r="H4679"/>
          <cell r="I4679"/>
          <cell r="J4679"/>
          <cell r="L4679"/>
        </row>
        <row r="4680">
          <cell r="A4680"/>
          <cell r="D4680"/>
          <cell r="E4680"/>
          <cell r="F4680"/>
          <cell r="G4680"/>
          <cell r="H4680"/>
          <cell r="I4680"/>
          <cell r="J4680"/>
          <cell r="L4680"/>
        </row>
        <row r="4681">
          <cell r="A4681"/>
          <cell r="D4681"/>
          <cell r="E4681"/>
          <cell r="F4681"/>
          <cell r="G4681"/>
          <cell r="H4681"/>
          <cell r="I4681"/>
          <cell r="J4681"/>
          <cell r="L4681"/>
        </row>
        <row r="4682">
          <cell r="A4682"/>
          <cell r="D4682"/>
          <cell r="E4682"/>
          <cell r="F4682"/>
          <cell r="G4682"/>
          <cell r="H4682"/>
          <cell r="I4682"/>
          <cell r="J4682"/>
          <cell r="L4682"/>
        </row>
        <row r="4683">
          <cell r="A4683"/>
          <cell r="D4683"/>
          <cell r="E4683"/>
          <cell r="F4683"/>
          <cell r="G4683"/>
          <cell r="H4683"/>
          <cell r="I4683"/>
          <cell r="J4683"/>
          <cell r="L4683"/>
        </row>
        <row r="4684">
          <cell r="A4684"/>
          <cell r="D4684"/>
          <cell r="E4684"/>
          <cell r="F4684"/>
          <cell r="G4684"/>
          <cell r="H4684"/>
          <cell r="I4684"/>
          <cell r="J4684"/>
          <cell r="L4684"/>
        </row>
        <row r="4685">
          <cell r="A4685"/>
          <cell r="D4685"/>
          <cell r="E4685"/>
          <cell r="F4685"/>
          <cell r="G4685"/>
          <cell r="H4685"/>
          <cell r="I4685"/>
          <cell r="J4685"/>
          <cell r="L4685"/>
        </row>
        <row r="4686">
          <cell r="A4686"/>
          <cell r="D4686"/>
          <cell r="E4686"/>
          <cell r="F4686"/>
          <cell r="G4686"/>
          <cell r="H4686"/>
          <cell r="I4686"/>
          <cell r="J4686"/>
          <cell r="L4686"/>
        </row>
        <row r="4687">
          <cell r="A4687"/>
          <cell r="D4687"/>
          <cell r="E4687"/>
          <cell r="F4687"/>
          <cell r="G4687"/>
          <cell r="H4687"/>
          <cell r="I4687"/>
          <cell r="J4687"/>
          <cell r="L4687"/>
        </row>
        <row r="4688">
          <cell r="A4688"/>
          <cell r="D4688"/>
          <cell r="E4688"/>
          <cell r="F4688"/>
          <cell r="G4688"/>
          <cell r="H4688"/>
          <cell r="I4688"/>
          <cell r="J4688"/>
          <cell r="L4688"/>
        </row>
        <row r="4689">
          <cell r="A4689"/>
          <cell r="D4689"/>
          <cell r="E4689"/>
          <cell r="F4689"/>
          <cell r="G4689"/>
          <cell r="H4689"/>
          <cell r="I4689"/>
          <cell r="J4689"/>
          <cell r="L4689"/>
        </row>
        <row r="4690">
          <cell r="A4690"/>
          <cell r="D4690"/>
          <cell r="E4690"/>
          <cell r="F4690"/>
          <cell r="G4690"/>
          <cell r="H4690"/>
          <cell r="I4690"/>
          <cell r="J4690"/>
          <cell r="L4690"/>
        </row>
        <row r="4691">
          <cell r="A4691"/>
          <cell r="D4691"/>
          <cell r="E4691"/>
          <cell r="F4691"/>
          <cell r="G4691"/>
          <cell r="H4691"/>
          <cell r="I4691"/>
          <cell r="J4691"/>
          <cell r="L4691"/>
        </row>
        <row r="4692">
          <cell r="A4692"/>
          <cell r="D4692"/>
          <cell r="E4692"/>
          <cell r="F4692"/>
          <cell r="G4692"/>
          <cell r="H4692"/>
          <cell r="I4692"/>
          <cell r="J4692"/>
          <cell r="L4692"/>
        </row>
        <row r="4693">
          <cell r="A4693"/>
          <cell r="D4693"/>
          <cell r="E4693"/>
          <cell r="F4693"/>
          <cell r="G4693"/>
          <cell r="H4693"/>
          <cell r="I4693"/>
          <cell r="J4693"/>
          <cell r="L4693"/>
        </row>
        <row r="4694">
          <cell r="A4694"/>
          <cell r="D4694"/>
          <cell r="E4694"/>
          <cell r="F4694"/>
          <cell r="G4694"/>
          <cell r="H4694"/>
          <cell r="I4694"/>
          <cell r="J4694"/>
          <cell r="L4694"/>
        </row>
        <row r="4695">
          <cell r="A4695"/>
          <cell r="D4695"/>
          <cell r="E4695"/>
          <cell r="F4695"/>
          <cell r="G4695"/>
          <cell r="H4695"/>
          <cell r="I4695"/>
          <cell r="J4695"/>
          <cell r="L4695"/>
        </row>
        <row r="4696">
          <cell r="A4696"/>
          <cell r="D4696"/>
          <cell r="E4696"/>
          <cell r="F4696"/>
          <cell r="G4696"/>
          <cell r="H4696"/>
          <cell r="I4696"/>
          <cell r="J4696"/>
          <cell r="L4696"/>
        </row>
        <row r="4697">
          <cell r="A4697"/>
          <cell r="D4697"/>
          <cell r="E4697"/>
          <cell r="F4697"/>
          <cell r="G4697"/>
          <cell r="H4697"/>
          <cell r="I4697"/>
          <cell r="J4697"/>
          <cell r="L4697"/>
        </row>
        <row r="4698">
          <cell r="A4698"/>
          <cell r="D4698"/>
          <cell r="E4698"/>
          <cell r="F4698"/>
          <cell r="G4698"/>
          <cell r="H4698"/>
          <cell r="I4698"/>
          <cell r="J4698"/>
          <cell r="L4698"/>
        </row>
        <row r="4699">
          <cell r="A4699"/>
          <cell r="D4699"/>
          <cell r="E4699"/>
          <cell r="F4699"/>
          <cell r="G4699"/>
          <cell r="H4699"/>
          <cell r="I4699"/>
          <cell r="J4699"/>
          <cell r="L4699"/>
        </row>
        <row r="4700">
          <cell r="A4700"/>
          <cell r="D4700"/>
          <cell r="E4700"/>
          <cell r="F4700"/>
          <cell r="G4700"/>
          <cell r="H4700"/>
          <cell r="I4700"/>
          <cell r="J4700"/>
          <cell r="L4700"/>
        </row>
        <row r="4701">
          <cell r="A4701"/>
          <cell r="D4701"/>
          <cell r="E4701"/>
          <cell r="F4701"/>
          <cell r="G4701"/>
          <cell r="H4701"/>
          <cell r="I4701"/>
          <cell r="J4701"/>
          <cell r="L4701"/>
        </row>
        <row r="4702">
          <cell r="A4702"/>
          <cell r="D4702"/>
          <cell r="E4702"/>
          <cell r="F4702"/>
          <cell r="G4702"/>
          <cell r="H4702"/>
          <cell r="I4702"/>
          <cell r="J4702"/>
          <cell r="L4702"/>
        </row>
        <row r="4703">
          <cell r="A4703"/>
          <cell r="D4703"/>
          <cell r="E4703"/>
          <cell r="F4703"/>
          <cell r="G4703"/>
          <cell r="H4703"/>
          <cell r="I4703"/>
          <cell r="J4703"/>
          <cell r="L4703"/>
        </row>
        <row r="4704">
          <cell r="A4704"/>
          <cell r="D4704"/>
          <cell r="E4704"/>
          <cell r="F4704"/>
          <cell r="G4704"/>
          <cell r="H4704"/>
          <cell r="I4704"/>
          <cell r="J4704"/>
          <cell r="L4704"/>
        </row>
        <row r="4705">
          <cell r="A4705"/>
          <cell r="D4705"/>
          <cell r="E4705"/>
          <cell r="F4705"/>
          <cell r="G4705"/>
          <cell r="H4705"/>
          <cell r="I4705"/>
          <cell r="J4705"/>
          <cell r="L4705"/>
        </row>
        <row r="4706">
          <cell r="A4706"/>
          <cell r="D4706"/>
          <cell r="E4706"/>
          <cell r="F4706"/>
          <cell r="G4706"/>
          <cell r="H4706"/>
          <cell r="I4706"/>
          <cell r="J4706"/>
          <cell r="L4706"/>
        </row>
        <row r="4707">
          <cell r="A4707"/>
          <cell r="D4707"/>
          <cell r="E4707"/>
          <cell r="F4707"/>
          <cell r="G4707"/>
          <cell r="H4707"/>
          <cell r="I4707"/>
          <cell r="J4707"/>
          <cell r="L4707"/>
        </row>
        <row r="4708">
          <cell r="A4708"/>
          <cell r="D4708"/>
          <cell r="E4708"/>
          <cell r="F4708"/>
          <cell r="G4708"/>
          <cell r="H4708"/>
          <cell r="I4708"/>
          <cell r="J4708"/>
          <cell r="L4708"/>
        </row>
        <row r="4709">
          <cell r="A4709"/>
          <cell r="D4709"/>
          <cell r="E4709"/>
          <cell r="F4709"/>
          <cell r="G4709"/>
          <cell r="H4709"/>
          <cell r="I4709"/>
          <cell r="J4709"/>
          <cell r="L4709"/>
        </row>
        <row r="4710">
          <cell r="A4710"/>
          <cell r="D4710"/>
          <cell r="E4710"/>
          <cell r="F4710"/>
          <cell r="G4710"/>
          <cell r="H4710"/>
          <cell r="I4710"/>
          <cell r="J4710"/>
          <cell r="L4710"/>
        </row>
        <row r="4711">
          <cell r="A4711"/>
          <cell r="D4711"/>
          <cell r="E4711"/>
          <cell r="F4711"/>
          <cell r="G4711"/>
          <cell r="H4711"/>
          <cell r="I4711"/>
          <cell r="J4711"/>
          <cell r="L4711"/>
        </row>
        <row r="4712">
          <cell r="A4712"/>
          <cell r="D4712"/>
          <cell r="E4712"/>
          <cell r="F4712"/>
          <cell r="G4712"/>
          <cell r="H4712"/>
          <cell r="I4712"/>
          <cell r="J4712"/>
          <cell r="L4712"/>
        </row>
        <row r="4713">
          <cell r="A4713"/>
          <cell r="D4713"/>
          <cell r="E4713"/>
          <cell r="F4713"/>
          <cell r="G4713"/>
          <cell r="H4713"/>
          <cell r="I4713"/>
          <cell r="J4713"/>
          <cell r="L4713"/>
        </row>
        <row r="4714">
          <cell r="A4714"/>
          <cell r="D4714"/>
          <cell r="E4714"/>
          <cell r="F4714"/>
          <cell r="G4714"/>
          <cell r="H4714"/>
          <cell r="I4714"/>
          <cell r="J4714"/>
          <cell r="L4714"/>
        </row>
        <row r="4715">
          <cell r="A4715"/>
          <cell r="D4715"/>
          <cell r="E4715"/>
          <cell r="F4715"/>
          <cell r="G4715"/>
          <cell r="H4715"/>
          <cell r="I4715"/>
          <cell r="J4715"/>
          <cell r="L4715"/>
        </row>
        <row r="4716">
          <cell r="A4716"/>
          <cell r="D4716"/>
          <cell r="E4716"/>
          <cell r="F4716"/>
          <cell r="G4716"/>
          <cell r="H4716"/>
          <cell r="I4716"/>
          <cell r="J4716"/>
          <cell r="L4716"/>
        </row>
        <row r="4717">
          <cell r="A4717"/>
          <cell r="D4717"/>
          <cell r="E4717"/>
          <cell r="F4717"/>
          <cell r="G4717"/>
          <cell r="H4717"/>
          <cell r="I4717"/>
          <cell r="J4717"/>
          <cell r="L4717"/>
        </row>
        <row r="4718">
          <cell r="A4718"/>
          <cell r="D4718"/>
          <cell r="E4718"/>
          <cell r="F4718"/>
          <cell r="G4718"/>
          <cell r="H4718"/>
          <cell r="I4718"/>
          <cell r="J4718"/>
          <cell r="L4718"/>
        </row>
        <row r="4719">
          <cell r="A4719"/>
          <cell r="D4719"/>
          <cell r="E4719"/>
          <cell r="F4719"/>
          <cell r="G4719"/>
          <cell r="H4719"/>
          <cell r="I4719"/>
          <cell r="J4719"/>
          <cell r="L4719"/>
        </row>
        <row r="4720">
          <cell r="A4720"/>
          <cell r="D4720"/>
          <cell r="E4720"/>
          <cell r="F4720"/>
          <cell r="G4720"/>
          <cell r="H4720"/>
          <cell r="I4720"/>
          <cell r="J4720"/>
          <cell r="L4720"/>
        </row>
        <row r="4721">
          <cell r="A4721"/>
          <cell r="D4721"/>
          <cell r="E4721"/>
          <cell r="F4721"/>
          <cell r="G4721"/>
          <cell r="H4721"/>
          <cell r="I4721"/>
          <cell r="J4721"/>
          <cell r="L4721"/>
        </row>
        <row r="4722">
          <cell r="A4722"/>
          <cell r="D4722"/>
          <cell r="E4722"/>
          <cell r="F4722"/>
          <cell r="G4722"/>
          <cell r="H4722"/>
          <cell r="I4722"/>
          <cell r="J4722"/>
          <cell r="L4722"/>
        </row>
        <row r="4723">
          <cell r="A4723"/>
          <cell r="D4723"/>
          <cell r="E4723"/>
          <cell r="F4723"/>
          <cell r="G4723"/>
          <cell r="H4723"/>
          <cell r="I4723"/>
          <cell r="J4723"/>
          <cell r="L4723"/>
        </row>
        <row r="4724">
          <cell r="A4724"/>
          <cell r="D4724"/>
          <cell r="E4724"/>
          <cell r="F4724"/>
          <cell r="G4724"/>
          <cell r="H4724"/>
          <cell r="I4724"/>
          <cell r="J4724"/>
          <cell r="L4724"/>
        </row>
        <row r="4725">
          <cell r="A4725"/>
          <cell r="D4725"/>
          <cell r="E4725"/>
          <cell r="F4725"/>
          <cell r="G4725"/>
          <cell r="H4725"/>
          <cell r="I4725"/>
          <cell r="J4725"/>
          <cell r="L4725"/>
        </row>
        <row r="4726">
          <cell r="A4726"/>
          <cell r="D4726"/>
          <cell r="E4726"/>
          <cell r="F4726"/>
          <cell r="G4726"/>
          <cell r="H4726"/>
          <cell r="I4726"/>
          <cell r="J4726"/>
          <cell r="L4726"/>
        </row>
        <row r="4727">
          <cell r="A4727"/>
          <cell r="D4727"/>
          <cell r="E4727"/>
          <cell r="F4727"/>
          <cell r="G4727"/>
          <cell r="H4727"/>
          <cell r="I4727"/>
          <cell r="J4727"/>
          <cell r="L4727"/>
        </row>
        <row r="4728">
          <cell r="A4728"/>
          <cell r="D4728"/>
          <cell r="E4728"/>
          <cell r="F4728"/>
          <cell r="G4728"/>
          <cell r="H4728"/>
          <cell r="I4728"/>
          <cell r="J4728"/>
          <cell r="L4728"/>
        </row>
        <row r="4729">
          <cell r="A4729"/>
          <cell r="D4729"/>
          <cell r="E4729"/>
          <cell r="F4729"/>
          <cell r="G4729"/>
          <cell r="H4729"/>
          <cell r="I4729"/>
          <cell r="J4729"/>
          <cell r="L4729"/>
        </row>
        <row r="4730">
          <cell r="A4730"/>
          <cell r="D4730"/>
          <cell r="E4730"/>
          <cell r="F4730"/>
          <cell r="G4730"/>
          <cell r="H4730"/>
          <cell r="I4730"/>
          <cell r="J4730"/>
          <cell r="L4730"/>
        </row>
        <row r="4731">
          <cell r="A4731"/>
          <cell r="D4731"/>
          <cell r="E4731"/>
          <cell r="F4731"/>
          <cell r="G4731"/>
          <cell r="H4731"/>
          <cell r="I4731"/>
          <cell r="J4731"/>
          <cell r="L4731"/>
        </row>
        <row r="4732">
          <cell r="A4732"/>
          <cell r="D4732"/>
          <cell r="E4732"/>
          <cell r="F4732"/>
          <cell r="G4732"/>
          <cell r="H4732"/>
          <cell r="I4732"/>
          <cell r="J4732"/>
          <cell r="L4732"/>
        </row>
        <row r="4733">
          <cell r="A4733"/>
          <cell r="D4733"/>
          <cell r="E4733"/>
          <cell r="F4733"/>
          <cell r="G4733"/>
          <cell r="H4733"/>
          <cell r="I4733"/>
          <cell r="J4733"/>
          <cell r="L4733"/>
        </row>
        <row r="4734">
          <cell r="A4734"/>
          <cell r="D4734"/>
          <cell r="E4734"/>
          <cell r="F4734"/>
          <cell r="G4734"/>
          <cell r="H4734"/>
          <cell r="I4734"/>
          <cell r="J4734"/>
          <cell r="L4734"/>
        </row>
        <row r="4735">
          <cell r="A4735"/>
          <cell r="D4735"/>
          <cell r="E4735"/>
          <cell r="F4735"/>
          <cell r="G4735"/>
          <cell r="H4735"/>
          <cell r="I4735"/>
          <cell r="J4735"/>
          <cell r="L4735"/>
        </row>
        <row r="4736">
          <cell r="A4736"/>
          <cell r="D4736"/>
          <cell r="E4736"/>
          <cell r="F4736"/>
          <cell r="G4736"/>
          <cell r="H4736"/>
          <cell r="I4736"/>
          <cell r="J4736"/>
          <cell r="L4736"/>
        </row>
        <row r="4737">
          <cell r="A4737"/>
          <cell r="D4737"/>
          <cell r="E4737"/>
          <cell r="F4737"/>
          <cell r="G4737"/>
          <cell r="H4737"/>
          <cell r="I4737"/>
          <cell r="J4737"/>
          <cell r="L4737"/>
        </row>
        <row r="4738">
          <cell r="A4738"/>
          <cell r="D4738"/>
          <cell r="E4738"/>
          <cell r="F4738"/>
          <cell r="G4738"/>
          <cell r="H4738"/>
          <cell r="I4738"/>
          <cell r="J4738"/>
          <cell r="L4738"/>
        </row>
        <row r="4739">
          <cell r="A4739"/>
          <cell r="D4739"/>
          <cell r="E4739"/>
          <cell r="F4739"/>
          <cell r="G4739"/>
          <cell r="H4739"/>
          <cell r="I4739"/>
          <cell r="J4739"/>
          <cell r="L4739"/>
        </row>
        <row r="4740">
          <cell r="A4740"/>
          <cell r="D4740"/>
          <cell r="E4740"/>
          <cell r="F4740"/>
          <cell r="G4740"/>
          <cell r="H4740"/>
          <cell r="I4740"/>
          <cell r="J4740"/>
          <cell r="L4740"/>
        </row>
        <row r="4741">
          <cell r="A4741"/>
          <cell r="D4741"/>
          <cell r="E4741"/>
          <cell r="F4741"/>
          <cell r="G4741"/>
          <cell r="H4741"/>
          <cell r="I4741"/>
          <cell r="J4741"/>
          <cell r="L4741"/>
        </row>
        <row r="4742">
          <cell r="A4742"/>
          <cell r="D4742"/>
          <cell r="E4742"/>
          <cell r="F4742"/>
          <cell r="G4742"/>
          <cell r="H4742"/>
          <cell r="I4742"/>
          <cell r="J4742"/>
          <cell r="L4742"/>
        </row>
        <row r="4743">
          <cell r="A4743"/>
          <cell r="D4743"/>
          <cell r="E4743"/>
          <cell r="F4743"/>
          <cell r="G4743"/>
          <cell r="H4743"/>
          <cell r="I4743"/>
          <cell r="J4743"/>
          <cell r="L4743"/>
        </row>
        <row r="4744">
          <cell r="A4744"/>
          <cell r="D4744"/>
          <cell r="E4744"/>
          <cell r="F4744"/>
          <cell r="G4744"/>
          <cell r="H4744"/>
          <cell r="I4744"/>
          <cell r="J4744"/>
          <cell r="L4744"/>
        </row>
        <row r="4745">
          <cell r="A4745"/>
          <cell r="D4745"/>
          <cell r="E4745"/>
          <cell r="F4745"/>
          <cell r="G4745"/>
          <cell r="H4745"/>
          <cell r="I4745"/>
          <cell r="J4745"/>
          <cell r="L4745"/>
        </row>
        <row r="4746">
          <cell r="A4746"/>
          <cell r="D4746"/>
          <cell r="E4746"/>
          <cell r="F4746"/>
          <cell r="G4746"/>
          <cell r="H4746"/>
          <cell r="I4746"/>
          <cell r="J4746"/>
          <cell r="L4746"/>
        </row>
        <row r="4747">
          <cell r="A4747"/>
          <cell r="D4747"/>
          <cell r="E4747"/>
          <cell r="F4747"/>
          <cell r="G4747"/>
          <cell r="H4747"/>
          <cell r="I4747"/>
          <cell r="J4747"/>
          <cell r="L4747"/>
        </row>
        <row r="4748">
          <cell r="A4748"/>
          <cell r="D4748"/>
          <cell r="E4748"/>
          <cell r="F4748"/>
          <cell r="G4748"/>
          <cell r="H4748"/>
          <cell r="I4748"/>
          <cell r="J4748"/>
          <cell r="L4748"/>
        </row>
        <row r="4749">
          <cell r="A4749"/>
          <cell r="D4749"/>
          <cell r="E4749"/>
          <cell r="F4749"/>
          <cell r="G4749"/>
          <cell r="H4749"/>
          <cell r="I4749"/>
          <cell r="J4749"/>
          <cell r="L4749"/>
        </row>
        <row r="4750">
          <cell r="A4750"/>
          <cell r="D4750"/>
          <cell r="E4750"/>
          <cell r="F4750"/>
          <cell r="G4750"/>
          <cell r="H4750"/>
          <cell r="I4750"/>
          <cell r="J4750"/>
          <cell r="L4750"/>
        </row>
        <row r="4751">
          <cell r="A4751"/>
          <cell r="D4751"/>
          <cell r="E4751"/>
          <cell r="F4751"/>
          <cell r="G4751"/>
          <cell r="H4751"/>
          <cell r="I4751"/>
          <cell r="J4751"/>
          <cell r="L4751"/>
        </row>
        <row r="4752">
          <cell r="A4752"/>
          <cell r="D4752"/>
          <cell r="E4752"/>
          <cell r="F4752"/>
          <cell r="G4752"/>
          <cell r="H4752"/>
          <cell r="I4752"/>
          <cell r="J4752"/>
          <cell r="L4752"/>
        </row>
        <row r="4753">
          <cell r="A4753"/>
          <cell r="D4753"/>
          <cell r="E4753"/>
          <cell r="F4753"/>
          <cell r="G4753"/>
          <cell r="H4753"/>
          <cell r="I4753"/>
          <cell r="J4753"/>
          <cell r="L4753"/>
        </row>
        <row r="4754">
          <cell r="A4754"/>
          <cell r="D4754"/>
          <cell r="E4754"/>
          <cell r="F4754"/>
          <cell r="G4754"/>
          <cell r="H4754"/>
          <cell r="I4754"/>
          <cell r="J4754"/>
          <cell r="L4754"/>
        </row>
        <row r="4755">
          <cell r="A4755"/>
          <cell r="D4755"/>
          <cell r="E4755"/>
          <cell r="F4755"/>
          <cell r="G4755"/>
          <cell r="H4755"/>
          <cell r="I4755"/>
          <cell r="J4755"/>
          <cell r="L4755"/>
        </row>
        <row r="4756">
          <cell r="A4756"/>
          <cell r="D4756"/>
          <cell r="E4756"/>
          <cell r="F4756"/>
          <cell r="G4756"/>
          <cell r="H4756"/>
          <cell r="I4756"/>
          <cell r="J4756"/>
          <cell r="L4756"/>
        </row>
        <row r="4757">
          <cell r="A4757"/>
          <cell r="D4757"/>
          <cell r="E4757"/>
          <cell r="F4757"/>
          <cell r="G4757"/>
          <cell r="H4757"/>
          <cell r="I4757"/>
          <cell r="J4757"/>
          <cell r="L4757"/>
        </row>
        <row r="4758">
          <cell r="A4758"/>
          <cell r="D4758"/>
          <cell r="E4758"/>
          <cell r="F4758"/>
          <cell r="G4758"/>
          <cell r="H4758"/>
          <cell r="I4758"/>
          <cell r="J4758"/>
          <cell r="L4758"/>
        </row>
        <row r="4759">
          <cell r="A4759"/>
          <cell r="D4759"/>
          <cell r="E4759"/>
          <cell r="F4759"/>
          <cell r="G4759"/>
          <cell r="H4759"/>
          <cell r="I4759"/>
          <cell r="J4759"/>
          <cell r="L4759"/>
        </row>
        <row r="4760">
          <cell r="A4760"/>
          <cell r="D4760"/>
          <cell r="E4760"/>
          <cell r="F4760"/>
          <cell r="G4760"/>
          <cell r="H4760"/>
          <cell r="I4760"/>
          <cell r="J4760"/>
          <cell r="L4760"/>
        </row>
        <row r="4761">
          <cell r="A4761"/>
          <cell r="D4761"/>
          <cell r="E4761"/>
          <cell r="F4761"/>
          <cell r="G4761"/>
          <cell r="H4761"/>
          <cell r="I4761"/>
          <cell r="J4761"/>
          <cell r="L4761"/>
        </row>
        <row r="4762">
          <cell r="A4762"/>
          <cell r="D4762"/>
          <cell r="E4762"/>
          <cell r="F4762"/>
          <cell r="G4762"/>
          <cell r="H4762"/>
          <cell r="I4762"/>
          <cell r="J4762"/>
          <cell r="L4762"/>
        </row>
        <row r="4763">
          <cell r="A4763"/>
          <cell r="D4763"/>
          <cell r="E4763"/>
          <cell r="F4763"/>
          <cell r="G4763"/>
          <cell r="H4763"/>
          <cell r="I4763"/>
          <cell r="J4763"/>
          <cell r="L4763"/>
        </row>
        <row r="4764">
          <cell r="A4764"/>
          <cell r="D4764"/>
          <cell r="E4764"/>
          <cell r="F4764"/>
          <cell r="G4764"/>
          <cell r="H4764"/>
          <cell r="I4764"/>
          <cell r="J4764"/>
          <cell r="L4764"/>
        </row>
        <row r="4765">
          <cell r="A4765"/>
          <cell r="D4765"/>
          <cell r="E4765"/>
          <cell r="F4765"/>
          <cell r="G4765"/>
          <cell r="H4765"/>
          <cell r="I4765"/>
          <cell r="J4765"/>
          <cell r="L4765"/>
        </row>
        <row r="4766">
          <cell r="A4766"/>
          <cell r="D4766"/>
          <cell r="E4766"/>
          <cell r="F4766"/>
          <cell r="G4766"/>
          <cell r="H4766"/>
          <cell r="I4766"/>
          <cell r="J4766"/>
          <cell r="L4766"/>
        </row>
        <row r="4767">
          <cell r="A4767"/>
          <cell r="D4767"/>
          <cell r="E4767"/>
          <cell r="F4767"/>
          <cell r="G4767"/>
          <cell r="H4767"/>
          <cell r="I4767"/>
          <cell r="J4767"/>
          <cell r="L4767"/>
        </row>
        <row r="4768">
          <cell r="A4768"/>
          <cell r="D4768"/>
          <cell r="E4768"/>
          <cell r="F4768"/>
          <cell r="G4768"/>
          <cell r="H4768"/>
          <cell r="I4768"/>
          <cell r="J4768"/>
          <cell r="L4768"/>
        </row>
        <row r="4769">
          <cell r="A4769"/>
          <cell r="D4769"/>
          <cell r="E4769"/>
          <cell r="F4769"/>
          <cell r="G4769"/>
          <cell r="H4769"/>
          <cell r="I4769"/>
          <cell r="J4769"/>
          <cell r="L4769"/>
        </row>
        <row r="4770">
          <cell r="A4770"/>
          <cell r="D4770"/>
          <cell r="E4770"/>
          <cell r="F4770"/>
          <cell r="G4770"/>
          <cell r="H4770"/>
          <cell r="I4770"/>
          <cell r="J4770"/>
          <cell r="L4770"/>
        </row>
        <row r="4771">
          <cell r="A4771"/>
          <cell r="D4771"/>
          <cell r="E4771"/>
          <cell r="F4771"/>
          <cell r="G4771"/>
          <cell r="H4771"/>
          <cell r="I4771"/>
          <cell r="J4771"/>
          <cell r="L4771"/>
        </row>
        <row r="4772">
          <cell r="A4772"/>
          <cell r="D4772"/>
          <cell r="E4772"/>
          <cell r="F4772"/>
          <cell r="G4772"/>
          <cell r="H4772"/>
          <cell r="I4772"/>
          <cell r="J4772"/>
          <cell r="L4772"/>
        </row>
        <row r="4773">
          <cell r="A4773"/>
          <cell r="D4773"/>
          <cell r="E4773"/>
          <cell r="F4773"/>
          <cell r="G4773"/>
          <cell r="H4773"/>
          <cell r="I4773"/>
          <cell r="J4773"/>
          <cell r="L4773"/>
        </row>
        <row r="4774">
          <cell r="A4774"/>
          <cell r="D4774"/>
          <cell r="E4774"/>
          <cell r="F4774"/>
          <cell r="G4774"/>
          <cell r="H4774"/>
          <cell r="I4774"/>
          <cell r="J4774"/>
          <cell r="L4774"/>
        </row>
        <row r="4775">
          <cell r="A4775"/>
          <cell r="D4775"/>
          <cell r="E4775"/>
          <cell r="F4775"/>
          <cell r="G4775"/>
          <cell r="H4775"/>
          <cell r="I4775"/>
          <cell r="J4775"/>
          <cell r="L4775"/>
        </row>
        <row r="4776">
          <cell r="A4776"/>
          <cell r="D4776"/>
          <cell r="E4776"/>
          <cell r="F4776"/>
          <cell r="G4776"/>
          <cell r="H4776"/>
          <cell r="I4776"/>
          <cell r="J4776"/>
          <cell r="L4776"/>
        </row>
        <row r="4777">
          <cell r="A4777"/>
          <cell r="D4777"/>
          <cell r="E4777"/>
          <cell r="F4777"/>
          <cell r="G4777"/>
          <cell r="H4777"/>
          <cell r="I4777"/>
          <cell r="J4777"/>
          <cell r="L4777"/>
        </row>
        <row r="4778">
          <cell r="A4778"/>
          <cell r="D4778"/>
          <cell r="E4778"/>
          <cell r="F4778"/>
          <cell r="G4778"/>
          <cell r="H4778"/>
          <cell r="I4778"/>
          <cell r="J4778"/>
          <cell r="L4778"/>
        </row>
        <row r="4779">
          <cell r="A4779"/>
          <cell r="D4779"/>
          <cell r="E4779"/>
          <cell r="F4779"/>
          <cell r="G4779"/>
          <cell r="H4779"/>
          <cell r="I4779"/>
          <cell r="J4779"/>
          <cell r="L4779"/>
        </row>
        <row r="4780">
          <cell r="A4780"/>
          <cell r="D4780"/>
          <cell r="E4780"/>
          <cell r="F4780"/>
          <cell r="G4780"/>
          <cell r="H4780"/>
          <cell r="I4780"/>
          <cell r="J4780"/>
          <cell r="L4780"/>
        </row>
        <row r="4781">
          <cell r="A4781"/>
          <cell r="D4781"/>
          <cell r="E4781"/>
          <cell r="F4781"/>
          <cell r="G4781"/>
          <cell r="H4781"/>
          <cell r="I4781"/>
          <cell r="J4781"/>
          <cell r="L4781"/>
        </row>
        <row r="4782">
          <cell r="A4782"/>
          <cell r="D4782"/>
          <cell r="E4782"/>
          <cell r="F4782"/>
          <cell r="G4782"/>
          <cell r="H4782"/>
          <cell r="I4782"/>
          <cell r="J4782"/>
          <cell r="L4782"/>
        </row>
        <row r="4783">
          <cell r="A4783"/>
          <cell r="D4783"/>
          <cell r="E4783"/>
          <cell r="F4783"/>
          <cell r="G4783"/>
          <cell r="H4783"/>
          <cell r="I4783"/>
          <cell r="J4783"/>
          <cell r="L4783"/>
        </row>
        <row r="4784">
          <cell r="A4784"/>
          <cell r="D4784"/>
          <cell r="E4784"/>
          <cell r="F4784"/>
          <cell r="G4784"/>
          <cell r="H4784"/>
          <cell r="I4784"/>
          <cell r="J4784"/>
          <cell r="L4784"/>
        </row>
        <row r="4785">
          <cell r="A4785"/>
          <cell r="D4785"/>
          <cell r="E4785"/>
          <cell r="F4785"/>
          <cell r="G4785"/>
          <cell r="H4785"/>
          <cell r="I4785"/>
          <cell r="J4785"/>
          <cell r="L4785"/>
        </row>
        <row r="4786">
          <cell r="A4786"/>
          <cell r="D4786"/>
          <cell r="E4786"/>
          <cell r="F4786"/>
          <cell r="G4786"/>
          <cell r="H4786"/>
          <cell r="I4786"/>
          <cell r="J4786"/>
          <cell r="L4786"/>
        </row>
        <row r="4787">
          <cell r="A4787"/>
          <cell r="D4787"/>
          <cell r="E4787"/>
          <cell r="F4787"/>
          <cell r="G4787"/>
          <cell r="H4787"/>
          <cell r="I4787"/>
          <cell r="J4787"/>
          <cell r="L4787"/>
        </row>
        <row r="4788">
          <cell r="A4788"/>
          <cell r="D4788"/>
          <cell r="E4788"/>
          <cell r="F4788"/>
          <cell r="G4788"/>
          <cell r="H4788"/>
          <cell r="I4788"/>
          <cell r="J4788"/>
          <cell r="L4788"/>
        </row>
        <row r="4789">
          <cell r="A4789"/>
          <cell r="D4789"/>
          <cell r="E4789"/>
          <cell r="F4789"/>
          <cell r="G4789"/>
          <cell r="H4789"/>
          <cell r="I4789"/>
          <cell r="J4789"/>
          <cell r="L4789"/>
        </row>
        <row r="4790">
          <cell r="A4790"/>
          <cell r="D4790"/>
          <cell r="E4790"/>
          <cell r="F4790"/>
          <cell r="G4790"/>
          <cell r="H4790"/>
          <cell r="I4790"/>
          <cell r="J4790"/>
          <cell r="L4790"/>
        </row>
        <row r="4791">
          <cell r="A4791"/>
          <cell r="D4791"/>
          <cell r="E4791"/>
          <cell r="F4791"/>
          <cell r="G4791"/>
          <cell r="H4791"/>
          <cell r="I4791"/>
          <cell r="J4791"/>
          <cell r="L4791"/>
        </row>
        <row r="4792">
          <cell r="A4792"/>
          <cell r="D4792"/>
          <cell r="E4792"/>
          <cell r="F4792"/>
          <cell r="G4792"/>
          <cell r="H4792"/>
          <cell r="I4792"/>
          <cell r="J4792"/>
          <cell r="L4792"/>
        </row>
        <row r="4793">
          <cell r="A4793"/>
          <cell r="D4793"/>
          <cell r="E4793"/>
          <cell r="F4793"/>
          <cell r="G4793"/>
          <cell r="H4793"/>
          <cell r="I4793"/>
          <cell r="J4793"/>
          <cell r="L4793"/>
        </row>
        <row r="4794">
          <cell r="A4794"/>
          <cell r="D4794"/>
          <cell r="E4794"/>
          <cell r="F4794"/>
          <cell r="G4794"/>
          <cell r="H4794"/>
          <cell r="I4794"/>
          <cell r="J4794"/>
          <cell r="L4794"/>
        </row>
        <row r="4795">
          <cell r="A4795"/>
          <cell r="D4795"/>
          <cell r="E4795"/>
          <cell r="F4795"/>
          <cell r="G4795"/>
          <cell r="H4795"/>
          <cell r="I4795"/>
          <cell r="J4795"/>
          <cell r="L4795"/>
        </row>
        <row r="4796">
          <cell r="A4796"/>
          <cell r="D4796"/>
          <cell r="E4796"/>
          <cell r="F4796"/>
          <cell r="G4796"/>
          <cell r="H4796"/>
          <cell r="I4796"/>
          <cell r="J4796"/>
          <cell r="L4796"/>
        </row>
        <row r="4797">
          <cell r="A4797"/>
          <cell r="D4797"/>
          <cell r="E4797"/>
          <cell r="F4797"/>
          <cell r="G4797"/>
          <cell r="H4797"/>
          <cell r="I4797"/>
          <cell r="J4797"/>
          <cell r="L4797"/>
        </row>
        <row r="4798">
          <cell r="A4798"/>
          <cell r="D4798"/>
          <cell r="E4798"/>
          <cell r="F4798"/>
          <cell r="G4798"/>
          <cell r="H4798"/>
          <cell r="I4798"/>
          <cell r="J4798"/>
          <cell r="L4798"/>
        </row>
        <row r="4799">
          <cell r="A4799"/>
          <cell r="D4799"/>
          <cell r="E4799"/>
          <cell r="F4799"/>
          <cell r="G4799"/>
          <cell r="H4799"/>
          <cell r="I4799"/>
          <cell r="J4799"/>
          <cell r="L4799"/>
        </row>
        <row r="4800">
          <cell r="A4800"/>
          <cell r="D4800"/>
          <cell r="E4800"/>
          <cell r="F4800"/>
          <cell r="G4800"/>
          <cell r="H4800"/>
          <cell r="I4800"/>
          <cell r="J4800"/>
          <cell r="L4800"/>
        </row>
        <row r="4801">
          <cell r="A4801"/>
          <cell r="D4801"/>
          <cell r="E4801"/>
          <cell r="F4801"/>
          <cell r="G4801"/>
          <cell r="H4801"/>
          <cell r="I4801"/>
          <cell r="J4801"/>
          <cell r="L4801"/>
        </row>
        <row r="4802">
          <cell r="A4802"/>
          <cell r="D4802"/>
          <cell r="E4802"/>
          <cell r="F4802"/>
          <cell r="G4802"/>
          <cell r="H4802"/>
          <cell r="I4802"/>
          <cell r="J4802"/>
          <cell r="L4802"/>
        </row>
        <row r="4803">
          <cell r="A4803"/>
          <cell r="D4803"/>
          <cell r="E4803"/>
          <cell r="F4803"/>
          <cell r="G4803"/>
          <cell r="H4803"/>
          <cell r="I4803"/>
          <cell r="J4803"/>
          <cell r="L4803"/>
        </row>
        <row r="4804">
          <cell r="A4804"/>
          <cell r="D4804"/>
          <cell r="E4804"/>
          <cell r="F4804"/>
          <cell r="G4804"/>
          <cell r="H4804"/>
          <cell r="I4804"/>
          <cell r="J4804"/>
          <cell r="L4804"/>
        </row>
        <row r="4805">
          <cell r="A4805"/>
          <cell r="D4805"/>
          <cell r="E4805"/>
          <cell r="F4805"/>
          <cell r="G4805"/>
          <cell r="H4805"/>
          <cell r="I4805"/>
          <cell r="J4805"/>
          <cell r="L4805"/>
        </row>
        <row r="4806">
          <cell r="A4806"/>
          <cell r="D4806"/>
          <cell r="E4806"/>
          <cell r="F4806"/>
          <cell r="G4806"/>
          <cell r="H4806"/>
          <cell r="I4806"/>
          <cell r="J4806"/>
          <cell r="L4806"/>
        </row>
        <row r="4807">
          <cell r="A4807"/>
          <cell r="D4807"/>
          <cell r="E4807"/>
          <cell r="F4807"/>
          <cell r="G4807"/>
          <cell r="H4807"/>
          <cell r="I4807"/>
          <cell r="J4807"/>
          <cell r="L4807"/>
        </row>
        <row r="4808">
          <cell r="A4808"/>
          <cell r="D4808"/>
          <cell r="E4808"/>
          <cell r="F4808"/>
          <cell r="G4808"/>
          <cell r="H4808"/>
          <cell r="I4808"/>
          <cell r="J4808"/>
          <cell r="L4808"/>
        </row>
        <row r="4809">
          <cell r="A4809"/>
          <cell r="D4809"/>
          <cell r="E4809"/>
          <cell r="F4809"/>
          <cell r="G4809"/>
          <cell r="H4809"/>
          <cell r="I4809"/>
          <cell r="J4809"/>
          <cell r="L4809"/>
        </row>
        <row r="4810">
          <cell r="A4810"/>
          <cell r="D4810"/>
          <cell r="E4810"/>
          <cell r="F4810"/>
          <cell r="G4810"/>
          <cell r="H4810"/>
          <cell r="I4810"/>
          <cell r="J4810"/>
          <cell r="L4810"/>
        </row>
        <row r="4811">
          <cell r="A4811"/>
          <cell r="D4811"/>
          <cell r="E4811"/>
          <cell r="F4811"/>
          <cell r="G4811"/>
          <cell r="H4811"/>
          <cell r="I4811"/>
          <cell r="J4811"/>
          <cell r="L4811"/>
        </row>
        <row r="4812">
          <cell r="A4812"/>
          <cell r="D4812"/>
          <cell r="E4812"/>
          <cell r="F4812"/>
          <cell r="G4812"/>
          <cell r="H4812"/>
          <cell r="I4812"/>
          <cell r="J4812"/>
          <cell r="L4812"/>
        </row>
        <row r="4813">
          <cell r="A4813"/>
          <cell r="D4813"/>
          <cell r="E4813"/>
          <cell r="F4813"/>
          <cell r="G4813"/>
          <cell r="H4813"/>
          <cell r="I4813"/>
          <cell r="J4813"/>
          <cell r="L4813"/>
        </row>
        <row r="4814">
          <cell r="A4814"/>
          <cell r="D4814"/>
          <cell r="E4814"/>
          <cell r="F4814"/>
          <cell r="G4814"/>
          <cell r="H4814"/>
          <cell r="I4814"/>
          <cell r="J4814"/>
          <cell r="L4814"/>
        </row>
        <row r="4815">
          <cell r="A4815"/>
          <cell r="D4815"/>
          <cell r="E4815"/>
          <cell r="F4815"/>
          <cell r="G4815"/>
          <cell r="H4815"/>
          <cell r="I4815"/>
          <cell r="J4815"/>
          <cell r="L4815"/>
        </row>
        <row r="4816">
          <cell r="A4816"/>
          <cell r="D4816"/>
          <cell r="E4816"/>
          <cell r="F4816"/>
          <cell r="G4816"/>
          <cell r="H4816"/>
          <cell r="I4816"/>
          <cell r="J4816"/>
          <cell r="L4816"/>
        </row>
        <row r="4817">
          <cell r="A4817"/>
          <cell r="D4817"/>
          <cell r="E4817"/>
          <cell r="F4817"/>
          <cell r="G4817"/>
          <cell r="H4817"/>
          <cell r="I4817"/>
          <cell r="J4817"/>
          <cell r="L4817"/>
        </row>
        <row r="4818">
          <cell r="A4818"/>
          <cell r="D4818"/>
          <cell r="E4818"/>
          <cell r="F4818"/>
          <cell r="G4818"/>
          <cell r="H4818"/>
          <cell r="I4818"/>
          <cell r="J4818"/>
          <cell r="L4818"/>
        </row>
        <row r="4819">
          <cell r="A4819"/>
          <cell r="D4819"/>
          <cell r="E4819"/>
          <cell r="F4819"/>
          <cell r="G4819"/>
          <cell r="H4819"/>
          <cell r="I4819"/>
          <cell r="J4819"/>
          <cell r="L4819"/>
        </row>
        <row r="4820">
          <cell r="A4820"/>
          <cell r="D4820"/>
          <cell r="E4820"/>
          <cell r="F4820"/>
          <cell r="G4820"/>
          <cell r="H4820"/>
          <cell r="I4820"/>
          <cell r="J4820"/>
          <cell r="L4820"/>
        </row>
        <row r="4821">
          <cell r="A4821"/>
          <cell r="D4821"/>
          <cell r="E4821"/>
          <cell r="F4821"/>
          <cell r="G4821"/>
          <cell r="H4821"/>
          <cell r="I4821"/>
          <cell r="J4821"/>
          <cell r="L4821"/>
        </row>
        <row r="4822">
          <cell r="A4822"/>
          <cell r="D4822"/>
          <cell r="E4822"/>
          <cell r="F4822"/>
          <cell r="G4822"/>
          <cell r="H4822"/>
          <cell r="I4822"/>
          <cell r="J4822"/>
          <cell r="L4822"/>
        </row>
        <row r="4823">
          <cell r="A4823"/>
          <cell r="D4823"/>
          <cell r="E4823"/>
          <cell r="F4823"/>
          <cell r="G4823"/>
          <cell r="H4823"/>
          <cell r="I4823"/>
          <cell r="J4823"/>
          <cell r="L4823"/>
        </row>
        <row r="4824">
          <cell r="A4824"/>
          <cell r="D4824"/>
          <cell r="E4824"/>
          <cell r="F4824"/>
          <cell r="G4824"/>
          <cell r="H4824"/>
          <cell r="I4824"/>
          <cell r="J4824"/>
          <cell r="L4824"/>
        </row>
        <row r="4825">
          <cell r="A4825"/>
          <cell r="D4825"/>
          <cell r="E4825"/>
          <cell r="F4825"/>
          <cell r="G4825"/>
          <cell r="H4825"/>
          <cell r="I4825"/>
          <cell r="J4825"/>
          <cell r="L4825"/>
        </row>
        <row r="4826">
          <cell r="A4826"/>
          <cell r="D4826"/>
          <cell r="E4826"/>
          <cell r="F4826"/>
          <cell r="G4826"/>
          <cell r="H4826"/>
          <cell r="I4826"/>
          <cell r="J4826"/>
          <cell r="L4826"/>
        </row>
        <row r="4827">
          <cell r="A4827"/>
          <cell r="D4827"/>
          <cell r="E4827"/>
          <cell r="F4827"/>
          <cell r="G4827"/>
          <cell r="H4827"/>
          <cell r="I4827"/>
          <cell r="J4827"/>
          <cell r="L4827"/>
        </row>
        <row r="4828">
          <cell r="A4828"/>
          <cell r="D4828"/>
          <cell r="E4828"/>
          <cell r="F4828"/>
          <cell r="G4828"/>
          <cell r="H4828"/>
          <cell r="I4828"/>
          <cell r="J4828"/>
          <cell r="L4828"/>
        </row>
        <row r="4829">
          <cell r="A4829"/>
          <cell r="D4829"/>
          <cell r="E4829"/>
          <cell r="F4829"/>
          <cell r="G4829"/>
          <cell r="H4829"/>
          <cell r="I4829"/>
          <cell r="J4829"/>
          <cell r="L4829"/>
        </row>
        <row r="4830">
          <cell r="A4830"/>
          <cell r="D4830"/>
          <cell r="E4830"/>
          <cell r="F4830"/>
          <cell r="G4830"/>
          <cell r="H4830"/>
          <cell r="I4830"/>
          <cell r="J4830"/>
          <cell r="L4830"/>
        </row>
        <row r="4831">
          <cell r="A4831"/>
          <cell r="D4831"/>
          <cell r="E4831"/>
          <cell r="F4831"/>
          <cell r="G4831"/>
          <cell r="H4831"/>
          <cell r="I4831"/>
          <cell r="J4831"/>
          <cell r="L4831"/>
        </row>
        <row r="4832">
          <cell r="A4832"/>
          <cell r="D4832"/>
          <cell r="E4832"/>
          <cell r="F4832"/>
          <cell r="G4832"/>
          <cell r="H4832"/>
          <cell r="I4832"/>
          <cell r="J4832"/>
          <cell r="L4832"/>
        </row>
        <row r="4833">
          <cell r="A4833"/>
          <cell r="D4833"/>
          <cell r="E4833"/>
          <cell r="F4833"/>
          <cell r="G4833"/>
          <cell r="H4833"/>
          <cell r="I4833"/>
          <cell r="J4833"/>
          <cell r="L4833"/>
        </row>
        <row r="4834">
          <cell r="A4834"/>
          <cell r="D4834"/>
          <cell r="E4834"/>
          <cell r="F4834"/>
          <cell r="G4834"/>
          <cell r="H4834"/>
          <cell r="I4834"/>
          <cell r="J4834"/>
          <cell r="L4834"/>
        </row>
        <row r="4835">
          <cell r="A4835"/>
          <cell r="D4835"/>
          <cell r="E4835"/>
          <cell r="F4835"/>
          <cell r="G4835"/>
          <cell r="H4835"/>
          <cell r="I4835"/>
          <cell r="J4835"/>
          <cell r="L4835"/>
        </row>
        <row r="4836">
          <cell r="A4836"/>
          <cell r="D4836"/>
          <cell r="E4836"/>
          <cell r="F4836"/>
          <cell r="G4836"/>
          <cell r="H4836"/>
          <cell r="I4836"/>
          <cell r="J4836"/>
          <cell r="L4836"/>
        </row>
        <row r="4837">
          <cell r="A4837"/>
          <cell r="D4837"/>
          <cell r="E4837"/>
          <cell r="F4837"/>
          <cell r="G4837"/>
          <cell r="H4837"/>
          <cell r="I4837"/>
          <cell r="J4837"/>
          <cell r="L4837"/>
        </row>
        <row r="4838">
          <cell r="A4838"/>
          <cell r="D4838"/>
          <cell r="E4838"/>
          <cell r="F4838"/>
          <cell r="G4838"/>
          <cell r="H4838"/>
          <cell r="I4838"/>
          <cell r="J4838"/>
          <cell r="L4838"/>
        </row>
        <row r="4839">
          <cell r="A4839"/>
          <cell r="D4839"/>
          <cell r="E4839"/>
          <cell r="F4839"/>
          <cell r="G4839"/>
          <cell r="H4839"/>
          <cell r="I4839"/>
          <cell r="J4839"/>
          <cell r="L4839"/>
        </row>
        <row r="4840">
          <cell r="A4840"/>
          <cell r="D4840"/>
          <cell r="E4840"/>
          <cell r="F4840"/>
          <cell r="G4840"/>
          <cell r="H4840"/>
          <cell r="I4840"/>
          <cell r="J4840"/>
          <cell r="L4840"/>
        </row>
        <row r="4841">
          <cell r="A4841"/>
          <cell r="D4841"/>
          <cell r="E4841"/>
          <cell r="F4841"/>
          <cell r="G4841"/>
          <cell r="H4841"/>
          <cell r="I4841"/>
          <cell r="J4841"/>
          <cell r="L4841"/>
        </row>
        <row r="4842">
          <cell r="A4842"/>
          <cell r="D4842"/>
          <cell r="E4842"/>
          <cell r="F4842"/>
          <cell r="G4842"/>
          <cell r="H4842"/>
          <cell r="I4842"/>
          <cell r="J4842"/>
          <cell r="L4842"/>
        </row>
        <row r="4843">
          <cell r="A4843"/>
          <cell r="D4843"/>
          <cell r="E4843"/>
          <cell r="F4843"/>
          <cell r="G4843"/>
          <cell r="H4843"/>
          <cell r="I4843"/>
          <cell r="J4843"/>
          <cell r="L4843"/>
        </row>
        <row r="4844">
          <cell r="A4844"/>
          <cell r="D4844"/>
          <cell r="E4844"/>
          <cell r="F4844"/>
          <cell r="G4844"/>
          <cell r="H4844"/>
          <cell r="I4844"/>
          <cell r="J4844"/>
          <cell r="L4844"/>
        </row>
        <row r="4845">
          <cell r="A4845"/>
          <cell r="D4845"/>
          <cell r="E4845"/>
          <cell r="F4845"/>
          <cell r="G4845"/>
          <cell r="H4845"/>
          <cell r="I4845"/>
          <cell r="J4845"/>
          <cell r="L4845"/>
        </row>
        <row r="4846">
          <cell r="A4846"/>
          <cell r="D4846"/>
          <cell r="E4846"/>
          <cell r="F4846"/>
          <cell r="G4846"/>
          <cell r="H4846"/>
          <cell r="I4846"/>
          <cell r="J4846"/>
          <cell r="L4846"/>
        </row>
        <row r="4847">
          <cell r="A4847"/>
          <cell r="D4847"/>
          <cell r="E4847"/>
          <cell r="F4847"/>
          <cell r="G4847"/>
          <cell r="H4847"/>
          <cell r="I4847"/>
          <cell r="J4847"/>
          <cell r="L4847"/>
        </row>
        <row r="4848">
          <cell r="A4848"/>
          <cell r="D4848"/>
          <cell r="E4848"/>
          <cell r="F4848"/>
          <cell r="G4848"/>
          <cell r="H4848"/>
          <cell r="I4848"/>
          <cell r="J4848"/>
          <cell r="L4848"/>
        </row>
        <row r="4849">
          <cell r="A4849"/>
          <cell r="D4849"/>
          <cell r="E4849"/>
          <cell r="F4849"/>
          <cell r="G4849"/>
          <cell r="H4849"/>
          <cell r="I4849"/>
          <cell r="J4849"/>
          <cell r="L4849"/>
        </row>
        <row r="4850">
          <cell r="A4850"/>
          <cell r="D4850"/>
          <cell r="E4850"/>
          <cell r="F4850"/>
          <cell r="G4850"/>
          <cell r="H4850"/>
          <cell r="I4850"/>
          <cell r="J4850"/>
          <cell r="L4850"/>
        </row>
        <row r="4851">
          <cell r="A4851"/>
          <cell r="D4851"/>
          <cell r="E4851"/>
          <cell r="F4851"/>
          <cell r="G4851"/>
          <cell r="H4851"/>
          <cell r="I4851"/>
          <cell r="J4851"/>
          <cell r="L4851"/>
        </row>
        <row r="4852">
          <cell r="A4852"/>
          <cell r="D4852"/>
          <cell r="E4852"/>
          <cell r="F4852"/>
          <cell r="G4852"/>
          <cell r="H4852"/>
          <cell r="I4852"/>
          <cell r="J4852"/>
          <cell r="L4852"/>
        </row>
        <row r="4853">
          <cell r="A4853"/>
          <cell r="D4853"/>
          <cell r="E4853"/>
          <cell r="F4853"/>
          <cell r="G4853"/>
          <cell r="H4853"/>
          <cell r="I4853"/>
          <cell r="J4853"/>
          <cell r="L4853"/>
        </row>
        <row r="4854">
          <cell r="A4854"/>
          <cell r="D4854"/>
          <cell r="E4854"/>
          <cell r="F4854"/>
          <cell r="G4854"/>
          <cell r="H4854"/>
          <cell r="I4854"/>
          <cell r="J4854"/>
          <cell r="L4854"/>
        </row>
        <row r="4855">
          <cell r="A4855"/>
          <cell r="D4855"/>
          <cell r="E4855"/>
          <cell r="F4855"/>
          <cell r="G4855"/>
          <cell r="H4855"/>
          <cell r="I4855"/>
          <cell r="J4855"/>
          <cell r="L4855"/>
        </row>
        <row r="4856">
          <cell r="A4856"/>
          <cell r="D4856"/>
          <cell r="E4856"/>
          <cell r="F4856"/>
          <cell r="G4856"/>
          <cell r="H4856"/>
          <cell r="I4856"/>
          <cell r="J4856"/>
          <cell r="L4856"/>
        </row>
        <row r="4857">
          <cell r="A4857"/>
          <cell r="D4857"/>
          <cell r="E4857"/>
          <cell r="F4857"/>
          <cell r="G4857"/>
          <cell r="H4857"/>
          <cell r="I4857"/>
          <cell r="J4857"/>
          <cell r="L4857"/>
        </row>
        <row r="4858">
          <cell r="A4858"/>
          <cell r="D4858"/>
          <cell r="E4858"/>
          <cell r="F4858"/>
          <cell r="G4858"/>
          <cell r="H4858"/>
          <cell r="I4858"/>
          <cell r="J4858"/>
          <cell r="L4858"/>
        </row>
        <row r="4859">
          <cell r="A4859"/>
          <cell r="D4859"/>
          <cell r="E4859"/>
          <cell r="F4859"/>
          <cell r="G4859"/>
          <cell r="H4859"/>
          <cell r="I4859"/>
          <cell r="J4859"/>
          <cell r="L4859"/>
        </row>
        <row r="4860">
          <cell r="A4860"/>
          <cell r="D4860"/>
          <cell r="E4860"/>
          <cell r="F4860"/>
          <cell r="G4860"/>
          <cell r="H4860"/>
          <cell r="I4860"/>
          <cell r="J4860"/>
          <cell r="L4860"/>
        </row>
        <row r="4861">
          <cell r="A4861"/>
          <cell r="D4861"/>
          <cell r="E4861"/>
          <cell r="F4861"/>
          <cell r="G4861"/>
          <cell r="H4861"/>
          <cell r="I4861"/>
          <cell r="J4861"/>
          <cell r="L4861"/>
        </row>
        <row r="4862">
          <cell r="A4862"/>
          <cell r="D4862"/>
          <cell r="E4862"/>
          <cell r="F4862"/>
          <cell r="G4862"/>
          <cell r="H4862"/>
          <cell r="I4862"/>
          <cell r="J4862"/>
          <cell r="L4862"/>
        </row>
        <row r="4863">
          <cell r="A4863"/>
          <cell r="D4863"/>
          <cell r="E4863"/>
          <cell r="F4863"/>
          <cell r="G4863"/>
          <cell r="H4863"/>
          <cell r="I4863"/>
          <cell r="J4863"/>
          <cell r="L4863"/>
        </row>
        <row r="4864">
          <cell r="A4864"/>
          <cell r="D4864"/>
          <cell r="E4864"/>
          <cell r="F4864"/>
          <cell r="G4864"/>
          <cell r="H4864"/>
          <cell r="I4864"/>
          <cell r="J4864"/>
          <cell r="L4864"/>
        </row>
        <row r="4865">
          <cell r="A4865"/>
          <cell r="D4865"/>
          <cell r="E4865"/>
          <cell r="F4865"/>
          <cell r="G4865"/>
          <cell r="H4865"/>
          <cell r="I4865"/>
          <cell r="J4865"/>
          <cell r="L4865"/>
        </row>
        <row r="4866">
          <cell r="A4866"/>
          <cell r="D4866"/>
          <cell r="E4866"/>
          <cell r="F4866"/>
          <cell r="G4866"/>
          <cell r="H4866"/>
          <cell r="I4866"/>
          <cell r="J4866"/>
          <cell r="L4866"/>
        </row>
        <row r="4867">
          <cell r="A4867"/>
          <cell r="D4867"/>
          <cell r="E4867"/>
          <cell r="F4867"/>
          <cell r="G4867"/>
          <cell r="H4867"/>
          <cell r="I4867"/>
          <cell r="J4867"/>
          <cell r="L4867"/>
        </row>
        <row r="4868">
          <cell r="A4868"/>
          <cell r="D4868"/>
          <cell r="E4868"/>
          <cell r="F4868"/>
          <cell r="G4868"/>
          <cell r="H4868"/>
          <cell r="I4868"/>
          <cell r="J4868"/>
          <cell r="L4868"/>
        </row>
        <row r="4869">
          <cell r="A4869"/>
          <cell r="D4869"/>
          <cell r="E4869"/>
          <cell r="F4869"/>
          <cell r="G4869"/>
          <cell r="H4869"/>
          <cell r="I4869"/>
          <cell r="J4869"/>
          <cell r="L4869"/>
        </row>
        <row r="4870">
          <cell r="A4870"/>
          <cell r="D4870"/>
          <cell r="E4870"/>
          <cell r="F4870"/>
          <cell r="G4870"/>
          <cell r="H4870"/>
          <cell r="I4870"/>
          <cell r="J4870"/>
          <cell r="L4870"/>
        </row>
        <row r="4871">
          <cell r="A4871"/>
          <cell r="D4871"/>
          <cell r="E4871"/>
          <cell r="F4871"/>
          <cell r="G4871"/>
          <cell r="H4871"/>
          <cell r="I4871"/>
          <cell r="J4871"/>
          <cell r="L4871"/>
        </row>
        <row r="4872">
          <cell r="A4872"/>
          <cell r="D4872"/>
          <cell r="E4872"/>
          <cell r="F4872"/>
          <cell r="G4872"/>
          <cell r="H4872"/>
          <cell r="I4872"/>
          <cell r="J4872"/>
          <cell r="L4872"/>
        </row>
        <row r="4873">
          <cell r="A4873"/>
          <cell r="D4873"/>
          <cell r="E4873"/>
          <cell r="F4873"/>
          <cell r="G4873"/>
          <cell r="H4873"/>
          <cell r="I4873"/>
          <cell r="J4873"/>
          <cell r="L4873"/>
        </row>
        <row r="4874">
          <cell r="A4874"/>
          <cell r="D4874"/>
          <cell r="E4874"/>
          <cell r="F4874"/>
          <cell r="G4874"/>
          <cell r="H4874"/>
          <cell r="I4874"/>
          <cell r="J4874"/>
          <cell r="L4874"/>
        </row>
        <row r="4875">
          <cell r="A4875"/>
          <cell r="D4875"/>
          <cell r="E4875"/>
          <cell r="F4875"/>
          <cell r="G4875"/>
          <cell r="H4875"/>
          <cell r="I4875"/>
          <cell r="J4875"/>
          <cell r="L4875"/>
        </row>
        <row r="4876">
          <cell r="A4876"/>
          <cell r="D4876"/>
          <cell r="E4876"/>
          <cell r="F4876"/>
          <cell r="G4876"/>
          <cell r="H4876"/>
          <cell r="I4876"/>
          <cell r="J4876"/>
          <cell r="L4876"/>
        </row>
        <row r="4877">
          <cell r="A4877"/>
          <cell r="D4877"/>
          <cell r="E4877"/>
          <cell r="F4877"/>
          <cell r="G4877"/>
          <cell r="H4877"/>
          <cell r="I4877"/>
          <cell r="J4877"/>
          <cell r="L4877"/>
        </row>
        <row r="4878">
          <cell r="A4878"/>
          <cell r="D4878"/>
          <cell r="E4878"/>
          <cell r="F4878"/>
          <cell r="G4878"/>
          <cell r="H4878"/>
          <cell r="I4878"/>
          <cell r="J4878"/>
          <cell r="L4878"/>
        </row>
        <row r="4879">
          <cell r="A4879"/>
          <cell r="D4879"/>
          <cell r="E4879"/>
          <cell r="F4879"/>
          <cell r="G4879"/>
          <cell r="H4879"/>
          <cell r="I4879"/>
          <cell r="J4879"/>
          <cell r="L4879"/>
        </row>
        <row r="4880">
          <cell r="A4880"/>
          <cell r="D4880"/>
          <cell r="E4880"/>
          <cell r="F4880"/>
          <cell r="G4880"/>
          <cell r="H4880"/>
          <cell r="I4880"/>
          <cell r="J4880"/>
          <cell r="L4880"/>
        </row>
        <row r="4881">
          <cell r="A4881"/>
          <cell r="D4881"/>
          <cell r="E4881"/>
          <cell r="F4881"/>
          <cell r="G4881"/>
          <cell r="H4881"/>
          <cell r="I4881"/>
          <cell r="J4881"/>
          <cell r="L4881"/>
        </row>
        <row r="4882">
          <cell r="A4882"/>
          <cell r="D4882"/>
          <cell r="E4882"/>
          <cell r="F4882"/>
          <cell r="G4882"/>
          <cell r="H4882"/>
          <cell r="I4882"/>
          <cell r="J4882"/>
          <cell r="L4882"/>
        </row>
        <row r="4883">
          <cell r="A4883"/>
          <cell r="D4883"/>
          <cell r="E4883"/>
          <cell r="F4883"/>
          <cell r="G4883"/>
          <cell r="H4883"/>
          <cell r="I4883"/>
          <cell r="J4883"/>
          <cell r="L4883"/>
        </row>
        <row r="4884">
          <cell r="A4884"/>
          <cell r="D4884"/>
          <cell r="E4884"/>
          <cell r="F4884"/>
          <cell r="G4884"/>
          <cell r="H4884"/>
          <cell r="I4884"/>
          <cell r="J4884"/>
          <cell r="L4884"/>
        </row>
        <row r="4885">
          <cell r="A4885"/>
          <cell r="D4885"/>
          <cell r="E4885"/>
          <cell r="F4885"/>
          <cell r="G4885"/>
          <cell r="H4885"/>
          <cell r="I4885"/>
          <cell r="J4885"/>
          <cell r="L4885"/>
        </row>
        <row r="4886">
          <cell r="A4886"/>
          <cell r="D4886"/>
          <cell r="E4886"/>
          <cell r="F4886"/>
          <cell r="G4886"/>
          <cell r="H4886"/>
          <cell r="I4886"/>
          <cell r="J4886"/>
          <cell r="L4886"/>
        </row>
        <row r="4887">
          <cell r="A4887"/>
          <cell r="D4887"/>
          <cell r="E4887"/>
          <cell r="F4887"/>
          <cell r="G4887"/>
          <cell r="H4887"/>
          <cell r="I4887"/>
          <cell r="J4887"/>
          <cell r="L4887"/>
        </row>
        <row r="4888">
          <cell r="A4888"/>
          <cell r="D4888"/>
          <cell r="E4888"/>
          <cell r="F4888"/>
          <cell r="G4888"/>
          <cell r="H4888"/>
          <cell r="I4888"/>
          <cell r="J4888"/>
          <cell r="L4888"/>
        </row>
        <row r="4889">
          <cell r="A4889"/>
          <cell r="D4889"/>
          <cell r="E4889"/>
          <cell r="F4889"/>
          <cell r="G4889"/>
          <cell r="H4889"/>
          <cell r="I4889"/>
          <cell r="J4889"/>
          <cell r="L4889"/>
        </row>
        <row r="4890">
          <cell r="A4890"/>
          <cell r="D4890"/>
          <cell r="E4890"/>
          <cell r="F4890"/>
          <cell r="G4890"/>
          <cell r="H4890"/>
          <cell r="I4890"/>
          <cell r="J4890"/>
          <cell r="L4890"/>
        </row>
        <row r="4891">
          <cell r="A4891"/>
          <cell r="D4891"/>
          <cell r="E4891"/>
          <cell r="F4891"/>
          <cell r="G4891"/>
          <cell r="H4891"/>
          <cell r="I4891"/>
          <cell r="J4891"/>
          <cell r="L4891"/>
        </row>
        <row r="4892">
          <cell r="A4892"/>
          <cell r="D4892"/>
          <cell r="E4892"/>
          <cell r="F4892"/>
          <cell r="G4892"/>
          <cell r="H4892"/>
          <cell r="I4892"/>
          <cell r="J4892"/>
          <cell r="L4892"/>
        </row>
        <row r="4893">
          <cell r="A4893"/>
          <cell r="D4893"/>
          <cell r="E4893"/>
          <cell r="F4893"/>
          <cell r="G4893"/>
          <cell r="H4893"/>
          <cell r="I4893"/>
          <cell r="J4893"/>
          <cell r="L4893"/>
        </row>
        <row r="4894">
          <cell r="A4894"/>
          <cell r="D4894"/>
          <cell r="E4894"/>
          <cell r="F4894"/>
          <cell r="G4894"/>
          <cell r="H4894"/>
          <cell r="I4894"/>
          <cell r="J4894"/>
          <cell r="L4894"/>
        </row>
        <row r="4895">
          <cell r="A4895"/>
          <cell r="D4895"/>
          <cell r="E4895"/>
          <cell r="F4895"/>
          <cell r="G4895"/>
          <cell r="H4895"/>
          <cell r="I4895"/>
          <cell r="J4895"/>
          <cell r="L4895"/>
        </row>
        <row r="4896">
          <cell r="A4896"/>
          <cell r="D4896"/>
          <cell r="E4896"/>
          <cell r="F4896"/>
          <cell r="G4896"/>
          <cell r="H4896"/>
          <cell r="I4896"/>
          <cell r="J4896"/>
          <cell r="L4896"/>
        </row>
        <row r="4897">
          <cell r="A4897"/>
          <cell r="D4897"/>
          <cell r="E4897"/>
          <cell r="F4897"/>
          <cell r="G4897"/>
          <cell r="H4897"/>
          <cell r="I4897"/>
          <cell r="J4897"/>
          <cell r="L4897"/>
        </row>
        <row r="4898">
          <cell r="A4898"/>
          <cell r="D4898"/>
          <cell r="E4898"/>
          <cell r="F4898"/>
          <cell r="G4898"/>
          <cell r="H4898"/>
          <cell r="I4898"/>
          <cell r="J4898"/>
          <cell r="L4898"/>
        </row>
        <row r="4899">
          <cell r="A4899"/>
          <cell r="D4899"/>
          <cell r="E4899"/>
          <cell r="F4899"/>
          <cell r="G4899"/>
          <cell r="H4899"/>
          <cell r="I4899"/>
          <cell r="J4899"/>
          <cell r="L4899"/>
        </row>
        <row r="4900">
          <cell r="A4900"/>
          <cell r="D4900"/>
          <cell r="E4900"/>
          <cell r="F4900"/>
          <cell r="G4900"/>
          <cell r="H4900"/>
          <cell r="I4900"/>
          <cell r="J4900"/>
          <cell r="L4900"/>
        </row>
        <row r="4901">
          <cell r="A4901"/>
          <cell r="D4901"/>
          <cell r="E4901"/>
          <cell r="F4901"/>
          <cell r="G4901"/>
          <cell r="H4901"/>
          <cell r="I4901"/>
          <cell r="J4901"/>
          <cell r="L4901"/>
        </row>
        <row r="4902">
          <cell r="A4902"/>
          <cell r="D4902"/>
          <cell r="E4902"/>
          <cell r="F4902"/>
          <cell r="G4902"/>
          <cell r="H4902"/>
          <cell r="I4902"/>
          <cell r="J4902"/>
          <cell r="L4902"/>
        </row>
        <row r="4903">
          <cell r="A4903"/>
          <cell r="D4903"/>
          <cell r="E4903"/>
          <cell r="F4903"/>
          <cell r="G4903"/>
          <cell r="H4903"/>
          <cell r="I4903"/>
          <cell r="J4903"/>
          <cell r="L4903"/>
        </row>
        <row r="4904">
          <cell r="A4904"/>
          <cell r="D4904"/>
          <cell r="E4904"/>
          <cell r="F4904"/>
          <cell r="G4904"/>
          <cell r="H4904"/>
          <cell r="I4904"/>
          <cell r="J4904"/>
          <cell r="L4904"/>
        </row>
        <row r="4905">
          <cell r="A4905"/>
          <cell r="D4905"/>
          <cell r="E4905"/>
          <cell r="F4905"/>
          <cell r="G4905"/>
          <cell r="H4905"/>
          <cell r="I4905"/>
          <cell r="J4905"/>
          <cell r="L4905"/>
        </row>
        <row r="4906">
          <cell r="A4906"/>
          <cell r="D4906"/>
          <cell r="E4906"/>
          <cell r="F4906"/>
          <cell r="G4906"/>
          <cell r="H4906"/>
          <cell r="I4906"/>
          <cell r="J4906"/>
          <cell r="L4906"/>
        </row>
        <row r="4907">
          <cell r="A4907"/>
          <cell r="D4907"/>
          <cell r="E4907"/>
          <cell r="F4907"/>
          <cell r="G4907"/>
          <cell r="H4907"/>
          <cell r="I4907"/>
          <cell r="J4907"/>
          <cell r="L4907"/>
        </row>
        <row r="4908">
          <cell r="A4908"/>
          <cell r="D4908"/>
          <cell r="E4908"/>
          <cell r="F4908"/>
          <cell r="G4908"/>
          <cell r="H4908"/>
          <cell r="I4908"/>
          <cell r="J4908"/>
          <cell r="L4908"/>
        </row>
        <row r="4909">
          <cell r="A4909"/>
          <cell r="D4909"/>
          <cell r="E4909"/>
          <cell r="F4909"/>
          <cell r="G4909"/>
          <cell r="H4909"/>
          <cell r="I4909"/>
          <cell r="J4909"/>
          <cell r="L4909"/>
        </row>
        <row r="4910">
          <cell r="A4910"/>
          <cell r="D4910"/>
          <cell r="E4910"/>
          <cell r="F4910"/>
          <cell r="G4910"/>
          <cell r="H4910"/>
          <cell r="I4910"/>
          <cell r="J4910"/>
          <cell r="L4910"/>
        </row>
        <row r="4911">
          <cell r="A4911"/>
          <cell r="D4911"/>
          <cell r="E4911"/>
          <cell r="F4911"/>
          <cell r="G4911"/>
          <cell r="H4911"/>
          <cell r="I4911"/>
          <cell r="J4911"/>
          <cell r="L4911"/>
        </row>
        <row r="4912">
          <cell r="A4912"/>
          <cell r="D4912"/>
          <cell r="E4912"/>
          <cell r="F4912"/>
          <cell r="G4912"/>
          <cell r="H4912"/>
          <cell r="I4912"/>
          <cell r="J4912"/>
          <cell r="L4912"/>
        </row>
        <row r="4913">
          <cell r="A4913"/>
          <cell r="D4913"/>
          <cell r="E4913"/>
          <cell r="F4913"/>
          <cell r="G4913"/>
          <cell r="H4913"/>
          <cell r="I4913"/>
          <cell r="J4913"/>
          <cell r="L4913"/>
        </row>
        <row r="4914">
          <cell r="A4914"/>
          <cell r="D4914"/>
          <cell r="E4914"/>
          <cell r="F4914"/>
          <cell r="G4914"/>
          <cell r="H4914"/>
          <cell r="I4914"/>
          <cell r="J4914"/>
          <cell r="L4914"/>
        </row>
        <row r="4915">
          <cell r="A4915"/>
          <cell r="D4915"/>
          <cell r="E4915"/>
          <cell r="F4915"/>
          <cell r="G4915"/>
          <cell r="H4915"/>
          <cell r="I4915"/>
          <cell r="J4915"/>
          <cell r="L4915"/>
        </row>
        <row r="4916">
          <cell r="A4916"/>
          <cell r="D4916"/>
          <cell r="E4916"/>
          <cell r="F4916"/>
          <cell r="G4916"/>
          <cell r="H4916"/>
          <cell r="I4916"/>
          <cell r="J4916"/>
          <cell r="L4916"/>
        </row>
        <row r="4917">
          <cell r="A4917"/>
          <cell r="D4917"/>
          <cell r="E4917"/>
          <cell r="F4917"/>
          <cell r="G4917"/>
          <cell r="H4917"/>
          <cell r="I4917"/>
          <cell r="J4917"/>
          <cell r="L4917"/>
        </row>
        <row r="4918">
          <cell r="A4918"/>
          <cell r="D4918"/>
          <cell r="E4918"/>
          <cell r="F4918"/>
          <cell r="G4918"/>
          <cell r="H4918"/>
          <cell r="I4918"/>
          <cell r="J4918"/>
          <cell r="L4918"/>
        </row>
        <row r="4919">
          <cell r="A4919"/>
          <cell r="D4919"/>
          <cell r="E4919"/>
          <cell r="F4919"/>
          <cell r="G4919"/>
          <cell r="H4919"/>
          <cell r="I4919"/>
          <cell r="J4919"/>
          <cell r="L4919"/>
        </row>
        <row r="4920">
          <cell r="A4920"/>
          <cell r="D4920"/>
          <cell r="E4920"/>
          <cell r="F4920"/>
          <cell r="G4920"/>
          <cell r="H4920"/>
          <cell r="I4920"/>
          <cell r="J4920"/>
          <cell r="L4920"/>
        </row>
        <row r="4921">
          <cell r="A4921"/>
          <cell r="D4921"/>
          <cell r="E4921"/>
          <cell r="F4921"/>
          <cell r="G4921"/>
          <cell r="H4921"/>
          <cell r="I4921"/>
          <cell r="J4921"/>
          <cell r="L4921"/>
        </row>
        <row r="4922">
          <cell r="A4922"/>
          <cell r="D4922"/>
          <cell r="E4922"/>
          <cell r="F4922"/>
          <cell r="G4922"/>
          <cell r="H4922"/>
          <cell r="I4922"/>
          <cell r="J4922"/>
          <cell r="L4922"/>
        </row>
        <row r="4923">
          <cell r="A4923"/>
          <cell r="D4923"/>
          <cell r="E4923"/>
          <cell r="F4923"/>
          <cell r="G4923"/>
          <cell r="H4923"/>
          <cell r="I4923"/>
          <cell r="J4923"/>
          <cell r="L4923"/>
        </row>
        <row r="4924">
          <cell r="A4924"/>
          <cell r="D4924"/>
          <cell r="E4924"/>
          <cell r="F4924"/>
          <cell r="G4924"/>
          <cell r="H4924"/>
          <cell r="I4924"/>
          <cell r="J4924"/>
          <cell r="L4924"/>
        </row>
        <row r="4925">
          <cell r="A4925"/>
          <cell r="D4925"/>
          <cell r="E4925"/>
          <cell r="F4925"/>
          <cell r="G4925"/>
          <cell r="H4925"/>
          <cell r="I4925"/>
          <cell r="J4925"/>
          <cell r="L4925"/>
        </row>
        <row r="4926">
          <cell r="A4926"/>
          <cell r="D4926"/>
          <cell r="E4926"/>
          <cell r="F4926"/>
          <cell r="G4926"/>
          <cell r="H4926"/>
          <cell r="I4926"/>
          <cell r="J4926"/>
          <cell r="L4926"/>
        </row>
        <row r="4927">
          <cell r="A4927"/>
          <cell r="D4927"/>
          <cell r="E4927"/>
          <cell r="F4927"/>
          <cell r="G4927"/>
          <cell r="H4927"/>
          <cell r="I4927"/>
          <cell r="J4927"/>
          <cell r="L4927"/>
        </row>
        <row r="4928">
          <cell r="A4928"/>
          <cell r="D4928"/>
          <cell r="E4928"/>
          <cell r="F4928"/>
          <cell r="G4928"/>
          <cell r="H4928"/>
          <cell r="I4928"/>
          <cell r="J4928"/>
          <cell r="L4928"/>
        </row>
        <row r="4929">
          <cell r="A4929"/>
          <cell r="D4929"/>
          <cell r="E4929"/>
          <cell r="F4929"/>
          <cell r="G4929"/>
          <cell r="H4929"/>
          <cell r="I4929"/>
          <cell r="J4929"/>
          <cell r="L4929"/>
        </row>
        <row r="4930">
          <cell r="A4930"/>
          <cell r="D4930"/>
          <cell r="E4930"/>
          <cell r="F4930"/>
          <cell r="G4930"/>
          <cell r="H4930"/>
          <cell r="I4930"/>
          <cell r="J4930"/>
          <cell r="L4930"/>
        </row>
        <row r="4931">
          <cell r="A4931"/>
          <cell r="D4931"/>
          <cell r="E4931"/>
          <cell r="F4931"/>
          <cell r="G4931"/>
          <cell r="H4931"/>
          <cell r="I4931"/>
          <cell r="J4931"/>
          <cell r="L4931"/>
        </row>
        <row r="4932">
          <cell r="A4932"/>
          <cell r="D4932"/>
          <cell r="E4932"/>
          <cell r="F4932"/>
          <cell r="G4932"/>
          <cell r="H4932"/>
          <cell r="I4932"/>
          <cell r="J4932"/>
          <cell r="L4932"/>
        </row>
        <row r="4933">
          <cell r="A4933"/>
          <cell r="D4933"/>
          <cell r="E4933"/>
          <cell r="F4933"/>
          <cell r="G4933"/>
          <cell r="H4933"/>
          <cell r="I4933"/>
          <cell r="J4933"/>
          <cell r="L4933"/>
        </row>
        <row r="4934">
          <cell r="A4934"/>
          <cell r="D4934"/>
          <cell r="E4934"/>
          <cell r="F4934"/>
          <cell r="G4934"/>
          <cell r="H4934"/>
          <cell r="I4934"/>
          <cell r="J4934"/>
          <cell r="L4934"/>
        </row>
        <row r="4935">
          <cell r="A4935"/>
          <cell r="D4935"/>
          <cell r="E4935"/>
          <cell r="F4935"/>
          <cell r="G4935"/>
          <cell r="H4935"/>
          <cell r="I4935"/>
          <cell r="J4935"/>
          <cell r="L4935"/>
        </row>
        <row r="4936">
          <cell r="A4936"/>
          <cell r="D4936"/>
          <cell r="E4936"/>
          <cell r="F4936"/>
          <cell r="G4936"/>
          <cell r="H4936"/>
          <cell r="I4936"/>
          <cell r="J4936"/>
          <cell r="L4936"/>
        </row>
        <row r="4937">
          <cell r="A4937"/>
          <cell r="D4937"/>
          <cell r="E4937"/>
          <cell r="F4937"/>
          <cell r="G4937"/>
          <cell r="H4937"/>
          <cell r="I4937"/>
          <cell r="J4937"/>
          <cell r="L4937"/>
        </row>
        <row r="4938">
          <cell r="A4938"/>
          <cell r="D4938"/>
          <cell r="E4938"/>
          <cell r="F4938"/>
          <cell r="G4938"/>
          <cell r="H4938"/>
          <cell r="I4938"/>
          <cell r="J4938"/>
          <cell r="L4938"/>
        </row>
        <row r="4939">
          <cell r="A4939"/>
          <cell r="D4939"/>
          <cell r="E4939"/>
          <cell r="F4939"/>
          <cell r="G4939"/>
          <cell r="H4939"/>
          <cell r="I4939"/>
          <cell r="J4939"/>
          <cell r="L4939"/>
        </row>
        <row r="4940">
          <cell r="A4940"/>
          <cell r="D4940"/>
          <cell r="E4940"/>
          <cell r="F4940"/>
          <cell r="G4940"/>
          <cell r="H4940"/>
          <cell r="I4940"/>
          <cell r="J4940"/>
          <cell r="L4940"/>
        </row>
        <row r="4941">
          <cell r="A4941"/>
          <cell r="D4941"/>
          <cell r="E4941"/>
          <cell r="F4941"/>
          <cell r="G4941"/>
          <cell r="H4941"/>
          <cell r="I4941"/>
          <cell r="J4941"/>
          <cell r="L4941"/>
        </row>
        <row r="4942">
          <cell r="A4942"/>
          <cell r="D4942"/>
          <cell r="E4942"/>
          <cell r="F4942"/>
          <cell r="G4942"/>
          <cell r="H4942"/>
          <cell r="I4942"/>
          <cell r="J4942"/>
          <cell r="L4942"/>
        </row>
        <row r="4943">
          <cell r="A4943"/>
          <cell r="D4943"/>
          <cell r="E4943"/>
          <cell r="F4943"/>
          <cell r="G4943"/>
          <cell r="H4943"/>
          <cell r="I4943"/>
          <cell r="J4943"/>
          <cell r="L4943"/>
        </row>
        <row r="4944">
          <cell r="A4944"/>
          <cell r="D4944"/>
          <cell r="E4944"/>
          <cell r="F4944"/>
          <cell r="G4944"/>
          <cell r="H4944"/>
          <cell r="I4944"/>
          <cell r="J4944"/>
          <cell r="L4944"/>
        </row>
        <row r="4945">
          <cell r="A4945"/>
          <cell r="D4945"/>
          <cell r="E4945"/>
          <cell r="F4945"/>
          <cell r="G4945"/>
          <cell r="H4945"/>
          <cell r="I4945"/>
          <cell r="J4945"/>
          <cell r="L4945"/>
        </row>
        <row r="4946">
          <cell r="A4946"/>
          <cell r="D4946"/>
          <cell r="E4946"/>
          <cell r="F4946"/>
          <cell r="G4946"/>
          <cell r="H4946"/>
          <cell r="I4946"/>
          <cell r="J4946"/>
          <cell r="L4946"/>
        </row>
        <row r="4947">
          <cell r="A4947"/>
          <cell r="D4947"/>
          <cell r="E4947"/>
          <cell r="F4947"/>
          <cell r="G4947"/>
          <cell r="H4947"/>
          <cell r="I4947"/>
          <cell r="J4947"/>
          <cell r="L4947"/>
        </row>
        <row r="4948">
          <cell r="A4948"/>
          <cell r="D4948"/>
          <cell r="E4948"/>
          <cell r="F4948"/>
          <cell r="G4948"/>
          <cell r="H4948"/>
          <cell r="I4948"/>
          <cell r="J4948"/>
          <cell r="L4948"/>
        </row>
        <row r="4949">
          <cell r="A4949"/>
          <cell r="D4949"/>
          <cell r="E4949"/>
          <cell r="F4949"/>
          <cell r="G4949"/>
          <cell r="H4949"/>
          <cell r="I4949"/>
          <cell r="J4949"/>
          <cell r="L4949"/>
        </row>
        <row r="4950">
          <cell r="A4950"/>
          <cell r="D4950"/>
          <cell r="E4950"/>
          <cell r="F4950"/>
          <cell r="G4950"/>
          <cell r="H4950"/>
          <cell r="I4950"/>
          <cell r="J4950"/>
          <cell r="L4950"/>
        </row>
        <row r="4951">
          <cell r="A4951"/>
          <cell r="D4951"/>
          <cell r="E4951"/>
          <cell r="F4951"/>
          <cell r="G4951"/>
          <cell r="H4951"/>
          <cell r="I4951"/>
          <cell r="J4951"/>
          <cell r="L4951"/>
        </row>
        <row r="4952">
          <cell r="A4952"/>
          <cell r="D4952"/>
          <cell r="E4952"/>
          <cell r="F4952"/>
          <cell r="G4952"/>
          <cell r="H4952"/>
          <cell r="I4952"/>
          <cell r="J4952"/>
          <cell r="L4952"/>
        </row>
        <row r="4953">
          <cell r="A4953"/>
          <cell r="D4953"/>
          <cell r="E4953"/>
          <cell r="F4953"/>
          <cell r="G4953"/>
          <cell r="H4953"/>
          <cell r="I4953"/>
          <cell r="J4953"/>
          <cell r="L4953"/>
        </row>
        <row r="4954">
          <cell r="A4954"/>
          <cell r="D4954"/>
          <cell r="E4954"/>
          <cell r="F4954"/>
          <cell r="G4954"/>
          <cell r="H4954"/>
          <cell r="I4954"/>
          <cell r="J4954"/>
          <cell r="L4954"/>
        </row>
        <row r="4955">
          <cell r="A4955"/>
          <cell r="D4955"/>
          <cell r="E4955"/>
          <cell r="F4955"/>
          <cell r="G4955"/>
          <cell r="H4955"/>
          <cell r="I4955"/>
          <cell r="J4955"/>
          <cell r="L4955"/>
        </row>
        <row r="4956">
          <cell r="A4956"/>
          <cell r="D4956"/>
          <cell r="E4956"/>
          <cell r="F4956"/>
          <cell r="G4956"/>
          <cell r="H4956"/>
          <cell r="I4956"/>
          <cell r="J4956"/>
          <cell r="L4956"/>
        </row>
        <row r="4957">
          <cell r="A4957"/>
          <cell r="D4957"/>
          <cell r="E4957"/>
          <cell r="F4957"/>
          <cell r="G4957"/>
          <cell r="H4957"/>
          <cell r="I4957"/>
          <cell r="J4957"/>
          <cell r="L4957"/>
        </row>
        <row r="4958">
          <cell r="A4958"/>
          <cell r="D4958"/>
          <cell r="E4958"/>
          <cell r="F4958"/>
          <cell r="G4958"/>
          <cell r="H4958"/>
          <cell r="I4958"/>
          <cell r="J4958"/>
          <cell r="L4958"/>
        </row>
        <row r="4959">
          <cell r="A4959"/>
          <cell r="D4959"/>
          <cell r="E4959"/>
          <cell r="F4959"/>
          <cell r="G4959"/>
          <cell r="H4959"/>
          <cell r="I4959"/>
          <cell r="J4959"/>
          <cell r="L4959"/>
        </row>
        <row r="4960">
          <cell r="A4960"/>
          <cell r="D4960"/>
          <cell r="E4960"/>
          <cell r="F4960"/>
          <cell r="G4960"/>
          <cell r="H4960"/>
          <cell r="I4960"/>
          <cell r="J4960"/>
          <cell r="L4960"/>
        </row>
        <row r="4961">
          <cell r="A4961"/>
          <cell r="D4961"/>
          <cell r="E4961"/>
          <cell r="F4961"/>
          <cell r="G4961"/>
          <cell r="H4961"/>
          <cell r="I4961"/>
          <cell r="J4961"/>
          <cell r="L4961"/>
        </row>
        <row r="4962">
          <cell r="A4962"/>
          <cell r="D4962"/>
          <cell r="E4962"/>
          <cell r="F4962"/>
          <cell r="G4962"/>
          <cell r="H4962"/>
          <cell r="I4962"/>
          <cell r="J4962"/>
          <cell r="L4962"/>
        </row>
        <row r="4963">
          <cell r="A4963"/>
          <cell r="D4963"/>
          <cell r="E4963"/>
          <cell r="F4963"/>
          <cell r="G4963"/>
          <cell r="H4963"/>
          <cell r="I4963"/>
          <cell r="J4963"/>
          <cell r="L4963"/>
        </row>
        <row r="4964">
          <cell r="A4964"/>
          <cell r="D4964"/>
          <cell r="E4964"/>
          <cell r="F4964"/>
          <cell r="G4964"/>
          <cell r="H4964"/>
          <cell r="I4964"/>
          <cell r="J4964"/>
          <cell r="L4964"/>
        </row>
        <row r="4965">
          <cell r="A4965"/>
          <cell r="D4965"/>
          <cell r="E4965"/>
          <cell r="F4965"/>
          <cell r="G4965"/>
          <cell r="H4965"/>
          <cell r="I4965"/>
          <cell r="J4965"/>
          <cell r="L4965"/>
        </row>
        <row r="4966">
          <cell r="A4966"/>
          <cell r="D4966"/>
          <cell r="E4966"/>
          <cell r="F4966"/>
          <cell r="G4966"/>
          <cell r="H4966"/>
          <cell r="I4966"/>
          <cell r="J4966"/>
          <cell r="L4966"/>
        </row>
        <row r="4967">
          <cell r="A4967"/>
          <cell r="D4967"/>
          <cell r="E4967"/>
          <cell r="F4967"/>
          <cell r="G4967"/>
          <cell r="H4967"/>
          <cell r="I4967"/>
          <cell r="J4967"/>
          <cell r="L4967"/>
        </row>
        <row r="4968">
          <cell r="A4968"/>
          <cell r="D4968"/>
          <cell r="E4968"/>
          <cell r="F4968"/>
          <cell r="G4968"/>
          <cell r="H4968"/>
          <cell r="I4968"/>
          <cell r="J4968"/>
          <cell r="L4968"/>
        </row>
        <row r="4969">
          <cell r="A4969"/>
          <cell r="D4969"/>
          <cell r="E4969"/>
          <cell r="F4969"/>
          <cell r="G4969"/>
          <cell r="H4969"/>
          <cell r="I4969"/>
          <cell r="J4969"/>
          <cell r="L4969"/>
        </row>
        <row r="4970">
          <cell r="A4970"/>
          <cell r="D4970"/>
          <cell r="E4970"/>
          <cell r="F4970"/>
          <cell r="G4970"/>
          <cell r="H4970"/>
          <cell r="I4970"/>
          <cell r="J4970"/>
          <cell r="L4970"/>
        </row>
        <row r="4971">
          <cell r="A4971"/>
          <cell r="D4971"/>
          <cell r="E4971"/>
          <cell r="F4971"/>
          <cell r="G4971"/>
          <cell r="H4971"/>
          <cell r="I4971"/>
          <cell r="J4971"/>
          <cell r="L4971"/>
        </row>
        <row r="4972">
          <cell r="A4972"/>
          <cell r="D4972"/>
          <cell r="E4972"/>
          <cell r="F4972"/>
          <cell r="G4972"/>
          <cell r="H4972"/>
          <cell r="I4972"/>
          <cell r="J4972"/>
          <cell r="L4972"/>
        </row>
        <row r="4973">
          <cell r="A4973"/>
          <cell r="D4973"/>
          <cell r="E4973"/>
          <cell r="F4973"/>
          <cell r="G4973"/>
          <cell r="H4973"/>
          <cell r="I4973"/>
          <cell r="J4973"/>
          <cell r="L4973"/>
        </row>
        <row r="4974">
          <cell r="A4974"/>
          <cell r="D4974"/>
          <cell r="E4974"/>
          <cell r="F4974"/>
          <cell r="G4974"/>
          <cell r="H4974"/>
          <cell r="I4974"/>
          <cell r="J4974"/>
          <cell r="L4974"/>
        </row>
        <row r="4975">
          <cell r="A4975"/>
          <cell r="D4975"/>
          <cell r="E4975"/>
          <cell r="F4975"/>
          <cell r="G4975"/>
          <cell r="H4975"/>
          <cell r="I4975"/>
          <cell r="J4975"/>
          <cell r="L4975"/>
        </row>
        <row r="4976">
          <cell r="A4976"/>
          <cell r="D4976"/>
          <cell r="E4976"/>
          <cell r="F4976"/>
          <cell r="G4976"/>
          <cell r="H4976"/>
          <cell r="I4976"/>
          <cell r="J4976"/>
          <cell r="L4976"/>
        </row>
        <row r="4977">
          <cell r="A4977"/>
          <cell r="D4977"/>
          <cell r="E4977"/>
          <cell r="F4977"/>
          <cell r="G4977"/>
          <cell r="H4977"/>
          <cell r="I4977"/>
          <cell r="J4977"/>
          <cell r="L4977"/>
        </row>
        <row r="4978">
          <cell r="A4978"/>
          <cell r="D4978"/>
          <cell r="E4978"/>
          <cell r="F4978"/>
          <cell r="G4978"/>
          <cell r="H4978"/>
          <cell r="I4978"/>
          <cell r="J4978"/>
          <cell r="L4978"/>
        </row>
        <row r="4979">
          <cell r="A4979"/>
          <cell r="D4979"/>
          <cell r="E4979"/>
          <cell r="F4979"/>
          <cell r="G4979"/>
          <cell r="H4979"/>
          <cell r="I4979"/>
          <cell r="J4979"/>
          <cell r="L4979"/>
        </row>
        <row r="4980">
          <cell r="A4980"/>
          <cell r="D4980"/>
          <cell r="E4980"/>
          <cell r="F4980"/>
          <cell r="G4980"/>
          <cell r="H4980"/>
          <cell r="I4980"/>
          <cell r="J4980"/>
          <cell r="L4980"/>
        </row>
        <row r="4981">
          <cell r="A4981"/>
          <cell r="D4981"/>
          <cell r="E4981"/>
          <cell r="F4981"/>
          <cell r="G4981"/>
          <cell r="H4981"/>
          <cell r="I4981"/>
          <cell r="J4981"/>
          <cell r="L4981"/>
        </row>
        <row r="4982">
          <cell r="A4982"/>
          <cell r="D4982"/>
          <cell r="E4982"/>
          <cell r="F4982"/>
          <cell r="G4982"/>
          <cell r="H4982"/>
          <cell r="I4982"/>
          <cell r="J4982"/>
          <cell r="L4982"/>
        </row>
        <row r="4983">
          <cell r="A4983"/>
          <cell r="D4983"/>
          <cell r="E4983"/>
          <cell r="F4983"/>
          <cell r="G4983"/>
          <cell r="H4983"/>
          <cell r="I4983"/>
          <cell r="J4983"/>
          <cell r="L4983"/>
        </row>
        <row r="4984">
          <cell r="A4984"/>
          <cell r="D4984"/>
          <cell r="E4984"/>
          <cell r="F4984"/>
          <cell r="G4984"/>
          <cell r="H4984"/>
          <cell r="I4984"/>
          <cell r="J4984"/>
          <cell r="L4984"/>
        </row>
        <row r="4985">
          <cell r="A4985"/>
          <cell r="D4985"/>
          <cell r="E4985"/>
          <cell r="F4985"/>
          <cell r="G4985"/>
          <cell r="H4985"/>
          <cell r="I4985"/>
          <cell r="J4985"/>
          <cell r="L4985"/>
        </row>
        <row r="4986">
          <cell r="A4986"/>
          <cell r="D4986"/>
          <cell r="E4986"/>
          <cell r="F4986"/>
          <cell r="G4986"/>
          <cell r="H4986"/>
          <cell r="I4986"/>
          <cell r="J4986"/>
          <cell r="L4986"/>
        </row>
        <row r="4987">
          <cell r="A4987"/>
          <cell r="D4987"/>
          <cell r="E4987"/>
          <cell r="F4987"/>
          <cell r="G4987"/>
          <cell r="H4987"/>
          <cell r="I4987"/>
          <cell r="J4987"/>
          <cell r="L4987"/>
        </row>
        <row r="4988">
          <cell r="A4988"/>
          <cell r="D4988"/>
          <cell r="E4988"/>
          <cell r="F4988"/>
          <cell r="G4988"/>
          <cell r="H4988"/>
          <cell r="I4988"/>
          <cell r="J4988"/>
          <cell r="L4988"/>
        </row>
        <row r="4989">
          <cell r="A4989"/>
          <cell r="D4989"/>
          <cell r="E4989"/>
          <cell r="F4989"/>
          <cell r="G4989"/>
          <cell r="H4989"/>
          <cell r="I4989"/>
          <cell r="J4989"/>
          <cell r="L4989"/>
        </row>
        <row r="4990">
          <cell r="A4990"/>
          <cell r="D4990"/>
          <cell r="E4990"/>
          <cell r="F4990"/>
          <cell r="G4990"/>
          <cell r="H4990"/>
          <cell r="I4990"/>
          <cell r="J4990"/>
          <cell r="L4990"/>
        </row>
        <row r="4991">
          <cell r="A4991"/>
          <cell r="D4991"/>
          <cell r="E4991"/>
          <cell r="F4991"/>
          <cell r="G4991"/>
          <cell r="H4991"/>
          <cell r="I4991"/>
          <cell r="J4991"/>
          <cell r="L4991"/>
        </row>
        <row r="4992">
          <cell r="A4992"/>
          <cell r="D4992"/>
          <cell r="E4992"/>
          <cell r="F4992"/>
          <cell r="G4992"/>
          <cell r="H4992"/>
          <cell r="I4992"/>
          <cell r="J4992"/>
          <cell r="L4992"/>
        </row>
        <row r="4993">
          <cell r="A4993"/>
          <cell r="D4993"/>
          <cell r="E4993"/>
          <cell r="F4993"/>
          <cell r="G4993"/>
          <cell r="H4993"/>
          <cell r="I4993"/>
          <cell r="J4993"/>
          <cell r="L4993"/>
        </row>
        <row r="4994">
          <cell r="A4994"/>
          <cell r="D4994"/>
          <cell r="E4994"/>
          <cell r="F4994"/>
          <cell r="G4994"/>
          <cell r="H4994"/>
          <cell r="I4994"/>
          <cell r="J4994"/>
          <cell r="L4994"/>
        </row>
        <row r="4995">
          <cell r="A4995"/>
          <cell r="D4995"/>
          <cell r="E4995"/>
          <cell r="F4995"/>
          <cell r="G4995"/>
          <cell r="H4995"/>
          <cell r="I4995"/>
          <cell r="J4995"/>
          <cell r="L4995"/>
        </row>
        <row r="4996">
          <cell r="A4996"/>
          <cell r="D4996"/>
          <cell r="E4996"/>
          <cell r="F4996"/>
          <cell r="G4996"/>
          <cell r="H4996"/>
          <cell r="I4996"/>
          <cell r="J4996"/>
          <cell r="L4996"/>
        </row>
        <row r="4997">
          <cell r="A4997"/>
          <cell r="D4997"/>
          <cell r="E4997"/>
          <cell r="F4997"/>
          <cell r="G4997"/>
          <cell r="H4997"/>
          <cell r="I4997"/>
          <cell r="J4997"/>
          <cell r="L4997"/>
        </row>
        <row r="4998">
          <cell r="A4998"/>
          <cell r="D4998"/>
          <cell r="E4998"/>
          <cell r="F4998"/>
          <cell r="G4998"/>
          <cell r="H4998"/>
          <cell r="I4998"/>
          <cell r="J4998"/>
          <cell r="L4998"/>
        </row>
        <row r="4999">
          <cell r="A4999"/>
          <cell r="D4999"/>
          <cell r="E4999"/>
          <cell r="F4999"/>
          <cell r="G4999"/>
          <cell r="H4999"/>
          <cell r="I4999"/>
          <cell r="J4999"/>
          <cell r="L4999"/>
        </row>
        <row r="5000">
          <cell r="A5000"/>
          <cell r="D5000"/>
          <cell r="E5000"/>
          <cell r="F5000"/>
          <cell r="G5000"/>
          <cell r="H5000"/>
          <cell r="I5000"/>
          <cell r="J5000"/>
          <cell r="L5000"/>
        </row>
        <row r="5001">
          <cell r="A5001"/>
          <cell r="D5001"/>
          <cell r="E5001"/>
          <cell r="F5001"/>
          <cell r="G5001"/>
          <cell r="H5001"/>
          <cell r="I5001"/>
          <cell r="J5001"/>
          <cell r="L5001"/>
        </row>
        <row r="5002">
          <cell r="A5002"/>
          <cell r="D5002"/>
          <cell r="E5002"/>
          <cell r="F5002"/>
          <cell r="G5002"/>
          <cell r="H5002"/>
          <cell r="I5002"/>
          <cell r="J5002"/>
          <cell r="L5002"/>
        </row>
        <row r="5003">
          <cell r="A5003"/>
          <cell r="D5003"/>
          <cell r="E5003"/>
          <cell r="F5003"/>
          <cell r="G5003"/>
          <cell r="H5003"/>
          <cell r="I5003"/>
          <cell r="J5003"/>
          <cell r="L5003"/>
        </row>
        <row r="5004">
          <cell r="A5004"/>
          <cell r="D5004"/>
          <cell r="E5004"/>
          <cell r="F5004"/>
          <cell r="G5004"/>
          <cell r="H5004"/>
          <cell r="I5004"/>
          <cell r="J5004"/>
          <cell r="L5004"/>
        </row>
        <row r="5005">
          <cell r="A5005"/>
          <cell r="D5005"/>
          <cell r="E5005"/>
          <cell r="F5005"/>
          <cell r="G5005"/>
          <cell r="H5005"/>
          <cell r="I5005"/>
          <cell r="J5005"/>
          <cell r="L5005"/>
        </row>
        <row r="5006">
          <cell r="A5006"/>
          <cell r="D5006"/>
          <cell r="E5006"/>
          <cell r="F5006"/>
          <cell r="G5006"/>
          <cell r="H5006"/>
          <cell r="I5006"/>
          <cell r="J5006"/>
          <cell r="L5006"/>
        </row>
        <row r="5007">
          <cell r="A5007"/>
          <cell r="D5007"/>
          <cell r="E5007"/>
          <cell r="F5007"/>
          <cell r="G5007"/>
          <cell r="H5007"/>
          <cell r="I5007"/>
          <cell r="J5007"/>
          <cell r="L5007"/>
        </row>
        <row r="5008">
          <cell r="A5008"/>
          <cell r="D5008"/>
          <cell r="E5008"/>
          <cell r="F5008"/>
          <cell r="G5008"/>
          <cell r="H5008"/>
          <cell r="I5008"/>
          <cell r="J5008"/>
          <cell r="L5008"/>
        </row>
        <row r="5009">
          <cell r="A5009"/>
          <cell r="D5009"/>
          <cell r="E5009"/>
          <cell r="F5009"/>
          <cell r="G5009"/>
          <cell r="H5009"/>
          <cell r="I5009"/>
          <cell r="J5009"/>
          <cell r="L5009"/>
        </row>
        <row r="5010">
          <cell r="A5010"/>
          <cell r="D5010"/>
          <cell r="E5010"/>
          <cell r="F5010"/>
          <cell r="G5010"/>
          <cell r="H5010"/>
          <cell r="I5010"/>
          <cell r="J5010"/>
          <cell r="L5010"/>
        </row>
        <row r="5011">
          <cell r="A5011"/>
          <cell r="D5011"/>
          <cell r="E5011"/>
          <cell r="F5011"/>
          <cell r="G5011"/>
          <cell r="H5011"/>
          <cell r="I5011"/>
          <cell r="J5011"/>
          <cell r="L5011"/>
        </row>
        <row r="5012">
          <cell r="A5012"/>
          <cell r="D5012"/>
          <cell r="E5012"/>
          <cell r="F5012"/>
          <cell r="G5012"/>
          <cell r="H5012"/>
          <cell r="I5012"/>
          <cell r="J5012"/>
          <cell r="L5012"/>
        </row>
        <row r="5013">
          <cell r="A5013"/>
          <cell r="D5013"/>
          <cell r="E5013"/>
          <cell r="F5013"/>
          <cell r="G5013"/>
          <cell r="H5013"/>
          <cell r="I5013"/>
          <cell r="J5013"/>
          <cell r="L5013"/>
        </row>
        <row r="5014">
          <cell r="A5014"/>
          <cell r="D5014"/>
          <cell r="E5014"/>
          <cell r="F5014"/>
          <cell r="G5014"/>
          <cell r="H5014"/>
          <cell r="I5014"/>
          <cell r="J5014"/>
          <cell r="L5014"/>
        </row>
        <row r="5015">
          <cell r="A5015"/>
          <cell r="D5015"/>
          <cell r="E5015"/>
          <cell r="F5015"/>
          <cell r="G5015"/>
          <cell r="H5015"/>
          <cell r="I5015"/>
          <cell r="J5015"/>
          <cell r="L5015"/>
        </row>
        <row r="5016">
          <cell r="A5016"/>
          <cell r="D5016"/>
          <cell r="E5016"/>
          <cell r="F5016"/>
          <cell r="G5016"/>
          <cell r="H5016"/>
          <cell r="I5016"/>
          <cell r="J5016"/>
          <cell r="L5016"/>
        </row>
        <row r="5017">
          <cell r="A5017"/>
          <cell r="D5017"/>
          <cell r="E5017"/>
          <cell r="F5017"/>
          <cell r="G5017"/>
          <cell r="H5017"/>
          <cell r="I5017"/>
          <cell r="J5017"/>
          <cell r="L5017"/>
        </row>
        <row r="5018">
          <cell r="A5018"/>
          <cell r="D5018"/>
          <cell r="E5018"/>
          <cell r="F5018"/>
          <cell r="G5018"/>
          <cell r="H5018"/>
          <cell r="I5018"/>
          <cell r="J5018"/>
          <cell r="L5018"/>
        </row>
        <row r="5019">
          <cell r="A5019"/>
          <cell r="D5019"/>
          <cell r="E5019"/>
          <cell r="F5019"/>
          <cell r="G5019"/>
          <cell r="H5019"/>
          <cell r="I5019"/>
          <cell r="J5019"/>
          <cell r="L5019"/>
        </row>
        <row r="5020">
          <cell r="A5020"/>
          <cell r="D5020"/>
          <cell r="E5020"/>
          <cell r="F5020"/>
          <cell r="G5020"/>
          <cell r="H5020"/>
          <cell r="I5020"/>
          <cell r="J5020"/>
          <cell r="L5020"/>
        </row>
        <row r="5021">
          <cell r="A5021"/>
          <cell r="D5021"/>
          <cell r="E5021"/>
          <cell r="F5021"/>
          <cell r="G5021"/>
          <cell r="H5021"/>
          <cell r="I5021"/>
          <cell r="J5021"/>
          <cell r="L5021"/>
        </row>
        <row r="5022">
          <cell r="A5022"/>
          <cell r="D5022"/>
          <cell r="E5022"/>
          <cell r="F5022"/>
          <cell r="G5022"/>
          <cell r="H5022"/>
          <cell r="I5022"/>
          <cell r="J5022"/>
          <cell r="L5022"/>
        </row>
        <row r="5023">
          <cell r="A5023"/>
          <cell r="D5023"/>
          <cell r="E5023"/>
          <cell r="F5023"/>
          <cell r="G5023"/>
          <cell r="H5023"/>
          <cell r="I5023"/>
          <cell r="J5023"/>
          <cell r="L5023"/>
        </row>
        <row r="5024">
          <cell r="A5024"/>
          <cell r="D5024"/>
          <cell r="E5024"/>
          <cell r="F5024"/>
          <cell r="G5024"/>
          <cell r="H5024"/>
          <cell r="I5024"/>
          <cell r="J5024"/>
          <cell r="L5024"/>
        </row>
        <row r="5025">
          <cell r="A5025"/>
          <cell r="D5025"/>
          <cell r="E5025"/>
          <cell r="F5025"/>
          <cell r="G5025"/>
          <cell r="H5025"/>
          <cell r="I5025"/>
          <cell r="J5025"/>
          <cell r="L5025"/>
        </row>
        <row r="5026">
          <cell r="A5026"/>
          <cell r="D5026"/>
          <cell r="E5026"/>
          <cell r="F5026"/>
          <cell r="G5026"/>
          <cell r="H5026"/>
          <cell r="I5026"/>
          <cell r="J5026"/>
          <cell r="L5026"/>
        </row>
        <row r="5027">
          <cell r="A5027"/>
          <cell r="D5027"/>
          <cell r="E5027"/>
          <cell r="F5027"/>
          <cell r="G5027"/>
          <cell r="H5027"/>
          <cell r="I5027"/>
          <cell r="J5027"/>
          <cell r="L5027"/>
        </row>
        <row r="5028">
          <cell r="A5028"/>
          <cell r="D5028"/>
          <cell r="E5028"/>
          <cell r="F5028"/>
          <cell r="G5028"/>
          <cell r="H5028"/>
          <cell r="I5028"/>
          <cell r="J5028"/>
          <cell r="L5028"/>
        </row>
        <row r="5029">
          <cell r="A5029"/>
          <cell r="D5029"/>
          <cell r="E5029"/>
          <cell r="F5029"/>
          <cell r="G5029"/>
          <cell r="H5029"/>
          <cell r="I5029"/>
          <cell r="J5029"/>
          <cell r="L5029"/>
        </row>
        <row r="5030">
          <cell r="A5030"/>
          <cell r="D5030"/>
          <cell r="E5030"/>
          <cell r="F5030"/>
          <cell r="G5030"/>
          <cell r="H5030"/>
          <cell r="I5030"/>
          <cell r="J5030"/>
          <cell r="L5030"/>
        </row>
        <row r="5031">
          <cell r="A5031"/>
          <cell r="D5031"/>
          <cell r="E5031"/>
          <cell r="F5031"/>
          <cell r="G5031"/>
          <cell r="H5031"/>
          <cell r="I5031"/>
          <cell r="J5031"/>
          <cell r="L5031"/>
        </row>
        <row r="5032">
          <cell r="A5032"/>
          <cell r="D5032"/>
          <cell r="E5032"/>
          <cell r="F5032"/>
          <cell r="G5032"/>
          <cell r="H5032"/>
          <cell r="I5032"/>
          <cell r="J5032"/>
          <cell r="L5032"/>
        </row>
        <row r="5033">
          <cell r="A5033"/>
          <cell r="D5033"/>
          <cell r="E5033"/>
          <cell r="F5033"/>
          <cell r="G5033"/>
          <cell r="H5033"/>
          <cell r="I5033"/>
          <cell r="J5033"/>
          <cell r="L5033"/>
        </row>
        <row r="5034">
          <cell r="A5034"/>
          <cell r="D5034"/>
          <cell r="E5034"/>
          <cell r="F5034"/>
          <cell r="G5034"/>
          <cell r="H5034"/>
          <cell r="I5034"/>
          <cell r="J5034"/>
          <cell r="L5034"/>
        </row>
        <row r="5035">
          <cell r="A5035"/>
          <cell r="D5035"/>
          <cell r="E5035"/>
          <cell r="F5035"/>
          <cell r="G5035"/>
          <cell r="H5035"/>
          <cell r="I5035"/>
          <cell r="J5035"/>
          <cell r="L5035"/>
        </row>
        <row r="5036">
          <cell r="A5036"/>
          <cell r="D5036"/>
          <cell r="E5036"/>
          <cell r="F5036"/>
          <cell r="G5036"/>
          <cell r="H5036"/>
          <cell r="I5036"/>
          <cell r="J5036"/>
          <cell r="L5036"/>
        </row>
        <row r="5037">
          <cell r="A5037"/>
          <cell r="D5037"/>
          <cell r="E5037"/>
          <cell r="F5037"/>
          <cell r="G5037"/>
          <cell r="H5037"/>
          <cell r="I5037"/>
          <cell r="J5037"/>
          <cell r="L5037"/>
        </row>
        <row r="5038">
          <cell r="A5038"/>
          <cell r="D5038"/>
          <cell r="E5038"/>
          <cell r="F5038"/>
          <cell r="G5038"/>
          <cell r="H5038"/>
          <cell r="I5038"/>
          <cell r="J5038"/>
          <cell r="L5038"/>
        </row>
        <row r="5039">
          <cell r="A5039"/>
          <cell r="D5039"/>
          <cell r="E5039"/>
          <cell r="F5039"/>
          <cell r="G5039"/>
          <cell r="H5039"/>
          <cell r="I5039"/>
          <cell r="J5039"/>
          <cell r="L5039"/>
        </row>
        <row r="5040">
          <cell r="A5040"/>
          <cell r="D5040"/>
          <cell r="E5040"/>
          <cell r="F5040"/>
          <cell r="G5040"/>
          <cell r="H5040"/>
          <cell r="I5040"/>
          <cell r="J5040"/>
          <cell r="L5040"/>
        </row>
        <row r="5041">
          <cell r="A5041"/>
          <cell r="D5041"/>
          <cell r="E5041"/>
          <cell r="F5041"/>
          <cell r="G5041"/>
          <cell r="H5041"/>
          <cell r="I5041"/>
          <cell r="J5041"/>
          <cell r="L5041"/>
        </row>
        <row r="5042">
          <cell r="A5042"/>
          <cell r="D5042"/>
          <cell r="E5042"/>
          <cell r="F5042"/>
          <cell r="G5042"/>
          <cell r="H5042"/>
          <cell r="I5042"/>
          <cell r="J5042"/>
          <cell r="L5042"/>
        </row>
        <row r="5043">
          <cell r="A5043"/>
          <cell r="D5043"/>
          <cell r="E5043"/>
          <cell r="F5043"/>
          <cell r="G5043"/>
          <cell r="H5043"/>
          <cell r="I5043"/>
          <cell r="J5043"/>
          <cell r="L5043"/>
        </row>
        <row r="5044">
          <cell r="A5044"/>
          <cell r="D5044"/>
          <cell r="E5044"/>
          <cell r="F5044"/>
          <cell r="G5044"/>
          <cell r="H5044"/>
          <cell r="I5044"/>
          <cell r="J5044"/>
          <cell r="L5044"/>
        </row>
        <row r="5045">
          <cell r="A5045"/>
          <cell r="D5045"/>
          <cell r="E5045"/>
          <cell r="F5045"/>
          <cell r="G5045"/>
          <cell r="H5045"/>
          <cell r="I5045"/>
          <cell r="J5045"/>
          <cell r="L5045"/>
        </row>
        <row r="5046">
          <cell r="A5046"/>
          <cell r="D5046"/>
          <cell r="E5046"/>
          <cell r="F5046"/>
          <cell r="G5046"/>
          <cell r="H5046"/>
          <cell r="I5046"/>
          <cell r="J5046"/>
          <cell r="L5046"/>
        </row>
        <row r="5047">
          <cell r="A5047"/>
          <cell r="D5047"/>
          <cell r="E5047"/>
          <cell r="F5047"/>
          <cell r="G5047"/>
          <cell r="H5047"/>
          <cell r="I5047"/>
          <cell r="J5047"/>
          <cell r="L5047"/>
        </row>
        <row r="5048">
          <cell r="A5048"/>
          <cell r="D5048"/>
          <cell r="E5048"/>
          <cell r="F5048"/>
          <cell r="G5048"/>
          <cell r="H5048"/>
          <cell r="I5048"/>
          <cell r="J5048"/>
          <cell r="L5048"/>
        </row>
        <row r="5049">
          <cell r="A5049"/>
          <cell r="D5049"/>
          <cell r="E5049"/>
          <cell r="F5049"/>
          <cell r="G5049"/>
          <cell r="H5049"/>
          <cell r="I5049"/>
          <cell r="J5049"/>
          <cell r="L5049"/>
        </row>
        <row r="5050">
          <cell r="A5050"/>
          <cell r="D5050"/>
          <cell r="E5050"/>
          <cell r="F5050"/>
          <cell r="G5050"/>
          <cell r="H5050"/>
          <cell r="I5050"/>
          <cell r="J5050"/>
          <cell r="L5050"/>
        </row>
        <row r="5051">
          <cell r="A5051"/>
          <cell r="D5051"/>
          <cell r="E5051"/>
          <cell r="F5051"/>
          <cell r="G5051"/>
          <cell r="H5051"/>
          <cell r="I5051"/>
          <cell r="J5051"/>
          <cell r="L5051"/>
        </row>
        <row r="5052">
          <cell r="A5052"/>
          <cell r="D5052"/>
          <cell r="E5052"/>
          <cell r="F5052"/>
          <cell r="G5052"/>
          <cell r="H5052"/>
          <cell r="I5052"/>
          <cell r="J5052"/>
          <cell r="L5052"/>
        </row>
        <row r="5053">
          <cell r="A5053"/>
          <cell r="D5053"/>
          <cell r="E5053"/>
          <cell r="F5053"/>
          <cell r="G5053"/>
          <cell r="H5053"/>
          <cell r="I5053"/>
          <cell r="J5053"/>
          <cell r="L5053"/>
        </row>
        <row r="5054">
          <cell r="A5054"/>
          <cell r="D5054"/>
          <cell r="E5054"/>
          <cell r="F5054"/>
          <cell r="G5054"/>
          <cell r="H5054"/>
          <cell r="I5054"/>
          <cell r="J5054"/>
          <cell r="L5054"/>
        </row>
        <row r="5055">
          <cell r="A5055"/>
          <cell r="D5055"/>
          <cell r="E5055"/>
          <cell r="F5055"/>
          <cell r="G5055"/>
          <cell r="H5055"/>
          <cell r="I5055"/>
          <cell r="J5055"/>
          <cell r="L5055"/>
        </row>
        <row r="5056">
          <cell r="A5056"/>
          <cell r="D5056"/>
          <cell r="E5056"/>
          <cell r="F5056"/>
          <cell r="G5056"/>
          <cell r="H5056"/>
          <cell r="I5056"/>
          <cell r="J5056"/>
          <cell r="L5056"/>
        </row>
        <row r="5057">
          <cell r="A5057"/>
          <cell r="D5057"/>
          <cell r="E5057"/>
          <cell r="F5057"/>
          <cell r="G5057"/>
          <cell r="H5057"/>
          <cell r="I5057"/>
          <cell r="J5057"/>
          <cell r="L5057"/>
        </row>
        <row r="5058">
          <cell r="A5058"/>
          <cell r="D5058"/>
          <cell r="E5058"/>
          <cell r="F5058"/>
          <cell r="G5058"/>
          <cell r="H5058"/>
          <cell r="I5058"/>
          <cell r="J5058"/>
          <cell r="L5058"/>
        </row>
        <row r="5059">
          <cell r="A5059"/>
          <cell r="D5059"/>
          <cell r="E5059"/>
          <cell r="F5059"/>
          <cell r="G5059"/>
          <cell r="H5059"/>
          <cell r="I5059"/>
          <cell r="J5059"/>
          <cell r="L5059"/>
        </row>
        <row r="5060">
          <cell r="A5060"/>
          <cell r="D5060"/>
          <cell r="E5060"/>
          <cell r="F5060"/>
          <cell r="G5060"/>
          <cell r="H5060"/>
          <cell r="I5060"/>
          <cell r="J5060"/>
          <cell r="L5060"/>
        </row>
        <row r="5061">
          <cell r="A5061"/>
          <cell r="D5061"/>
          <cell r="E5061"/>
          <cell r="F5061"/>
          <cell r="G5061"/>
          <cell r="H5061"/>
          <cell r="I5061"/>
          <cell r="J5061"/>
          <cell r="L5061"/>
        </row>
        <row r="5062">
          <cell r="A5062"/>
          <cell r="D5062"/>
          <cell r="E5062"/>
          <cell r="F5062"/>
          <cell r="G5062"/>
          <cell r="H5062"/>
          <cell r="I5062"/>
          <cell r="J5062"/>
          <cell r="L5062"/>
        </row>
        <row r="5063">
          <cell r="A5063"/>
          <cell r="D5063"/>
          <cell r="E5063"/>
          <cell r="F5063"/>
          <cell r="G5063"/>
          <cell r="H5063"/>
          <cell r="I5063"/>
          <cell r="J5063"/>
          <cell r="L5063"/>
        </row>
        <row r="5064">
          <cell r="A5064"/>
          <cell r="D5064"/>
          <cell r="E5064"/>
          <cell r="F5064"/>
          <cell r="G5064"/>
          <cell r="H5064"/>
          <cell r="I5064"/>
          <cell r="J5064"/>
          <cell r="L5064"/>
        </row>
        <row r="5065">
          <cell r="A5065"/>
          <cell r="D5065"/>
          <cell r="E5065"/>
          <cell r="F5065"/>
          <cell r="G5065"/>
          <cell r="H5065"/>
          <cell r="I5065"/>
          <cell r="J5065"/>
          <cell r="L5065"/>
        </row>
        <row r="5066">
          <cell r="A5066"/>
          <cell r="D5066"/>
          <cell r="E5066"/>
          <cell r="F5066"/>
          <cell r="G5066"/>
          <cell r="H5066"/>
          <cell r="I5066"/>
          <cell r="J5066"/>
          <cell r="L5066"/>
        </row>
        <row r="5067">
          <cell r="A5067"/>
          <cell r="D5067"/>
          <cell r="E5067"/>
          <cell r="F5067"/>
          <cell r="G5067"/>
          <cell r="H5067"/>
          <cell r="I5067"/>
          <cell r="J5067"/>
          <cell r="L5067"/>
        </row>
        <row r="5068">
          <cell r="A5068"/>
          <cell r="D5068"/>
          <cell r="E5068"/>
          <cell r="F5068"/>
          <cell r="G5068"/>
          <cell r="H5068"/>
          <cell r="I5068"/>
          <cell r="J5068"/>
          <cell r="L5068"/>
        </row>
        <row r="5069">
          <cell r="A5069"/>
          <cell r="D5069"/>
          <cell r="E5069"/>
          <cell r="F5069"/>
          <cell r="G5069"/>
          <cell r="H5069"/>
          <cell r="I5069"/>
          <cell r="J5069"/>
          <cell r="L5069"/>
        </row>
        <row r="5070">
          <cell r="A5070"/>
          <cell r="D5070"/>
          <cell r="E5070"/>
          <cell r="F5070"/>
          <cell r="G5070"/>
          <cell r="H5070"/>
          <cell r="I5070"/>
          <cell r="J5070"/>
          <cell r="L5070"/>
        </row>
        <row r="5071">
          <cell r="A5071"/>
          <cell r="D5071"/>
          <cell r="E5071"/>
          <cell r="F5071"/>
          <cell r="G5071"/>
          <cell r="H5071"/>
          <cell r="I5071"/>
          <cell r="J5071"/>
          <cell r="L5071"/>
        </row>
        <row r="5072">
          <cell r="A5072"/>
          <cell r="D5072"/>
          <cell r="E5072"/>
          <cell r="F5072"/>
          <cell r="G5072"/>
          <cell r="H5072"/>
          <cell r="I5072"/>
          <cell r="J5072"/>
          <cell r="L5072"/>
        </row>
        <row r="5073">
          <cell r="A5073"/>
          <cell r="D5073"/>
          <cell r="E5073"/>
          <cell r="F5073"/>
          <cell r="G5073"/>
          <cell r="H5073"/>
          <cell r="I5073"/>
          <cell r="J5073"/>
          <cell r="L5073"/>
        </row>
        <row r="5074">
          <cell r="A5074"/>
          <cell r="D5074"/>
          <cell r="E5074"/>
          <cell r="F5074"/>
          <cell r="G5074"/>
          <cell r="H5074"/>
          <cell r="I5074"/>
          <cell r="J5074"/>
          <cell r="L5074"/>
        </row>
        <row r="5075">
          <cell r="A5075"/>
          <cell r="D5075"/>
          <cell r="E5075"/>
          <cell r="F5075"/>
          <cell r="G5075"/>
          <cell r="H5075"/>
          <cell r="I5075"/>
          <cell r="J5075"/>
          <cell r="L5075"/>
        </row>
        <row r="5076">
          <cell r="A5076"/>
          <cell r="D5076"/>
          <cell r="E5076"/>
          <cell r="F5076"/>
          <cell r="G5076"/>
          <cell r="H5076"/>
          <cell r="I5076"/>
          <cell r="J5076"/>
          <cell r="L5076"/>
        </row>
        <row r="5077">
          <cell r="A5077"/>
          <cell r="D5077"/>
          <cell r="E5077"/>
          <cell r="F5077"/>
          <cell r="G5077"/>
          <cell r="H5077"/>
          <cell r="I5077"/>
          <cell r="J5077"/>
          <cell r="L5077"/>
        </row>
        <row r="5078">
          <cell r="A5078"/>
          <cell r="D5078"/>
          <cell r="E5078"/>
          <cell r="F5078"/>
          <cell r="G5078"/>
          <cell r="H5078"/>
          <cell r="I5078"/>
          <cell r="J5078"/>
          <cell r="L5078"/>
        </row>
        <row r="5079">
          <cell r="A5079"/>
          <cell r="D5079"/>
          <cell r="E5079"/>
          <cell r="F5079"/>
          <cell r="G5079"/>
          <cell r="H5079"/>
          <cell r="I5079"/>
          <cell r="J5079"/>
          <cell r="L5079"/>
        </row>
        <row r="5080">
          <cell r="A5080"/>
          <cell r="D5080"/>
          <cell r="E5080"/>
          <cell r="F5080"/>
          <cell r="G5080"/>
          <cell r="H5080"/>
          <cell r="I5080"/>
          <cell r="J5080"/>
          <cell r="L5080"/>
        </row>
        <row r="5081">
          <cell r="A5081"/>
          <cell r="D5081"/>
          <cell r="E5081"/>
          <cell r="F5081"/>
          <cell r="G5081"/>
          <cell r="H5081"/>
          <cell r="I5081"/>
          <cell r="J5081"/>
          <cell r="L5081"/>
        </row>
        <row r="5082">
          <cell r="A5082"/>
          <cell r="D5082"/>
          <cell r="E5082"/>
          <cell r="F5082"/>
          <cell r="G5082"/>
          <cell r="H5082"/>
          <cell r="I5082"/>
          <cell r="J5082"/>
          <cell r="L5082"/>
        </row>
        <row r="5083">
          <cell r="A5083"/>
          <cell r="D5083"/>
          <cell r="E5083"/>
          <cell r="F5083"/>
          <cell r="G5083"/>
          <cell r="H5083"/>
          <cell r="I5083"/>
          <cell r="J5083"/>
          <cell r="L5083"/>
        </row>
        <row r="5084">
          <cell r="A5084"/>
          <cell r="D5084"/>
          <cell r="E5084"/>
          <cell r="F5084"/>
          <cell r="G5084"/>
          <cell r="H5084"/>
          <cell r="I5084"/>
          <cell r="J5084"/>
          <cell r="L5084"/>
        </row>
        <row r="5085">
          <cell r="A5085"/>
          <cell r="D5085"/>
          <cell r="E5085"/>
          <cell r="F5085"/>
          <cell r="G5085"/>
          <cell r="H5085"/>
          <cell r="I5085"/>
          <cell r="J5085"/>
          <cell r="L5085"/>
        </row>
        <row r="5086">
          <cell r="A5086"/>
          <cell r="D5086"/>
          <cell r="E5086"/>
          <cell r="F5086"/>
          <cell r="G5086"/>
          <cell r="H5086"/>
          <cell r="I5086"/>
          <cell r="J5086"/>
          <cell r="L5086"/>
        </row>
        <row r="5087">
          <cell r="A5087"/>
          <cell r="D5087"/>
          <cell r="E5087"/>
          <cell r="F5087"/>
          <cell r="G5087"/>
          <cell r="H5087"/>
          <cell r="I5087"/>
          <cell r="J5087"/>
          <cell r="L5087"/>
        </row>
        <row r="5088">
          <cell r="A5088"/>
          <cell r="D5088"/>
          <cell r="E5088"/>
          <cell r="F5088"/>
          <cell r="G5088"/>
          <cell r="H5088"/>
          <cell r="I5088"/>
          <cell r="J5088"/>
          <cell r="L5088"/>
        </row>
        <row r="5089">
          <cell r="A5089"/>
          <cell r="D5089"/>
          <cell r="E5089"/>
          <cell r="F5089"/>
          <cell r="G5089"/>
          <cell r="H5089"/>
          <cell r="I5089"/>
          <cell r="J5089"/>
          <cell r="L5089"/>
        </row>
        <row r="5090">
          <cell r="A5090"/>
          <cell r="D5090"/>
          <cell r="E5090"/>
          <cell r="F5090"/>
          <cell r="G5090"/>
          <cell r="H5090"/>
          <cell r="I5090"/>
          <cell r="J5090"/>
          <cell r="L5090"/>
        </row>
        <row r="5091">
          <cell r="A5091"/>
          <cell r="D5091"/>
          <cell r="E5091"/>
          <cell r="F5091"/>
          <cell r="G5091"/>
          <cell r="H5091"/>
          <cell r="I5091"/>
          <cell r="J5091"/>
          <cell r="L5091"/>
        </row>
        <row r="5092">
          <cell r="A5092"/>
          <cell r="D5092"/>
          <cell r="E5092"/>
          <cell r="F5092"/>
          <cell r="G5092"/>
          <cell r="H5092"/>
          <cell r="I5092"/>
          <cell r="J5092"/>
          <cell r="L5092"/>
        </row>
        <row r="5093">
          <cell r="A5093"/>
          <cell r="D5093"/>
          <cell r="E5093"/>
          <cell r="F5093"/>
          <cell r="G5093"/>
          <cell r="H5093"/>
          <cell r="I5093"/>
          <cell r="J5093"/>
          <cell r="L5093"/>
        </row>
        <row r="5094">
          <cell r="A5094"/>
          <cell r="D5094"/>
          <cell r="E5094"/>
          <cell r="F5094"/>
          <cell r="G5094"/>
          <cell r="H5094"/>
          <cell r="I5094"/>
          <cell r="J5094"/>
          <cell r="L5094"/>
        </row>
        <row r="5095">
          <cell r="A5095"/>
          <cell r="D5095"/>
          <cell r="E5095"/>
          <cell r="F5095"/>
          <cell r="G5095"/>
          <cell r="H5095"/>
          <cell r="I5095"/>
          <cell r="J5095"/>
          <cell r="L5095"/>
        </row>
        <row r="5096">
          <cell r="A5096"/>
          <cell r="D5096"/>
          <cell r="E5096"/>
          <cell r="F5096"/>
          <cell r="G5096"/>
          <cell r="H5096"/>
          <cell r="I5096"/>
          <cell r="J5096"/>
          <cell r="L5096"/>
        </row>
        <row r="5097">
          <cell r="A5097"/>
          <cell r="D5097"/>
          <cell r="E5097"/>
          <cell r="F5097"/>
          <cell r="G5097"/>
          <cell r="H5097"/>
          <cell r="I5097"/>
          <cell r="J5097"/>
          <cell r="L5097"/>
        </row>
        <row r="5098">
          <cell r="A5098"/>
          <cell r="D5098"/>
          <cell r="E5098"/>
          <cell r="F5098"/>
          <cell r="G5098"/>
          <cell r="H5098"/>
          <cell r="I5098"/>
          <cell r="J5098"/>
          <cell r="L5098"/>
        </row>
        <row r="5099">
          <cell r="A5099"/>
          <cell r="D5099"/>
          <cell r="E5099"/>
          <cell r="F5099"/>
          <cell r="G5099"/>
          <cell r="H5099"/>
          <cell r="I5099"/>
          <cell r="J5099"/>
          <cell r="L5099"/>
        </row>
        <row r="5100">
          <cell r="A5100"/>
          <cell r="D5100"/>
          <cell r="E5100"/>
          <cell r="F5100"/>
          <cell r="G5100"/>
          <cell r="H5100"/>
          <cell r="I5100"/>
          <cell r="J5100"/>
          <cell r="L5100"/>
        </row>
        <row r="5101">
          <cell r="A5101"/>
          <cell r="D5101"/>
          <cell r="E5101"/>
          <cell r="F5101"/>
          <cell r="G5101"/>
          <cell r="H5101"/>
          <cell r="I5101"/>
          <cell r="J5101"/>
          <cell r="L5101"/>
        </row>
        <row r="5102">
          <cell r="A5102"/>
          <cell r="D5102"/>
          <cell r="E5102"/>
          <cell r="F5102"/>
          <cell r="G5102"/>
          <cell r="H5102"/>
          <cell r="I5102"/>
          <cell r="J5102"/>
          <cell r="L5102"/>
        </row>
        <row r="5103">
          <cell r="A5103"/>
          <cell r="D5103"/>
          <cell r="E5103"/>
          <cell r="F5103"/>
          <cell r="G5103"/>
          <cell r="H5103"/>
          <cell r="I5103"/>
          <cell r="J5103"/>
          <cell r="L5103"/>
        </row>
        <row r="5104">
          <cell r="A5104"/>
          <cell r="D5104"/>
          <cell r="E5104"/>
          <cell r="F5104"/>
          <cell r="G5104"/>
          <cell r="H5104"/>
          <cell r="I5104"/>
          <cell r="J5104"/>
          <cell r="L5104"/>
        </row>
        <row r="5105">
          <cell r="A5105"/>
          <cell r="D5105"/>
          <cell r="E5105"/>
          <cell r="F5105"/>
          <cell r="G5105"/>
          <cell r="H5105"/>
          <cell r="I5105"/>
          <cell r="J5105"/>
          <cell r="L5105"/>
        </row>
        <row r="5106">
          <cell r="A5106"/>
          <cell r="D5106"/>
          <cell r="E5106"/>
          <cell r="F5106"/>
          <cell r="G5106"/>
          <cell r="H5106"/>
          <cell r="I5106"/>
          <cell r="J5106"/>
          <cell r="L5106"/>
        </row>
        <row r="5107">
          <cell r="A5107"/>
          <cell r="D5107"/>
          <cell r="E5107"/>
          <cell r="F5107"/>
          <cell r="G5107"/>
          <cell r="H5107"/>
          <cell r="I5107"/>
          <cell r="J5107"/>
          <cell r="L5107"/>
        </row>
        <row r="5108">
          <cell r="A5108"/>
          <cell r="D5108"/>
          <cell r="E5108"/>
          <cell r="F5108"/>
          <cell r="G5108"/>
          <cell r="H5108"/>
          <cell r="I5108"/>
          <cell r="J5108"/>
          <cell r="L5108"/>
        </row>
        <row r="5109">
          <cell r="A5109"/>
          <cell r="D5109"/>
          <cell r="E5109"/>
          <cell r="F5109"/>
          <cell r="G5109"/>
          <cell r="H5109"/>
          <cell r="I5109"/>
          <cell r="J5109"/>
          <cell r="L5109"/>
        </row>
        <row r="5110">
          <cell r="A5110"/>
          <cell r="D5110"/>
          <cell r="E5110"/>
          <cell r="F5110"/>
          <cell r="G5110"/>
          <cell r="H5110"/>
          <cell r="I5110"/>
          <cell r="J5110"/>
          <cell r="L5110"/>
        </row>
        <row r="5111">
          <cell r="A5111"/>
          <cell r="D5111"/>
          <cell r="E5111"/>
          <cell r="F5111"/>
          <cell r="G5111"/>
          <cell r="H5111"/>
          <cell r="I5111"/>
          <cell r="J5111"/>
          <cell r="L5111"/>
        </row>
        <row r="5112">
          <cell r="A5112"/>
          <cell r="D5112"/>
          <cell r="E5112"/>
          <cell r="F5112"/>
          <cell r="G5112"/>
          <cell r="H5112"/>
          <cell r="I5112"/>
          <cell r="J5112"/>
          <cell r="L5112"/>
        </row>
        <row r="5113">
          <cell r="A5113"/>
          <cell r="D5113"/>
          <cell r="E5113"/>
          <cell r="F5113"/>
          <cell r="G5113"/>
          <cell r="H5113"/>
          <cell r="I5113"/>
          <cell r="J5113"/>
          <cell r="L5113"/>
        </row>
        <row r="5114">
          <cell r="A5114"/>
          <cell r="D5114"/>
          <cell r="E5114"/>
          <cell r="F5114"/>
          <cell r="G5114"/>
          <cell r="H5114"/>
          <cell r="I5114"/>
          <cell r="J5114"/>
          <cell r="L5114"/>
        </row>
        <row r="5115">
          <cell r="A5115"/>
          <cell r="D5115"/>
          <cell r="E5115"/>
          <cell r="F5115"/>
          <cell r="G5115"/>
          <cell r="H5115"/>
          <cell r="I5115"/>
          <cell r="J5115"/>
          <cell r="L5115"/>
        </row>
        <row r="5116">
          <cell r="A5116"/>
          <cell r="D5116"/>
          <cell r="E5116"/>
          <cell r="F5116"/>
          <cell r="G5116"/>
          <cell r="H5116"/>
          <cell r="I5116"/>
          <cell r="J5116"/>
          <cell r="L5116"/>
        </row>
        <row r="5117">
          <cell r="A5117"/>
          <cell r="D5117"/>
          <cell r="E5117"/>
          <cell r="F5117"/>
          <cell r="G5117"/>
          <cell r="H5117"/>
          <cell r="I5117"/>
          <cell r="J5117"/>
          <cell r="L5117"/>
        </row>
        <row r="5118">
          <cell r="A5118"/>
          <cell r="D5118"/>
          <cell r="E5118"/>
          <cell r="F5118"/>
          <cell r="G5118"/>
          <cell r="H5118"/>
          <cell r="I5118"/>
          <cell r="J5118"/>
          <cell r="L5118"/>
        </row>
        <row r="5119">
          <cell r="A5119"/>
          <cell r="D5119"/>
          <cell r="E5119"/>
          <cell r="F5119"/>
          <cell r="G5119"/>
          <cell r="H5119"/>
          <cell r="I5119"/>
          <cell r="J5119"/>
          <cell r="L5119"/>
        </row>
        <row r="5120">
          <cell r="A5120"/>
          <cell r="D5120"/>
          <cell r="E5120"/>
          <cell r="F5120"/>
          <cell r="G5120"/>
          <cell r="H5120"/>
          <cell r="I5120"/>
          <cell r="J5120"/>
          <cell r="L5120"/>
        </row>
        <row r="5121">
          <cell r="A5121"/>
          <cell r="D5121"/>
          <cell r="E5121"/>
          <cell r="F5121"/>
          <cell r="G5121"/>
          <cell r="H5121"/>
          <cell r="I5121"/>
          <cell r="J5121"/>
          <cell r="L5121"/>
        </row>
        <row r="5122">
          <cell r="A5122"/>
          <cell r="D5122"/>
          <cell r="E5122"/>
          <cell r="F5122"/>
          <cell r="G5122"/>
          <cell r="H5122"/>
          <cell r="I5122"/>
          <cell r="J5122"/>
          <cell r="L5122"/>
        </row>
        <row r="5123">
          <cell r="A5123"/>
          <cell r="D5123"/>
          <cell r="E5123"/>
          <cell r="F5123"/>
          <cell r="G5123"/>
          <cell r="H5123"/>
          <cell r="I5123"/>
          <cell r="J5123"/>
          <cell r="L5123"/>
        </row>
        <row r="5124">
          <cell r="A5124"/>
          <cell r="D5124"/>
          <cell r="E5124"/>
          <cell r="F5124"/>
          <cell r="G5124"/>
          <cell r="H5124"/>
          <cell r="I5124"/>
          <cell r="J5124"/>
          <cell r="L5124"/>
        </row>
        <row r="5125">
          <cell r="A5125"/>
          <cell r="D5125"/>
          <cell r="E5125"/>
          <cell r="F5125"/>
          <cell r="G5125"/>
          <cell r="H5125"/>
          <cell r="I5125"/>
          <cell r="J5125"/>
          <cell r="L5125"/>
        </row>
        <row r="5126">
          <cell r="A5126"/>
          <cell r="D5126"/>
          <cell r="E5126"/>
          <cell r="F5126"/>
          <cell r="G5126"/>
          <cell r="H5126"/>
          <cell r="I5126"/>
          <cell r="J5126"/>
          <cell r="L5126"/>
        </row>
        <row r="5127">
          <cell r="A5127"/>
          <cell r="D5127"/>
          <cell r="E5127"/>
          <cell r="F5127"/>
          <cell r="G5127"/>
          <cell r="H5127"/>
          <cell r="I5127"/>
          <cell r="J5127"/>
          <cell r="L5127"/>
        </row>
        <row r="5128">
          <cell r="A5128"/>
          <cell r="D5128"/>
          <cell r="E5128"/>
          <cell r="F5128"/>
          <cell r="G5128"/>
          <cell r="H5128"/>
          <cell r="I5128"/>
          <cell r="J5128"/>
          <cell r="L5128"/>
        </row>
        <row r="5129">
          <cell r="A5129"/>
          <cell r="D5129"/>
          <cell r="E5129"/>
          <cell r="F5129"/>
          <cell r="G5129"/>
          <cell r="H5129"/>
          <cell r="I5129"/>
          <cell r="J5129"/>
          <cell r="L5129"/>
        </row>
        <row r="5130">
          <cell r="A5130"/>
          <cell r="D5130"/>
          <cell r="E5130"/>
          <cell r="F5130"/>
          <cell r="G5130"/>
          <cell r="H5130"/>
          <cell r="I5130"/>
          <cell r="J5130"/>
          <cell r="L5130"/>
        </row>
        <row r="5131">
          <cell r="A5131"/>
          <cell r="D5131"/>
          <cell r="E5131"/>
          <cell r="F5131"/>
          <cell r="G5131"/>
          <cell r="H5131"/>
          <cell r="I5131"/>
          <cell r="J5131"/>
          <cell r="L5131"/>
        </row>
        <row r="5132">
          <cell r="A5132"/>
          <cell r="D5132"/>
          <cell r="E5132"/>
          <cell r="F5132"/>
          <cell r="G5132"/>
          <cell r="H5132"/>
          <cell r="I5132"/>
          <cell r="J5132"/>
          <cell r="L5132"/>
        </row>
        <row r="5133">
          <cell r="A5133"/>
          <cell r="D5133"/>
          <cell r="E5133"/>
          <cell r="F5133"/>
          <cell r="G5133"/>
          <cell r="H5133"/>
          <cell r="I5133"/>
          <cell r="J5133"/>
          <cell r="L5133"/>
        </row>
        <row r="5134">
          <cell r="A5134"/>
          <cell r="D5134"/>
          <cell r="E5134"/>
          <cell r="F5134"/>
          <cell r="G5134"/>
          <cell r="H5134"/>
          <cell r="I5134"/>
          <cell r="J5134"/>
          <cell r="L5134"/>
        </row>
        <row r="5135">
          <cell r="A5135"/>
          <cell r="D5135"/>
          <cell r="E5135"/>
          <cell r="F5135"/>
          <cell r="G5135"/>
          <cell r="H5135"/>
          <cell r="I5135"/>
          <cell r="J5135"/>
          <cell r="L5135"/>
        </row>
        <row r="5136">
          <cell r="A5136"/>
          <cell r="D5136"/>
          <cell r="E5136"/>
          <cell r="F5136"/>
          <cell r="G5136"/>
          <cell r="H5136"/>
          <cell r="I5136"/>
          <cell r="J5136"/>
          <cell r="L5136"/>
        </row>
        <row r="5137">
          <cell r="A5137"/>
          <cell r="D5137"/>
          <cell r="E5137"/>
          <cell r="F5137"/>
          <cell r="G5137"/>
          <cell r="H5137"/>
          <cell r="I5137"/>
          <cell r="J5137"/>
          <cell r="L5137"/>
        </row>
        <row r="5138">
          <cell r="A5138"/>
          <cell r="D5138"/>
          <cell r="E5138"/>
          <cell r="F5138"/>
          <cell r="G5138"/>
          <cell r="H5138"/>
          <cell r="I5138"/>
          <cell r="J5138"/>
          <cell r="L5138"/>
        </row>
        <row r="5139">
          <cell r="A5139"/>
          <cell r="D5139"/>
          <cell r="E5139"/>
          <cell r="F5139"/>
          <cell r="G5139"/>
          <cell r="H5139"/>
          <cell r="I5139"/>
          <cell r="J5139"/>
          <cell r="L5139"/>
        </row>
        <row r="5140">
          <cell r="A5140"/>
          <cell r="D5140"/>
          <cell r="E5140"/>
          <cell r="F5140"/>
          <cell r="G5140"/>
          <cell r="H5140"/>
          <cell r="I5140"/>
          <cell r="J5140"/>
          <cell r="L5140"/>
        </row>
        <row r="5141">
          <cell r="A5141"/>
          <cell r="D5141"/>
          <cell r="E5141"/>
          <cell r="F5141"/>
          <cell r="G5141"/>
          <cell r="H5141"/>
          <cell r="I5141"/>
          <cell r="J5141"/>
          <cell r="L5141"/>
        </row>
        <row r="5142">
          <cell r="A5142"/>
          <cell r="D5142"/>
          <cell r="E5142"/>
          <cell r="F5142"/>
          <cell r="G5142"/>
          <cell r="H5142"/>
          <cell r="I5142"/>
          <cell r="J5142"/>
          <cell r="L5142"/>
        </row>
        <row r="5143">
          <cell r="A5143"/>
          <cell r="D5143"/>
          <cell r="E5143"/>
          <cell r="F5143"/>
          <cell r="G5143"/>
          <cell r="H5143"/>
          <cell r="I5143"/>
          <cell r="J5143"/>
          <cell r="L5143"/>
        </row>
        <row r="5144">
          <cell r="A5144"/>
          <cell r="D5144"/>
          <cell r="E5144"/>
          <cell r="F5144"/>
          <cell r="G5144"/>
          <cell r="H5144"/>
          <cell r="I5144"/>
          <cell r="J5144"/>
          <cell r="L5144"/>
        </row>
        <row r="5145">
          <cell r="A5145"/>
          <cell r="D5145"/>
          <cell r="E5145"/>
          <cell r="F5145"/>
          <cell r="G5145"/>
          <cell r="H5145"/>
          <cell r="I5145"/>
          <cell r="J5145"/>
          <cell r="L5145"/>
        </row>
        <row r="5146">
          <cell r="A5146"/>
          <cell r="D5146"/>
          <cell r="E5146"/>
          <cell r="F5146"/>
          <cell r="G5146"/>
          <cell r="H5146"/>
          <cell r="I5146"/>
          <cell r="J5146"/>
          <cell r="L5146"/>
        </row>
        <row r="5147">
          <cell r="A5147"/>
          <cell r="D5147"/>
          <cell r="E5147"/>
          <cell r="F5147"/>
          <cell r="G5147"/>
          <cell r="H5147"/>
          <cell r="I5147"/>
          <cell r="J5147"/>
          <cell r="L5147"/>
        </row>
        <row r="5148">
          <cell r="A5148"/>
          <cell r="D5148"/>
          <cell r="E5148"/>
          <cell r="F5148"/>
          <cell r="G5148"/>
          <cell r="H5148"/>
          <cell r="I5148"/>
          <cell r="J5148"/>
          <cell r="L5148"/>
        </row>
        <row r="5149">
          <cell r="A5149"/>
          <cell r="D5149"/>
          <cell r="E5149"/>
          <cell r="F5149"/>
          <cell r="G5149"/>
          <cell r="H5149"/>
          <cell r="I5149"/>
          <cell r="J5149"/>
          <cell r="L5149"/>
        </row>
        <row r="5150">
          <cell r="A5150"/>
          <cell r="D5150"/>
          <cell r="E5150"/>
          <cell r="F5150"/>
          <cell r="G5150"/>
          <cell r="H5150"/>
          <cell r="I5150"/>
          <cell r="J5150"/>
          <cell r="L5150"/>
        </row>
        <row r="5151">
          <cell r="A5151"/>
          <cell r="D5151"/>
          <cell r="E5151"/>
          <cell r="F5151"/>
          <cell r="G5151"/>
          <cell r="H5151"/>
          <cell r="I5151"/>
          <cell r="J5151"/>
          <cell r="L5151"/>
        </row>
        <row r="5152">
          <cell r="A5152"/>
          <cell r="D5152"/>
          <cell r="E5152"/>
          <cell r="F5152"/>
          <cell r="G5152"/>
          <cell r="H5152"/>
          <cell r="I5152"/>
          <cell r="J5152"/>
          <cell r="L5152"/>
        </row>
        <row r="5153">
          <cell r="A5153"/>
          <cell r="D5153"/>
          <cell r="E5153"/>
          <cell r="F5153"/>
          <cell r="G5153"/>
          <cell r="H5153"/>
          <cell r="I5153"/>
          <cell r="J5153"/>
          <cell r="L5153"/>
        </row>
        <row r="5154">
          <cell r="A5154"/>
          <cell r="D5154"/>
          <cell r="E5154"/>
          <cell r="F5154"/>
          <cell r="G5154"/>
          <cell r="H5154"/>
          <cell r="I5154"/>
          <cell r="J5154"/>
          <cell r="L5154"/>
        </row>
        <row r="5155">
          <cell r="A5155"/>
          <cell r="D5155"/>
          <cell r="E5155"/>
          <cell r="F5155"/>
          <cell r="G5155"/>
          <cell r="H5155"/>
          <cell r="I5155"/>
          <cell r="J5155"/>
          <cell r="L5155"/>
        </row>
        <row r="5156">
          <cell r="A5156"/>
          <cell r="D5156"/>
          <cell r="E5156"/>
          <cell r="F5156"/>
          <cell r="G5156"/>
          <cell r="H5156"/>
          <cell r="I5156"/>
          <cell r="J5156"/>
          <cell r="L5156"/>
        </row>
        <row r="5157">
          <cell r="A5157"/>
          <cell r="D5157"/>
          <cell r="E5157"/>
          <cell r="F5157"/>
          <cell r="G5157"/>
          <cell r="H5157"/>
          <cell r="I5157"/>
          <cell r="J5157"/>
          <cell r="L5157"/>
        </row>
        <row r="5158">
          <cell r="A5158"/>
          <cell r="D5158"/>
          <cell r="E5158"/>
          <cell r="F5158"/>
          <cell r="G5158"/>
          <cell r="H5158"/>
          <cell r="I5158"/>
          <cell r="J5158"/>
          <cell r="L5158"/>
        </row>
        <row r="5159">
          <cell r="A5159"/>
          <cell r="D5159"/>
          <cell r="E5159"/>
          <cell r="F5159"/>
          <cell r="G5159"/>
          <cell r="H5159"/>
          <cell r="I5159"/>
          <cell r="J5159"/>
          <cell r="L5159"/>
        </row>
        <row r="5160">
          <cell r="A5160"/>
          <cell r="D5160"/>
          <cell r="E5160"/>
          <cell r="F5160"/>
          <cell r="G5160"/>
          <cell r="H5160"/>
          <cell r="I5160"/>
          <cell r="J5160"/>
          <cell r="L5160"/>
        </row>
        <row r="5161">
          <cell r="A5161"/>
          <cell r="D5161"/>
          <cell r="E5161"/>
          <cell r="F5161"/>
          <cell r="G5161"/>
          <cell r="H5161"/>
          <cell r="I5161"/>
          <cell r="J5161"/>
          <cell r="L5161"/>
        </row>
        <row r="5162">
          <cell r="A5162"/>
          <cell r="D5162"/>
          <cell r="E5162"/>
          <cell r="F5162"/>
          <cell r="G5162"/>
          <cell r="H5162"/>
          <cell r="I5162"/>
          <cell r="J5162"/>
          <cell r="L5162"/>
        </row>
        <row r="5163">
          <cell r="A5163"/>
          <cell r="D5163"/>
          <cell r="E5163"/>
          <cell r="F5163"/>
          <cell r="G5163"/>
          <cell r="H5163"/>
          <cell r="I5163"/>
          <cell r="J5163"/>
          <cell r="L5163"/>
        </row>
        <row r="5164">
          <cell r="A5164"/>
          <cell r="D5164"/>
          <cell r="E5164"/>
          <cell r="F5164"/>
          <cell r="G5164"/>
          <cell r="H5164"/>
          <cell r="I5164"/>
          <cell r="J5164"/>
          <cell r="L5164"/>
        </row>
        <row r="5165">
          <cell r="A5165"/>
          <cell r="D5165"/>
          <cell r="E5165"/>
          <cell r="F5165"/>
          <cell r="G5165"/>
          <cell r="H5165"/>
          <cell r="I5165"/>
          <cell r="J5165"/>
          <cell r="L5165"/>
        </row>
        <row r="5166">
          <cell r="A5166"/>
          <cell r="D5166"/>
          <cell r="E5166"/>
          <cell r="F5166"/>
          <cell r="G5166"/>
          <cell r="H5166"/>
          <cell r="I5166"/>
          <cell r="J5166"/>
          <cell r="L5166"/>
        </row>
        <row r="5167">
          <cell r="A5167"/>
          <cell r="D5167"/>
          <cell r="E5167"/>
          <cell r="F5167"/>
          <cell r="G5167"/>
          <cell r="H5167"/>
          <cell r="I5167"/>
          <cell r="J5167"/>
          <cell r="L5167"/>
        </row>
        <row r="5168">
          <cell r="A5168"/>
          <cell r="D5168"/>
          <cell r="E5168"/>
          <cell r="F5168"/>
          <cell r="G5168"/>
          <cell r="H5168"/>
          <cell r="I5168"/>
          <cell r="J5168"/>
          <cell r="L5168"/>
        </row>
        <row r="5169">
          <cell r="A5169"/>
          <cell r="D5169"/>
          <cell r="E5169"/>
          <cell r="F5169"/>
          <cell r="G5169"/>
          <cell r="H5169"/>
          <cell r="I5169"/>
          <cell r="J5169"/>
          <cell r="L5169"/>
        </row>
        <row r="5170">
          <cell r="A5170"/>
          <cell r="D5170"/>
          <cell r="E5170"/>
          <cell r="F5170"/>
          <cell r="G5170"/>
          <cell r="H5170"/>
          <cell r="I5170"/>
          <cell r="J5170"/>
          <cell r="L5170"/>
        </row>
        <row r="5171">
          <cell r="A5171"/>
          <cell r="D5171"/>
          <cell r="E5171"/>
          <cell r="F5171"/>
          <cell r="G5171"/>
          <cell r="H5171"/>
          <cell r="I5171"/>
          <cell r="J5171"/>
          <cell r="L5171"/>
        </row>
        <row r="5172">
          <cell r="A5172"/>
          <cell r="D5172"/>
          <cell r="E5172"/>
          <cell r="F5172"/>
          <cell r="G5172"/>
          <cell r="H5172"/>
          <cell r="I5172"/>
          <cell r="J5172"/>
          <cell r="L5172"/>
        </row>
        <row r="5173">
          <cell r="A5173"/>
          <cell r="D5173"/>
          <cell r="E5173"/>
          <cell r="F5173"/>
          <cell r="G5173"/>
          <cell r="H5173"/>
          <cell r="I5173"/>
          <cell r="J5173"/>
          <cell r="L5173"/>
        </row>
        <row r="5174">
          <cell r="A5174"/>
          <cell r="D5174"/>
          <cell r="E5174"/>
          <cell r="F5174"/>
          <cell r="G5174"/>
          <cell r="H5174"/>
          <cell r="I5174"/>
          <cell r="J5174"/>
          <cell r="L5174"/>
        </row>
        <row r="5175">
          <cell r="A5175"/>
          <cell r="D5175"/>
          <cell r="E5175"/>
          <cell r="F5175"/>
          <cell r="G5175"/>
          <cell r="H5175"/>
          <cell r="I5175"/>
          <cell r="J5175"/>
          <cell r="L5175"/>
        </row>
        <row r="5176">
          <cell r="A5176"/>
          <cell r="D5176"/>
          <cell r="E5176"/>
          <cell r="F5176"/>
          <cell r="G5176"/>
          <cell r="H5176"/>
          <cell r="I5176"/>
          <cell r="J5176"/>
          <cell r="L5176"/>
        </row>
        <row r="5177">
          <cell r="A5177"/>
          <cell r="D5177"/>
          <cell r="E5177"/>
          <cell r="F5177"/>
          <cell r="G5177"/>
          <cell r="H5177"/>
          <cell r="I5177"/>
          <cell r="J5177"/>
          <cell r="L5177"/>
        </row>
        <row r="5178">
          <cell r="A5178"/>
          <cell r="D5178"/>
          <cell r="E5178"/>
          <cell r="F5178"/>
          <cell r="G5178"/>
          <cell r="H5178"/>
          <cell r="I5178"/>
          <cell r="J5178"/>
          <cell r="L5178"/>
        </row>
        <row r="5179">
          <cell r="A5179"/>
          <cell r="D5179"/>
          <cell r="E5179"/>
          <cell r="F5179"/>
          <cell r="G5179"/>
          <cell r="H5179"/>
          <cell r="I5179"/>
          <cell r="J5179"/>
          <cell r="L5179"/>
        </row>
        <row r="5180">
          <cell r="A5180"/>
          <cell r="D5180"/>
          <cell r="E5180"/>
          <cell r="F5180"/>
          <cell r="G5180"/>
          <cell r="H5180"/>
          <cell r="I5180"/>
          <cell r="J5180"/>
          <cell r="L5180"/>
        </row>
        <row r="5181">
          <cell r="A5181"/>
          <cell r="D5181"/>
          <cell r="E5181"/>
          <cell r="F5181"/>
          <cell r="G5181"/>
          <cell r="H5181"/>
          <cell r="I5181"/>
          <cell r="J5181"/>
          <cell r="L5181"/>
        </row>
        <row r="5182">
          <cell r="A5182"/>
          <cell r="D5182"/>
          <cell r="E5182"/>
          <cell r="F5182"/>
          <cell r="G5182"/>
          <cell r="H5182"/>
          <cell r="I5182"/>
          <cell r="J5182"/>
          <cell r="L5182"/>
        </row>
        <row r="5183">
          <cell r="A5183"/>
          <cell r="D5183"/>
          <cell r="E5183"/>
          <cell r="F5183"/>
          <cell r="G5183"/>
          <cell r="H5183"/>
          <cell r="I5183"/>
          <cell r="J5183"/>
          <cell r="L5183"/>
        </row>
        <row r="5184">
          <cell r="A5184"/>
          <cell r="D5184"/>
          <cell r="E5184"/>
          <cell r="F5184"/>
          <cell r="G5184"/>
          <cell r="H5184"/>
          <cell r="I5184"/>
          <cell r="J5184"/>
          <cell r="L5184"/>
        </row>
        <row r="5185">
          <cell r="A5185"/>
          <cell r="D5185"/>
          <cell r="E5185"/>
          <cell r="F5185"/>
          <cell r="G5185"/>
          <cell r="H5185"/>
          <cell r="I5185"/>
          <cell r="J5185"/>
          <cell r="L5185"/>
        </row>
        <row r="5186">
          <cell r="A5186"/>
          <cell r="D5186"/>
          <cell r="E5186"/>
          <cell r="F5186"/>
          <cell r="G5186"/>
          <cell r="H5186"/>
          <cell r="I5186"/>
          <cell r="J5186"/>
          <cell r="L5186"/>
        </row>
        <row r="5187">
          <cell r="A5187"/>
          <cell r="D5187"/>
          <cell r="E5187"/>
          <cell r="F5187"/>
          <cell r="G5187"/>
          <cell r="H5187"/>
          <cell r="I5187"/>
          <cell r="J5187"/>
          <cell r="L5187"/>
        </row>
        <row r="5188">
          <cell r="A5188"/>
          <cell r="D5188"/>
          <cell r="E5188"/>
          <cell r="F5188"/>
          <cell r="G5188"/>
          <cell r="H5188"/>
          <cell r="I5188"/>
          <cell r="J5188"/>
          <cell r="L5188"/>
        </row>
        <row r="5189">
          <cell r="A5189"/>
          <cell r="D5189"/>
          <cell r="E5189"/>
          <cell r="F5189"/>
          <cell r="G5189"/>
          <cell r="H5189"/>
          <cell r="I5189"/>
          <cell r="J5189"/>
          <cell r="L5189"/>
        </row>
        <row r="5190">
          <cell r="A5190"/>
          <cell r="D5190"/>
          <cell r="E5190"/>
          <cell r="F5190"/>
          <cell r="G5190"/>
          <cell r="H5190"/>
          <cell r="I5190"/>
          <cell r="J5190"/>
          <cell r="L5190"/>
        </row>
        <row r="5191">
          <cell r="A5191"/>
          <cell r="D5191"/>
          <cell r="E5191"/>
          <cell r="F5191"/>
          <cell r="G5191"/>
          <cell r="H5191"/>
          <cell r="I5191"/>
          <cell r="J5191"/>
          <cell r="L5191"/>
        </row>
        <row r="5192">
          <cell r="A5192"/>
          <cell r="D5192"/>
          <cell r="E5192"/>
          <cell r="F5192"/>
          <cell r="G5192"/>
          <cell r="H5192"/>
          <cell r="I5192"/>
          <cell r="J5192"/>
          <cell r="L5192"/>
        </row>
        <row r="5193">
          <cell r="A5193"/>
          <cell r="D5193"/>
          <cell r="E5193"/>
          <cell r="F5193"/>
          <cell r="G5193"/>
          <cell r="H5193"/>
          <cell r="I5193"/>
          <cell r="J5193"/>
          <cell r="L5193"/>
        </row>
        <row r="5194">
          <cell r="A5194"/>
          <cell r="D5194"/>
          <cell r="E5194"/>
          <cell r="F5194"/>
          <cell r="G5194"/>
          <cell r="H5194"/>
          <cell r="I5194"/>
          <cell r="J5194"/>
          <cell r="L5194"/>
        </row>
        <row r="5195">
          <cell r="A5195"/>
          <cell r="D5195"/>
          <cell r="E5195"/>
          <cell r="F5195"/>
          <cell r="G5195"/>
          <cell r="H5195"/>
          <cell r="I5195"/>
          <cell r="J5195"/>
          <cell r="L5195"/>
        </row>
        <row r="5196">
          <cell r="A5196"/>
          <cell r="D5196"/>
          <cell r="E5196"/>
          <cell r="F5196"/>
          <cell r="G5196"/>
          <cell r="H5196"/>
          <cell r="I5196"/>
          <cell r="J5196"/>
          <cell r="L5196"/>
        </row>
        <row r="5197">
          <cell r="A5197"/>
          <cell r="D5197"/>
          <cell r="E5197"/>
          <cell r="F5197"/>
          <cell r="G5197"/>
          <cell r="H5197"/>
          <cell r="I5197"/>
          <cell r="J5197"/>
          <cell r="L5197"/>
        </row>
        <row r="5198">
          <cell r="A5198"/>
          <cell r="D5198"/>
          <cell r="E5198"/>
          <cell r="F5198"/>
          <cell r="G5198"/>
          <cell r="H5198"/>
          <cell r="I5198"/>
          <cell r="J5198"/>
          <cell r="L5198"/>
        </row>
        <row r="5199">
          <cell r="A5199"/>
          <cell r="D5199"/>
          <cell r="E5199"/>
          <cell r="F5199"/>
          <cell r="G5199"/>
          <cell r="H5199"/>
          <cell r="I5199"/>
          <cell r="J5199"/>
          <cell r="L5199"/>
        </row>
        <row r="5200">
          <cell r="A5200"/>
          <cell r="D5200"/>
          <cell r="E5200"/>
          <cell r="F5200"/>
          <cell r="G5200"/>
          <cell r="H5200"/>
          <cell r="I5200"/>
          <cell r="J5200"/>
          <cell r="L5200"/>
        </row>
        <row r="5201">
          <cell r="A5201"/>
          <cell r="D5201"/>
          <cell r="E5201"/>
          <cell r="F5201"/>
          <cell r="G5201"/>
          <cell r="H5201"/>
          <cell r="I5201"/>
          <cell r="J5201"/>
          <cell r="L5201"/>
        </row>
        <row r="5202">
          <cell r="A5202"/>
          <cell r="D5202"/>
          <cell r="E5202"/>
          <cell r="F5202"/>
          <cell r="G5202"/>
          <cell r="H5202"/>
          <cell r="I5202"/>
          <cell r="J5202"/>
          <cell r="L5202"/>
        </row>
        <row r="5203">
          <cell r="A5203"/>
          <cell r="D5203"/>
          <cell r="E5203"/>
          <cell r="F5203"/>
          <cell r="G5203"/>
          <cell r="H5203"/>
          <cell r="I5203"/>
          <cell r="J5203"/>
          <cell r="L5203"/>
        </row>
        <row r="5204">
          <cell r="A5204"/>
          <cell r="D5204"/>
          <cell r="E5204"/>
          <cell r="F5204"/>
          <cell r="G5204"/>
          <cell r="H5204"/>
          <cell r="I5204"/>
          <cell r="J5204"/>
          <cell r="L5204"/>
        </row>
        <row r="5205">
          <cell r="A5205"/>
          <cell r="D5205"/>
          <cell r="E5205"/>
          <cell r="F5205"/>
          <cell r="G5205"/>
          <cell r="H5205"/>
          <cell r="I5205"/>
          <cell r="J5205"/>
          <cell r="L5205"/>
        </row>
        <row r="5206">
          <cell r="A5206"/>
          <cell r="D5206"/>
          <cell r="E5206"/>
          <cell r="F5206"/>
          <cell r="G5206"/>
          <cell r="H5206"/>
          <cell r="I5206"/>
          <cell r="J5206"/>
          <cell r="L5206"/>
        </row>
        <row r="5207">
          <cell r="A5207"/>
          <cell r="D5207"/>
          <cell r="E5207"/>
          <cell r="F5207"/>
          <cell r="G5207"/>
          <cell r="H5207"/>
          <cell r="I5207"/>
          <cell r="J5207"/>
          <cell r="L5207"/>
        </row>
        <row r="5208">
          <cell r="A5208"/>
          <cell r="D5208"/>
          <cell r="E5208"/>
          <cell r="F5208"/>
          <cell r="G5208"/>
          <cell r="H5208"/>
          <cell r="I5208"/>
          <cell r="J5208"/>
          <cell r="L5208"/>
        </row>
        <row r="5209">
          <cell r="A5209"/>
          <cell r="D5209"/>
          <cell r="E5209"/>
          <cell r="F5209"/>
          <cell r="G5209"/>
          <cell r="H5209"/>
          <cell r="I5209"/>
          <cell r="J5209"/>
          <cell r="L5209"/>
        </row>
        <row r="5210">
          <cell r="A5210"/>
          <cell r="D5210"/>
          <cell r="E5210"/>
          <cell r="F5210"/>
          <cell r="G5210"/>
          <cell r="H5210"/>
          <cell r="I5210"/>
          <cell r="J5210"/>
          <cell r="L5210"/>
        </row>
        <row r="5211">
          <cell r="A5211"/>
          <cell r="D5211"/>
          <cell r="E5211"/>
          <cell r="F5211"/>
          <cell r="G5211"/>
          <cell r="H5211"/>
          <cell r="I5211"/>
          <cell r="J5211"/>
          <cell r="L5211"/>
        </row>
        <row r="5212">
          <cell r="A5212"/>
          <cell r="D5212"/>
          <cell r="E5212"/>
          <cell r="F5212"/>
          <cell r="G5212"/>
          <cell r="H5212"/>
          <cell r="I5212"/>
          <cell r="J5212"/>
          <cell r="L5212"/>
        </row>
        <row r="5213">
          <cell r="A5213"/>
          <cell r="D5213"/>
          <cell r="E5213"/>
          <cell r="F5213"/>
          <cell r="G5213"/>
          <cell r="H5213"/>
          <cell r="I5213"/>
          <cell r="J5213"/>
          <cell r="L5213"/>
        </row>
        <row r="5214">
          <cell r="A5214"/>
          <cell r="D5214"/>
          <cell r="E5214"/>
          <cell r="F5214"/>
          <cell r="G5214"/>
          <cell r="H5214"/>
          <cell r="I5214"/>
          <cell r="J5214"/>
          <cell r="L5214"/>
        </row>
        <row r="5215">
          <cell r="A5215"/>
          <cell r="D5215"/>
          <cell r="E5215"/>
          <cell r="F5215"/>
          <cell r="G5215"/>
          <cell r="H5215"/>
          <cell r="I5215"/>
          <cell r="J5215"/>
          <cell r="L5215"/>
        </row>
        <row r="5216">
          <cell r="A5216"/>
          <cell r="D5216"/>
          <cell r="E5216"/>
          <cell r="F5216"/>
          <cell r="G5216"/>
          <cell r="H5216"/>
          <cell r="I5216"/>
          <cell r="J5216"/>
          <cell r="L5216"/>
        </row>
        <row r="5217">
          <cell r="A5217"/>
          <cell r="D5217"/>
          <cell r="E5217"/>
          <cell r="F5217"/>
          <cell r="G5217"/>
          <cell r="H5217"/>
          <cell r="I5217"/>
          <cell r="J5217"/>
          <cell r="L5217"/>
        </row>
        <row r="5218">
          <cell r="A5218"/>
          <cell r="D5218"/>
          <cell r="E5218"/>
          <cell r="F5218"/>
          <cell r="G5218"/>
          <cell r="H5218"/>
          <cell r="I5218"/>
          <cell r="J5218"/>
          <cell r="L5218"/>
        </row>
        <row r="5219">
          <cell r="A5219"/>
          <cell r="D5219"/>
          <cell r="E5219"/>
          <cell r="F5219"/>
          <cell r="G5219"/>
          <cell r="H5219"/>
          <cell r="I5219"/>
          <cell r="J5219"/>
          <cell r="L5219"/>
        </row>
        <row r="5220">
          <cell r="A5220"/>
          <cell r="D5220"/>
          <cell r="E5220"/>
          <cell r="F5220"/>
          <cell r="G5220"/>
          <cell r="H5220"/>
          <cell r="I5220"/>
          <cell r="J5220"/>
          <cell r="L5220"/>
        </row>
        <row r="5221">
          <cell r="A5221"/>
          <cell r="D5221"/>
          <cell r="E5221"/>
          <cell r="F5221"/>
          <cell r="G5221"/>
          <cell r="H5221"/>
          <cell r="I5221"/>
          <cell r="J5221"/>
          <cell r="L5221"/>
        </row>
        <row r="5222">
          <cell r="A5222"/>
          <cell r="D5222"/>
          <cell r="E5222"/>
          <cell r="F5222"/>
          <cell r="G5222"/>
          <cell r="H5222"/>
          <cell r="I5222"/>
          <cell r="J5222"/>
          <cell r="L5222"/>
        </row>
        <row r="5223">
          <cell r="A5223"/>
          <cell r="D5223"/>
          <cell r="E5223"/>
          <cell r="F5223"/>
          <cell r="G5223"/>
          <cell r="H5223"/>
          <cell r="I5223"/>
          <cell r="J5223"/>
          <cell r="L5223"/>
        </row>
        <row r="5224">
          <cell r="A5224"/>
          <cell r="D5224"/>
          <cell r="E5224"/>
          <cell r="F5224"/>
          <cell r="G5224"/>
          <cell r="H5224"/>
          <cell r="I5224"/>
          <cell r="J5224"/>
          <cell r="L5224"/>
        </row>
        <row r="5225">
          <cell r="A5225"/>
          <cell r="D5225"/>
          <cell r="E5225"/>
          <cell r="F5225"/>
          <cell r="G5225"/>
          <cell r="H5225"/>
          <cell r="I5225"/>
          <cell r="J5225"/>
          <cell r="L5225"/>
        </row>
        <row r="5226">
          <cell r="A5226"/>
          <cell r="D5226"/>
          <cell r="E5226"/>
          <cell r="F5226"/>
          <cell r="G5226"/>
          <cell r="H5226"/>
          <cell r="I5226"/>
          <cell r="J5226"/>
          <cell r="L5226"/>
        </row>
        <row r="5227">
          <cell r="A5227"/>
          <cell r="D5227"/>
          <cell r="E5227"/>
          <cell r="F5227"/>
          <cell r="G5227"/>
          <cell r="H5227"/>
          <cell r="I5227"/>
          <cell r="J5227"/>
          <cell r="L5227"/>
        </row>
        <row r="5228">
          <cell r="A5228"/>
          <cell r="D5228"/>
          <cell r="E5228"/>
          <cell r="F5228"/>
          <cell r="G5228"/>
          <cell r="H5228"/>
          <cell r="I5228"/>
          <cell r="J5228"/>
          <cell r="L5228"/>
        </row>
        <row r="5229">
          <cell r="A5229"/>
          <cell r="D5229"/>
          <cell r="E5229"/>
          <cell r="F5229"/>
          <cell r="G5229"/>
          <cell r="H5229"/>
          <cell r="I5229"/>
          <cell r="J5229"/>
          <cell r="L5229"/>
        </row>
        <row r="5230">
          <cell r="A5230"/>
          <cell r="D5230"/>
          <cell r="E5230"/>
          <cell r="F5230"/>
          <cell r="G5230"/>
          <cell r="H5230"/>
          <cell r="I5230"/>
          <cell r="J5230"/>
          <cell r="L5230"/>
        </row>
        <row r="5231">
          <cell r="A5231"/>
          <cell r="D5231"/>
          <cell r="E5231"/>
          <cell r="F5231"/>
          <cell r="G5231"/>
          <cell r="H5231"/>
          <cell r="I5231"/>
          <cell r="J5231"/>
          <cell r="L5231"/>
        </row>
        <row r="5232">
          <cell r="A5232"/>
          <cell r="D5232"/>
          <cell r="E5232"/>
          <cell r="F5232"/>
          <cell r="G5232"/>
          <cell r="H5232"/>
          <cell r="I5232"/>
          <cell r="J5232"/>
          <cell r="L5232"/>
        </row>
        <row r="5233">
          <cell r="A5233"/>
          <cell r="D5233"/>
          <cell r="E5233"/>
          <cell r="F5233"/>
          <cell r="G5233"/>
          <cell r="H5233"/>
          <cell r="I5233"/>
          <cell r="J5233"/>
          <cell r="L5233"/>
        </row>
        <row r="5234">
          <cell r="A5234"/>
          <cell r="D5234"/>
          <cell r="E5234"/>
          <cell r="F5234"/>
          <cell r="G5234"/>
          <cell r="H5234"/>
          <cell r="I5234"/>
          <cell r="J5234"/>
          <cell r="L5234"/>
        </row>
        <row r="5235">
          <cell r="A5235"/>
          <cell r="D5235"/>
          <cell r="E5235"/>
          <cell r="F5235"/>
          <cell r="G5235"/>
          <cell r="H5235"/>
          <cell r="I5235"/>
          <cell r="J5235"/>
          <cell r="L5235"/>
        </row>
        <row r="5236">
          <cell r="A5236"/>
          <cell r="D5236"/>
          <cell r="E5236"/>
          <cell r="F5236"/>
          <cell r="G5236"/>
          <cell r="H5236"/>
          <cell r="I5236"/>
          <cell r="J5236"/>
          <cell r="L5236"/>
        </row>
        <row r="5237">
          <cell r="A5237"/>
          <cell r="D5237"/>
          <cell r="E5237"/>
          <cell r="F5237"/>
          <cell r="G5237"/>
          <cell r="H5237"/>
          <cell r="I5237"/>
          <cell r="J5237"/>
          <cell r="L5237"/>
        </row>
        <row r="5238">
          <cell r="A5238"/>
          <cell r="D5238"/>
          <cell r="E5238"/>
          <cell r="F5238"/>
          <cell r="G5238"/>
          <cell r="H5238"/>
          <cell r="I5238"/>
          <cell r="J5238"/>
          <cell r="L5238"/>
        </row>
        <row r="5239">
          <cell r="A5239"/>
          <cell r="D5239"/>
          <cell r="E5239"/>
          <cell r="F5239"/>
          <cell r="G5239"/>
          <cell r="H5239"/>
          <cell r="I5239"/>
          <cell r="J5239"/>
          <cell r="L5239"/>
        </row>
        <row r="5240">
          <cell r="A5240"/>
          <cell r="D5240"/>
          <cell r="E5240"/>
          <cell r="F5240"/>
          <cell r="G5240"/>
          <cell r="H5240"/>
          <cell r="I5240"/>
          <cell r="J5240"/>
          <cell r="L5240"/>
        </row>
        <row r="5241">
          <cell r="A5241"/>
          <cell r="D5241"/>
          <cell r="E5241"/>
          <cell r="F5241"/>
          <cell r="G5241"/>
          <cell r="H5241"/>
          <cell r="I5241"/>
          <cell r="J5241"/>
          <cell r="L5241"/>
        </row>
        <row r="5242">
          <cell r="A5242"/>
          <cell r="D5242"/>
          <cell r="E5242"/>
          <cell r="F5242"/>
          <cell r="G5242"/>
          <cell r="H5242"/>
          <cell r="I5242"/>
          <cell r="J5242"/>
          <cell r="L5242"/>
        </row>
        <row r="5243">
          <cell r="A5243"/>
          <cell r="D5243"/>
          <cell r="E5243"/>
          <cell r="F5243"/>
          <cell r="G5243"/>
          <cell r="H5243"/>
          <cell r="I5243"/>
          <cell r="J5243"/>
          <cell r="L5243"/>
        </row>
        <row r="5244">
          <cell r="A5244"/>
          <cell r="D5244"/>
          <cell r="E5244"/>
          <cell r="F5244"/>
          <cell r="G5244"/>
          <cell r="H5244"/>
          <cell r="I5244"/>
          <cell r="J5244"/>
          <cell r="L5244"/>
        </row>
        <row r="5245">
          <cell r="A5245"/>
          <cell r="D5245"/>
          <cell r="E5245"/>
          <cell r="F5245"/>
          <cell r="G5245"/>
          <cell r="H5245"/>
          <cell r="I5245"/>
          <cell r="J5245"/>
          <cell r="L5245"/>
        </row>
        <row r="5246">
          <cell r="A5246"/>
          <cell r="D5246"/>
          <cell r="E5246"/>
          <cell r="F5246"/>
          <cell r="G5246"/>
          <cell r="H5246"/>
          <cell r="I5246"/>
          <cell r="J5246"/>
          <cell r="L5246"/>
        </row>
        <row r="5247">
          <cell r="A5247"/>
          <cell r="D5247"/>
          <cell r="E5247"/>
          <cell r="F5247"/>
          <cell r="G5247"/>
          <cell r="H5247"/>
          <cell r="I5247"/>
          <cell r="J5247"/>
          <cell r="L5247"/>
        </row>
        <row r="5248">
          <cell r="A5248"/>
          <cell r="D5248"/>
          <cell r="E5248"/>
          <cell r="F5248"/>
          <cell r="G5248"/>
          <cell r="H5248"/>
          <cell r="I5248"/>
          <cell r="J5248"/>
          <cell r="L5248"/>
        </row>
        <row r="5249">
          <cell r="A5249"/>
          <cell r="D5249"/>
          <cell r="E5249"/>
          <cell r="F5249"/>
          <cell r="G5249"/>
          <cell r="H5249"/>
          <cell r="I5249"/>
          <cell r="J5249"/>
          <cell r="L5249"/>
        </row>
        <row r="5250">
          <cell r="A5250"/>
          <cell r="D5250"/>
          <cell r="E5250"/>
          <cell r="F5250"/>
          <cell r="G5250"/>
          <cell r="H5250"/>
          <cell r="I5250"/>
          <cell r="J5250"/>
          <cell r="L5250"/>
        </row>
        <row r="5251">
          <cell r="A5251"/>
          <cell r="D5251"/>
          <cell r="E5251"/>
          <cell r="F5251"/>
          <cell r="G5251"/>
          <cell r="H5251"/>
          <cell r="I5251"/>
          <cell r="J5251"/>
          <cell r="L5251"/>
        </row>
        <row r="5252">
          <cell r="A5252"/>
          <cell r="D5252"/>
          <cell r="E5252"/>
          <cell r="F5252"/>
          <cell r="G5252"/>
          <cell r="H5252"/>
          <cell r="I5252"/>
          <cell r="J5252"/>
          <cell r="L5252"/>
        </row>
        <row r="5253">
          <cell r="A5253"/>
          <cell r="D5253"/>
          <cell r="E5253"/>
          <cell r="F5253"/>
          <cell r="G5253"/>
          <cell r="H5253"/>
          <cell r="I5253"/>
          <cell r="J5253"/>
          <cell r="L5253"/>
        </row>
        <row r="5254">
          <cell r="A5254"/>
          <cell r="D5254"/>
          <cell r="E5254"/>
          <cell r="F5254"/>
          <cell r="G5254"/>
          <cell r="H5254"/>
          <cell r="I5254"/>
          <cell r="J5254"/>
          <cell r="L5254"/>
        </row>
        <row r="5255">
          <cell r="A5255"/>
          <cell r="D5255"/>
          <cell r="E5255"/>
          <cell r="F5255"/>
          <cell r="G5255"/>
          <cell r="H5255"/>
          <cell r="I5255"/>
          <cell r="J5255"/>
          <cell r="L5255"/>
        </row>
        <row r="5256">
          <cell r="A5256"/>
          <cell r="D5256"/>
          <cell r="E5256"/>
          <cell r="F5256"/>
          <cell r="G5256"/>
          <cell r="H5256"/>
          <cell r="I5256"/>
          <cell r="J5256"/>
          <cell r="L5256"/>
        </row>
        <row r="5257">
          <cell r="A5257"/>
          <cell r="D5257"/>
          <cell r="E5257"/>
          <cell r="F5257"/>
          <cell r="G5257"/>
          <cell r="H5257"/>
          <cell r="I5257"/>
          <cell r="J5257"/>
          <cell r="L5257"/>
        </row>
        <row r="5258">
          <cell r="A5258"/>
          <cell r="D5258"/>
          <cell r="E5258"/>
          <cell r="F5258"/>
          <cell r="G5258"/>
          <cell r="H5258"/>
          <cell r="I5258"/>
          <cell r="J5258"/>
          <cell r="L5258"/>
        </row>
        <row r="5259">
          <cell r="A5259"/>
          <cell r="D5259"/>
          <cell r="E5259"/>
          <cell r="F5259"/>
          <cell r="G5259"/>
          <cell r="H5259"/>
          <cell r="I5259"/>
          <cell r="J5259"/>
          <cell r="L5259"/>
        </row>
        <row r="5260">
          <cell r="A5260"/>
          <cell r="D5260"/>
          <cell r="E5260"/>
          <cell r="F5260"/>
          <cell r="G5260"/>
          <cell r="H5260"/>
          <cell r="I5260"/>
          <cell r="J5260"/>
          <cell r="L5260"/>
        </row>
        <row r="5261">
          <cell r="A5261"/>
          <cell r="D5261"/>
          <cell r="E5261"/>
          <cell r="F5261"/>
          <cell r="G5261"/>
          <cell r="H5261"/>
          <cell r="I5261"/>
          <cell r="J5261"/>
          <cell r="L5261"/>
        </row>
        <row r="5262">
          <cell r="A5262"/>
          <cell r="D5262"/>
          <cell r="E5262"/>
          <cell r="F5262"/>
          <cell r="G5262"/>
          <cell r="H5262"/>
          <cell r="I5262"/>
          <cell r="J5262"/>
          <cell r="L5262"/>
        </row>
        <row r="5263">
          <cell r="A5263"/>
          <cell r="D5263"/>
          <cell r="E5263"/>
          <cell r="F5263"/>
          <cell r="G5263"/>
          <cell r="H5263"/>
          <cell r="I5263"/>
          <cell r="J5263"/>
          <cell r="L5263"/>
        </row>
        <row r="5264">
          <cell r="A5264"/>
          <cell r="D5264"/>
          <cell r="E5264"/>
          <cell r="F5264"/>
          <cell r="G5264"/>
          <cell r="H5264"/>
          <cell r="I5264"/>
          <cell r="J5264"/>
          <cell r="L5264"/>
        </row>
        <row r="5265">
          <cell r="A5265"/>
          <cell r="D5265"/>
          <cell r="E5265"/>
          <cell r="F5265"/>
          <cell r="G5265"/>
          <cell r="H5265"/>
          <cell r="I5265"/>
          <cell r="J5265"/>
          <cell r="L5265"/>
        </row>
        <row r="5266">
          <cell r="A5266"/>
          <cell r="D5266"/>
          <cell r="E5266"/>
          <cell r="F5266"/>
          <cell r="G5266"/>
          <cell r="H5266"/>
          <cell r="I5266"/>
          <cell r="J5266"/>
          <cell r="L5266"/>
        </row>
        <row r="5267">
          <cell r="A5267"/>
          <cell r="D5267"/>
          <cell r="E5267"/>
          <cell r="F5267"/>
          <cell r="G5267"/>
          <cell r="H5267"/>
          <cell r="I5267"/>
          <cell r="J5267"/>
          <cell r="L5267"/>
        </row>
        <row r="5268">
          <cell r="A5268"/>
          <cell r="D5268"/>
          <cell r="E5268"/>
          <cell r="F5268"/>
          <cell r="G5268"/>
          <cell r="H5268"/>
          <cell r="I5268"/>
          <cell r="J5268"/>
          <cell r="L5268"/>
        </row>
        <row r="5269">
          <cell r="A5269"/>
          <cell r="D5269"/>
          <cell r="E5269"/>
          <cell r="F5269"/>
          <cell r="G5269"/>
          <cell r="H5269"/>
          <cell r="I5269"/>
          <cell r="J5269"/>
          <cell r="L5269"/>
        </row>
        <row r="5270">
          <cell r="A5270"/>
          <cell r="D5270"/>
          <cell r="E5270"/>
          <cell r="F5270"/>
          <cell r="G5270"/>
          <cell r="H5270"/>
          <cell r="I5270"/>
          <cell r="J5270"/>
          <cell r="L5270"/>
        </row>
        <row r="5271">
          <cell r="A5271"/>
          <cell r="D5271"/>
          <cell r="E5271"/>
          <cell r="F5271"/>
          <cell r="G5271"/>
          <cell r="H5271"/>
          <cell r="I5271"/>
          <cell r="J5271"/>
          <cell r="L5271"/>
        </row>
        <row r="5272">
          <cell r="A5272"/>
          <cell r="D5272"/>
          <cell r="E5272"/>
          <cell r="F5272"/>
          <cell r="G5272"/>
          <cell r="H5272"/>
          <cell r="I5272"/>
          <cell r="J5272"/>
          <cell r="L5272"/>
        </row>
        <row r="5273">
          <cell r="A5273"/>
          <cell r="D5273"/>
          <cell r="E5273"/>
          <cell r="F5273"/>
          <cell r="G5273"/>
          <cell r="H5273"/>
          <cell r="I5273"/>
          <cell r="J5273"/>
          <cell r="L5273"/>
        </row>
        <row r="5274">
          <cell r="A5274"/>
          <cell r="D5274"/>
          <cell r="E5274"/>
          <cell r="F5274"/>
          <cell r="G5274"/>
          <cell r="H5274"/>
          <cell r="I5274"/>
          <cell r="J5274"/>
          <cell r="L5274"/>
        </row>
        <row r="5275">
          <cell r="A5275"/>
          <cell r="D5275"/>
          <cell r="E5275"/>
          <cell r="F5275"/>
          <cell r="G5275"/>
          <cell r="H5275"/>
          <cell r="I5275"/>
          <cell r="J5275"/>
          <cell r="L5275"/>
        </row>
        <row r="5276">
          <cell r="A5276"/>
          <cell r="D5276"/>
          <cell r="E5276"/>
          <cell r="F5276"/>
          <cell r="G5276"/>
          <cell r="H5276"/>
          <cell r="I5276"/>
          <cell r="J5276"/>
          <cell r="L5276"/>
        </row>
        <row r="5277">
          <cell r="A5277"/>
          <cell r="D5277"/>
          <cell r="E5277"/>
          <cell r="F5277"/>
          <cell r="G5277"/>
          <cell r="H5277"/>
          <cell r="I5277"/>
          <cell r="J5277"/>
          <cell r="L5277"/>
        </row>
        <row r="5278">
          <cell r="A5278"/>
          <cell r="D5278"/>
          <cell r="E5278"/>
          <cell r="F5278"/>
          <cell r="G5278"/>
          <cell r="H5278"/>
          <cell r="I5278"/>
          <cell r="J5278"/>
          <cell r="L5278"/>
        </row>
        <row r="5279">
          <cell r="A5279"/>
          <cell r="D5279"/>
          <cell r="E5279"/>
          <cell r="F5279"/>
          <cell r="G5279"/>
          <cell r="H5279"/>
          <cell r="I5279"/>
          <cell r="J5279"/>
          <cell r="L5279"/>
        </row>
        <row r="5280">
          <cell r="A5280"/>
          <cell r="D5280"/>
          <cell r="E5280"/>
          <cell r="F5280"/>
          <cell r="G5280"/>
          <cell r="H5280"/>
          <cell r="I5280"/>
          <cell r="J5280"/>
          <cell r="L5280"/>
        </row>
        <row r="5281">
          <cell r="A5281"/>
          <cell r="D5281"/>
          <cell r="E5281"/>
          <cell r="F5281"/>
          <cell r="G5281"/>
          <cell r="H5281"/>
          <cell r="I5281"/>
          <cell r="J5281"/>
          <cell r="L5281"/>
        </row>
        <row r="5282">
          <cell r="A5282"/>
          <cell r="D5282"/>
          <cell r="E5282"/>
          <cell r="F5282"/>
          <cell r="G5282"/>
          <cell r="H5282"/>
          <cell r="I5282"/>
          <cell r="J5282"/>
          <cell r="L5282"/>
        </row>
        <row r="5283">
          <cell r="A5283"/>
          <cell r="D5283"/>
          <cell r="E5283"/>
          <cell r="F5283"/>
          <cell r="G5283"/>
          <cell r="H5283"/>
          <cell r="I5283"/>
          <cell r="J5283"/>
          <cell r="L5283"/>
        </row>
        <row r="5284">
          <cell r="A5284"/>
          <cell r="D5284"/>
          <cell r="E5284"/>
          <cell r="F5284"/>
          <cell r="G5284"/>
          <cell r="H5284"/>
          <cell r="I5284"/>
          <cell r="J5284"/>
          <cell r="L5284"/>
        </row>
        <row r="5285">
          <cell r="A5285"/>
          <cell r="D5285"/>
          <cell r="E5285"/>
          <cell r="F5285"/>
          <cell r="G5285"/>
          <cell r="H5285"/>
          <cell r="I5285"/>
          <cell r="J5285"/>
          <cell r="L5285"/>
        </row>
        <row r="5286">
          <cell r="A5286"/>
          <cell r="D5286"/>
          <cell r="E5286"/>
          <cell r="F5286"/>
          <cell r="G5286"/>
          <cell r="H5286"/>
          <cell r="I5286"/>
          <cell r="J5286"/>
          <cell r="L5286"/>
        </row>
        <row r="5287">
          <cell r="A5287"/>
          <cell r="D5287"/>
          <cell r="E5287"/>
          <cell r="F5287"/>
          <cell r="G5287"/>
          <cell r="H5287"/>
          <cell r="I5287"/>
          <cell r="J5287"/>
          <cell r="L5287"/>
        </row>
        <row r="5288">
          <cell r="A5288"/>
          <cell r="D5288"/>
          <cell r="E5288"/>
          <cell r="F5288"/>
          <cell r="G5288"/>
          <cell r="H5288"/>
          <cell r="I5288"/>
          <cell r="J5288"/>
          <cell r="L5288"/>
        </row>
        <row r="5289">
          <cell r="A5289"/>
          <cell r="D5289"/>
          <cell r="E5289"/>
          <cell r="F5289"/>
          <cell r="G5289"/>
          <cell r="H5289"/>
          <cell r="I5289"/>
          <cell r="J5289"/>
          <cell r="L5289"/>
        </row>
        <row r="5290">
          <cell r="A5290"/>
          <cell r="D5290"/>
          <cell r="E5290"/>
          <cell r="F5290"/>
          <cell r="G5290"/>
          <cell r="H5290"/>
          <cell r="I5290"/>
          <cell r="J5290"/>
          <cell r="L5290"/>
        </row>
        <row r="5291">
          <cell r="A5291"/>
          <cell r="D5291"/>
          <cell r="E5291"/>
          <cell r="F5291"/>
          <cell r="G5291"/>
          <cell r="H5291"/>
          <cell r="I5291"/>
          <cell r="J5291"/>
          <cell r="L5291"/>
        </row>
        <row r="5292">
          <cell r="A5292"/>
          <cell r="D5292"/>
          <cell r="E5292"/>
          <cell r="F5292"/>
          <cell r="G5292"/>
          <cell r="H5292"/>
          <cell r="I5292"/>
          <cell r="J5292"/>
          <cell r="L5292"/>
        </row>
        <row r="5293">
          <cell r="A5293"/>
          <cell r="D5293"/>
          <cell r="E5293"/>
          <cell r="F5293"/>
          <cell r="G5293"/>
          <cell r="H5293"/>
          <cell r="I5293"/>
          <cell r="J5293"/>
          <cell r="L5293"/>
        </row>
        <row r="5294">
          <cell r="A5294"/>
          <cell r="D5294"/>
          <cell r="E5294"/>
          <cell r="F5294"/>
          <cell r="G5294"/>
          <cell r="H5294"/>
          <cell r="I5294"/>
          <cell r="J5294"/>
          <cell r="L5294"/>
        </row>
        <row r="5295">
          <cell r="A5295"/>
          <cell r="D5295"/>
          <cell r="E5295"/>
          <cell r="F5295"/>
          <cell r="G5295"/>
          <cell r="H5295"/>
          <cell r="I5295"/>
          <cell r="J5295"/>
          <cell r="L5295"/>
        </row>
        <row r="5296">
          <cell r="A5296"/>
          <cell r="D5296"/>
          <cell r="E5296"/>
          <cell r="F5296"/>
          <cell r="G5296"/>
          <cell r="H5296"/>
          <cell r="I5296"/>
          <cell r="J5296"/>
          <cell r="L5296"/>
        </row>
        <row r="5297">
          <cell r="A5297"/>
          <cell r="D5297"/>
          <cell r="E5297"/>
          <cell r="F5297"/>
          <cell r="G5297"/>
          <cell r="H5297"/>
          <cell r="I5297"/>
          <cell r="J5297"/>
          <cell r="L5297"/>
        </row>
        <row r="5298">
          <cell r="A5298"/>
          <cell r="D5298"/>
          <cell r="E5298"/>
          <cell r="F5298"/>
          <cell r="G5298"/>
          <cell r="H5298"/>
          <cell r="I5298"/>
          <cell r="J5298"/>
          <cell r="L5298"/>
        </row>
        <row r="5299">
          <cell r="A5299"/>
          <cell r="D5299"/>
          <cell r="E5299"/>
          <cell r="F5299"/>
          <cell r="G5299"/>
          <cell r="H5299"/>
          <cell r="I5299"/>
          <cell r="J5299"/>
          <cell r="L5299"/>
        </row>
        <row r="5300">
          <cell r="A5300"/>
          <cell r="D5300"/>
          <cell r="E5300"/>
          <cell r="F5300"/>
          <cell r="G5300"/>
          <cell r="H5300"/>
          <cell r="I5300"/>
          <cell r="J5300"/>
          <cell r="L5300"/>
        </row>
        <row r="5301">
          <cell r="A5301"/>
          <cell r="D5301"/>
          <cell r="E5301"/>
          <cell r="F5301"/>
          <cell r="G5301"/>
          <cell r="H5301"/>
          <cell r="I5301"/>
          <cell r="J5301"/>
          <cell r="L5301"/>
        </row>
        <row r="5302">
          <cell r="A5302"/>
          <cell r="D5302"/>
          <cell r="E5302"/>
          <cell r="F5302"/>
          <cell r="G5302"/>
          <cell r="H5302"/>
          <cell r="I5302"/>
          <cell r="J5302"/>
          <cell r="L5302"/>
        </row>
        <row r="5303">
          <cell r="A5303"/>
          <cell r="D5303"/>
          <cell r="E5303"/>
          <cell r="F5303"/>
          <cell r="G5303"/>
          <cell r="H5303"/>
          <cell r="I5303"/>
          <cell r="J5303"/>
          <cell r="L5303"/>
        </row>
        <row r="5304">
          <cell r="A5304"/>
          <cell r="D5304"/>
          <cell r="E5304"/>
          <cell r="F5304"/>
          <cell r="G5304"/>
          <cell r="H5304"/>
          <cell r="I5304"/>
          <cell r="J5304"/>
          <cell r="L5304"/>
        </row>
        <row r="5305">
          <cell r="A5305"/>
          <cell r="D5305"/>
          <cell r="E5305"/>
          <cell r="F5305"/>
          <cell r="G5305"/>
          <cell r="H5305"/>
          <cell r="I5305"/>
          <cell r="J5305"/>
          <cell r="L5305"/>
        </row>
        <row r="5306">
          <cell r="A5306"/>
          <cell r="D5306"/>
          <cell r="E5306"/>
          <cell r="F5306"/>
          <cell r="G5306"/>
          <cell r="H5306"/>
          <cell r="I5306"/>
          <cell r="J5306"/>
          <cell r="L5306"/>
        </row>
        <row r="5307">
          <cell r="A5307"/>
          <cell r="D5307"/>
          <cell r="E5307"/>
          <cell r="F5307"/>
          <cell r="G5307"/>
          <cell r="H5307"/>
          <cell r="I5307"/>
          <cell r="J5307"/>
          <cell r="L5307"/>
        </row>
        <row r="5308">
          <cell r="A5308"/>
          <cell r="D5308"/>
          <cell r="E5308"/>
          <cell r="F5308"/>
          <cell r="G5308"/>
          <cell r="H5308"/>
          <cell r="I5308"/>
          <cell r="J5308"/>
          <cell r="L5308"/>
        </row>
        <row r="5309">
          <cell r="A5309"/>
          <cell r="D5309"/>
          <cell r="E5309"/>
          <cell r="F5309"/>
          <cell r="G5309"/>
          <cell r="H5309"/>
          <cell r="I5309"/>
          <cell r="J5309"/>
          <cell r="L5309"/>
        </row>
        <row r="5310">
          <cell r="A5310"/>
          <cell r="D5310"/>
          <cell r="E5310"/>
          <cell r="F5310"/>
          <cell r="G5310"/>
          <cell r="H5310"/>
          <cell r="I5310"/>
          <cell r="J5310"/>
          <cell r="L5310"/>
        </row>
        <row r="5311">
          <cell r="A5311"/>
          <cell r="D5311"/>
          <cell r="E5311"/>
          <cell r="F5311"/>
          <cell r="G5311"/>
          <cell r="H5311"/>
          <cell r="I5311"/>
          <cell r="J5311"/>
          <cell r="L5311"/>
        </row>
        <row r="5312">
          <cell r="A5312"/>
          <cell r="D5312"/>
          <cell r="E5312"/>
          <cell r="F5312"/>
          <cell r="G5312"/>
          <cell r="H5312"/>
          <cell r="I5312"/>
          <cell r="J5312"/>
          <cell r="L5312"/>
        </row>
        <row r="5313">
          <cell r="A5313"/>
          <cell r="D5313"/>
          <cell r="E5313"/>
          <cell r="F5313"/>
          <cell r="G5313"/>
          <cell r="H5313"/>
          <cell r="I5313"/>
          <cell r="J5313"/>
          <cell r="L5313"/>
        </row>
        <row r="5314">
          <cell r="A5314"/>
          <cell r="D5314"/>
          <cell r="E5314"/>
          <cell r="F5314"/>
          <cell r="G5314"/>
          <cell r="H5314"/>
          <cell r="I5314"/>
          <cell r="J5314"/>
          <cell r="L5314"/>
        </row>
        <row r="5315">
          <cell r="A5315"/>
          <cell r="D5315"/>
          <cell r="E5315"/>
          <cell r="F5315"/>
          <cell r="G5315"/>
          <cell r="H5315"/>
          <cell r="I5315"/>
          <cell r="J5315"/>
          <cell r="L5315"/>
        </row>
        <row r="5316">
          <cell r="A5316"/>
          <cell r="D5316"/>
          <cell r="E5316"/>
          <cell r="F5316"/>
          <cell r="G5316"/>
          <cell r="H5316"/>
          <cell r="I5316"/>
          <cell r="J5316"/>
          <cell r="L5316"/>
        </row>
        <row r="5317">
          <cell r="A5317"/>
          <cell r="D5317"/>
          <cell r="E5317"/>
          <cell r="F5317"/>
          <cell r="G5317"/>
          <cell r="H5317"/>
          <cell r="I5317"/>
          <cell r="J5317"/>
          <cell r="L5317"/>
        </row>
        <row r="5318">
          <cell r="A5318"/>
          <cell r="D5318"/>
          <cell r="E5318"/>
          <cell r="F5318"/>
          <cell r="G5318"/>
          <cell r="H5318"/>
          <cell r="I5318"/>
          <cell r="J5318"/>
          <cell r="L5318"/>
        </row>
        <row r="5319">
          <cell r="A5319"/>
          <cell r="D5319"/>
          <cell r="E5319"/>
          <cell r="F5319"/>
          <cell r="G5319"/>
          <cell r="H5319"/>
          <cell r="I5319"/>
          <cell r="J5319"/>
          <cell r="L5319"/>
        </row>
        <row r="5320">
          <cell r="A5320"/>
          <cell r="D5320"/>
          <cell r="E5320"/>
          <cell r="F5320"/>
          <cell r="G5320"/>
          <cell r="H5320"/>
          <cell r="I5320"/>
          <cell r="J5320"/>
          <cell r="L5320"/>
        </row>
        <row r="5321">
          <cell r="A5321"/>
          <cell r="D5321"/>
          <cell r="E5321"/>
          <cell r="F5321"/>
          <cell r="G5321"/>
          <cell r="H5321"/>
          <cell r="I5321"/>
          <cell r="J5321"/>
          <cell r="L5321"/>
        </row>
        <row r="5322">
          <cell r="A5322"/>
          <cell r="D5322"/>
          <cell r="E5322"/>
          <cell r="F5322"/>
          <cell r="G5322"/>
          <cell r="H5322"/>
          <cell r="I5322"/>
          <cell r="J5322"/>
          <cell r="L5322"/>
        </row>
        <row r="5323">
          <cell r="A5323"/>
          <cell r="D5323"/>
          <cell r="E5323"/>
          <cell r="F5323"/>
          <cell r="G5323"/>
          <cell r="H5323"/>
          <cell r="I5323"/>
          <cell r="J5323"/>
          <cell r="L5323"/>
        </row>
        <row r="5324">
          <cell r="A5324"/>
          <cell r="D5324"/>
          <cell r="E5324"/>
          <cell r="F5324"/>
          <cell r="G5324"/>
          <cell r="H5324"/>
          <cell r="I5324"/>
          <cell r="J5324"/>
          <cell r="L5324"/>
        </row>
        <row r="5325">
          <cell r="A5325"/>
          <cell r="D5325"/>
          <cell r="E5325"/>
          <cell r="F5325"/>
          <cell r="G5325"/>
          <cell r="H5325"/>
          <cell r="I5325"/>
          <cell r="J5325"/>
          <cell r="L5325"/>
        </row>
        <row r="5326">
          <cell r="A5326"/>
          <cell r="D5326"/>
          <cell r="E5326"/>
          <cell r="F5326"/>
          <cell r="G5326"/>
          <cell r="H5326"/>
          <cell r="I5326"/>
          <cell r="J5326"/>
          <cell r="L5326"/>
        </row>
        <row r="5327">
          <cell r="A5327"/>
          <cell r="D5327"/>
          <cell r="E5327"/>
          <cell r="F5327"/>
          <cell r="G5327"/>
          <cell r="H5327"/>
          <cell r="I5327"/>
          <cell r="J5327"/>
          <cell r="L5327"/>
        </row>
        <row r="5328">
          <cell r="A5328"/>
          <cell r="D5328"/>
          <cell r="E5328"/>
          <cell r="F5328"/>
          <cell r="G5328"/>
          <cell r="H5328"/>
          <cell r="I5328"/>
          <cell r="J5328"/>
          <cell r="L5328"/>
        </row>
        <row r="5329">
          <cell r="A5329"/>
          <cell r="D5329"/>
          <cell r="E5329"/>
          <cell r="F5329"/>
          <cell r="G5329"/>
          <cell r="H5329"/>
          <cell r="I5329"/>
          <cell r="J5329"/>
          <cell r="L5329"/>
        </row>
        <row r="5330">
          <cell r="A5330"/>
          <cell r="D5330"/>
          <cell r="E5330"/>
          <cell r="F5330"/>
          <cell r="G5330"/>
          <cell r="H5330"/>
          <cell r="I5330"/>
          <cell r="J5330"/>
          <cell r="L5330"/>
        </row>
        <row r="5331">
          <cell r="A5331"/>
          <cell r="D5331"/>
          <cell r="E5331"/>
          <cell r="F5331"/>
          <cell r="G5331"/>
          <cell r="H5331"/>
          <cell r="I5331"/>
          <cell r="J5331"/>
          <cell r="L5331"/>
        </row>
        <row r="5332">
          <cell r="A5332"/>
          <cell r="D5332"/>
          <cell r="E5332"/>
          <cell r="F5332"/>
          <cell r="G5332"/>
          <cell r="H5332"/>
          <cell r="I5332"/>
          <cell r="J5332"/>
          <cell r="L5332"/>
        </row>
        <row r="5333">
          <cell r="A5333"/>
          <cell r="D5333"/>
          <cell r="E5333"/>
          <cell r="F5333"/>
          <cell r="G5333"/>
          <cell r="H5333"/>
          <cell r="I5333"/>
          <cell r="J5333"/>
          <cell r="L5333"/>
        </row>
        <row r="5334">
          <cell r="A5334"/>
          <cell r="D5334"/>
          <cell r="E5334"/>
          <cell r="F5334"/>
          <cell r="G5334"/>
          <cell r="H5334"/>
          <cell r="I5334"/>
          <cell r="J5334"/>
          <cell r="L5334"/>
        </row>
        <row r="5335">
          <cell r="A5335"/>
          <cell r="D5335"/>
          <cell r="E5335"/>
          <cell r="F5335"/>
          <cell r="G5335"/>
          <cell r="H5335"/>
          <cell r="I5335"/>
          <cell r="J5335"/>
          <cell r="L5335"/>
        </row>
        <row r="5336">
          <cell r="A5336"/>
          <cell r="D5336"/>
          <cell r="E5336"/>
          <cell r="F5336"/>
          <cell r="G5336"/>
          <cell r="H5336"/>
          <cell r="I5336"/>
          <cell r="J5336"/>
          <cell r="L5336"/>
        </row>
        <row r="5337">
          <cell r="A5337"/>
          <cell r="D5337"/>
          <cell r="E5337"/>
          <cell r="F5337"/>
          <cell r="G5337"/>
          <cell r="H5337"/>
          <cell r="I5337"/>
          <cell r="J5337"/>
          <cell r="L5337"/>
        </row>
        <row r="5338">
          <cell r="A5338"/>
          <cell r="D5338"/>
          <cell r="E5338"/>
          <cell r="F5338"/>
          <cell r="G5338"/>
          <cell r="H5338"/>
          <cell r="I5338"/>
          <cell r="J5338"/>
          <cell r="L5338"/>
        </row>
        <row r="5339">
          <cell r="A5339"/>
          <cell r="D5339"/>
          <cell r="E5339"/>
          <cell r="F5339"/>
          <cell r="G5339"/>
          <cell r="H5339"/>
          <cell r="I5339"/>
          <cell r="J5339"/>
          <cell r="L5339"/>
        </row>
        <row r="5340">
          <cell r="A5340"/>
          <cell r="D5340"/>
          <cell r="E5340"/>
          <cell r="F5340"/>
          <cell r="G5340"/>
          <cell r="H5340"/>
          <cell r="I5340"/>
          <cell r="J5340"/>
          <cell r="L5340"/>
        </row>
        <row r="5341">
          <cell r="A5341"/>
          <cell r="D5341"/>
          <cell r="E5341"/>
          <cell r="F5341"/>
          <cell r="G5341"/>
          <cell r="H5341"/>
          <cell r="I5341"/>
          <cell r="J5341"/>
          <cell r="L5341"/>
        </row>
        <row r="5342">
          <cell r="A5342"/>
          <cell r="D5342"/>
          <cell r="E5342"/>
          <cell r="F5342"/>
          <cell r="G5342"/>
          <cell r="H5342"/>
          <cell r="I5342"/>
          <cell r="J5342"/>
          <cell r="L5342"/>
        </row>
        <row r="5343">
          <cell r="A5343"/>
          <cell r="D5343"/>
          <cell r="E5343"/>
          <cell r="F5343"/>
          <cell r="G5343"/>
          <cell r="H5343"/>
          <cell r="I5343"/>
          <cell r="J5343"/>
          <cell r="L5343"/>
        </row>
        <row r="5344">
          <cell r="A5344"/>
          <cell r="D5344"/>
          <cell r="E5344"/>
          <cell r="F5344"/>
          <cell r="G5344"/>
          <cell r="H5344"/>
          <cell r="I5344"/>
          <cell r="J5344"/>
          <cell r="L5344"/>
        </row>
        <row r="5345">
          <cell r="A5345"/>
          <cell r="D5345"/>
          <cell r="E5345"/>
          <cell r="F5345"/>
          <cell r="G5345"/>
          <cell r="H5345"/>
          <cell r="I5345"/>
          <cell r="J5345"/>
          <cell r="L5345"/>
        </row>
        <row r="5346">
          <cell r="A5346"/>
          <cell r="D5346"/>
          <cell r="E5346"/>
          <cell r="F5346"/>
          <cell r="G5346"/>
          <cell r="H5346"/>
          <cell r="I5346"/>
          <cell r="J5346"/>
          <cell r="L5346"/>
        </row>
        <row r="5347">
          <cell r="A5347"/>
          <cell r="D5347"/>
          <cell r="E5347"/>
          <cell r="F5347"/>
          <cell r="G5347"/>
          <cell r="H5347"/>
          <cell r="I5347"/>
          <cell r="J5347"/>
          <cell r="L5347"/>
        </row>
        <row r="5348">
          <cell r="A5348"/>
          <cell r="D5348"/>
          <cell r="E5348"/>
          <cell r="F5348"/>
          <cell r="G5348"/>
          <cell r="H5348"/>
          <cell r="I5348"/>
          <cell r="J5348"/>
          <cell r="L5348"/>
        </row>
        <row r="5349">
          <cell r="A5349"/>
          <cell r="D5349"/>
          <cell r="E5349"/>
          <cell r="F5349"/>
          <cell r="G5349"/>
          <cell r="H5349"/>
          <cell r="I5349"/>
          <cell r="J5349"/>
          <cell r="L5349"/>
        </row>
        <row r="5350">
          <cell r="A5350"/>
          <cell r="D5350"/>
          <cell r="E5350"/>
          <cell r="F5350"/>
          <cell r="G5350"/>
          <cell r="H5350"/>
          <cell r="I5350"/>
          <cell r="J5350"/>
          <cell r="L5350"/>
        </row>
        <row r="5351">
          <cell r="A5351"/>
          <cell r="D5351"/>
          <cell r="E5351"/>
          <cell r="F5351"/>
          <cell r="G5351"/>
          <cell r="H5351"/>
          <cell r="I5351"/>
          <cell r="J5351"/>
          <cell r="L5351"/>
        </row>
        <row r="5352">
          <cell r="A5352"/>
          <cell r="D5352"/>
          <cell r="E5352"/>
          <cell r="F5352"/>
          <cell r="G5352"/>
          <cell r="H5352"/>
          <cell r="I5352"/>
          <cell r="J5352"/>
          <cell r="L5352"/>
        </row>
        <row r="5353">
          <cell r="A5353"/>
          <cell r="D5353"/>
          <cell r="E5353"/>
          <cell r="F5353"/>
          <cell r="G5353"/>
          <cell r="H5353"/>
          <cell r="I5353"/>
          <cell r="J5353"/>
          <cell r="L5353"/>
        </row>
        <row r="5354">
          <cell r="A5354"/>
          <cell r="D5354"/>
          <cell r="E5354"/>
          <cell r="F5354"/>
          <cell r="G5354"/>
          <cell r="H5354"/>
          <cell r="I5354"/>
          <cell r="J5354"/>
          <cell r="L5354"/>
        </row>
        <row r="5355">
          <cell r="A5355"/>
          <cell r="D5355"/>
          <cell r="E5355"/>
          <cell r="F5355"/>
          <cell r="G5355"/>
          <cell r="H5355"/>
          <cell r="I5355"/>
          <cell r="J5355"/>
          <cell r="L5355"/>
        </row>
        <row r="5356">
          <cell r="A5356"/>
          <cell r="D5356"/>
          <cell r="E5356"/>
          <cell r="F5356"/>
          <cell r="G5356"/>
          <cell r="H5356"/>
          <cell r="I5356"/>
          <cell r="J5356"/>
          <cell r="L5356"/>
        </row>
        <row r="5357">
          <cell r="A5357"/>
          <cell r="D5357"/>
          <cell r="E5357"/>
          <cell r="F5357"/>
          <cell r="G5357"/>
          <cell r="H5357"/>
          <cell r="I5357"/>
          <cell r="J5357"/>
          <cell r="L5357"/>
        </row>
        <row r="5358">
          <cell r="A5358"/>
          <cell r="D5358"/>
          <cell r="E5358"/>
          <cell r="F5358"/>
          <cell r="G5358"/>
          <cell r="H5358"/>
          <cell r="I5358"/>
          <cell r="J5358"/>
          <cell r="L5358"/>
        </row>
        <row r="5359">
          <cell r="A5359"/>
          <cell r="D5359"/>
          <cell r="E5359"/>
          <cell r="F5359"/>
          <cell r="G5359"/>
          <cell r="H5359"/>
          <cell r="I5359"/>
          <cell r="J5359"/>
          <cell r="L5359"/>
        </row>
        <row r="5360">
          <cell r="A5360"/>
          <cell r="D5360"/>
          <cell r="E5360"/>
          <cell r="F5360"/>
          <cell r="G5360"/>
          <cell r="H5360"/>
          <cell r="I5360"/>
          <cell r="J5360"/>
          <cell r="L5360"/>
        </row>
        <row r="5361">
          <cell r="A5361"/>
          <cell r="D5361"/>
          <cell r="E5361"/>
          <cell r="F5361"/>
          <cell r="G5361"/>
          <cell r="H5361"/>
          <cell r="I5361"/>
          <cell r="J5361"/>
          <cell r="L5361"/>
        </row>
        <row r="5362">
          <cell r="A5362"/>
          <cell r="D5362"/>
          <cell r="E5362"/>
          <cell r="F5362"/>
          <cell r="G5362"/>
          <cell r="H5362"/>
          <cell r="I5362"/>
          <cell r="J5362"/>
          <cell r="L5362"/>
        </row>
        <row r="5363">
          <cell r="A5363"/>
          <cell r="D5363"/>
          <cell r="E5363"/>
          <cell r="F5363"/>
          <cell r="G5363"/>
          <cell r="H5363"/>
          <cell r="I5363"/>
          <cell r="J5363"/>
          <cell r="L5363"/>
        </row>
        <row r="5364">
          <cell r="A5364"/>
          <cell r="D5364"/>
          <cell r="E5364"/>
          <cell r="F5364"/>
          <cell r="G5364"/>
          <cell r="H5364"/>
          <cell r="I5364"/>
          <cell r="J5364"/>
          <cell r="L5364"/>
        </row>
        <row r="5365">
          <cell r="A5365"/>
          <cell r="D5365"/>
          <cell r="E5365"/>
          <cell r="F5365"/>
          <cell r="G5365"/>
          <cell r="H5365"/>
          <cell r="I5365"/>
          <cell r="J5365"/>
          <cell r="L5365"/>
        </row>
        <row r="5366">
          <cell r="A5366"/>
          <cell r="D5366"/>
          <cell r="E5366"/>
          <cell r="F5366"/>
          <cell r="G5366"/>
          <cell r="H5366"/>
          <cell r="I5366"/>
          <cell r="J5366"/>
          <cell r="L5366"/>
        </row>
        <row r="5367">
          <cell r="A5367"/>
          <cell r="D5367"/>
          <cell r="E5367"/>
          <cell r="F5367"/>
          <cell r="G5367"/>
          <cell r="H5367"/>
          <cell r="I5367"/>
          <cell r="J5367"/>
          <cell r="L5367"/>
        </row>
        <row r="5368">
          <cell r="A5368"/>
          <cell r="D5368"/>
          <cell r="E5368"/>
          <cell r="F5368"/>
          <cell r="G5368"/>
          <cell r="H5368"/>
          <cell r="I5368"/>
          <cell r="J5368"/>
          <cell r="L5368"/>
        </row>
        <row r="5369">
          <cell r="A5369"/>
          <cell r="D5369"/>
          <cell r="E5369"/>
          <cell r="F5369"/>
          <cell r="G5369"/>
          <cell r="H5369"/>
          <cell r="I5369"/>
          <cell r="J5369"/>
          <cell r="L5369"/>
        </row>
        <row r="5370">
          <cell r="A5370"/>
          <cell r="D5370"/>
          <cell r="E5370"/>
          <cell r="F5370"/>
          <cell r="G5370"/>
          <cell r="H5370"/>
          <cell r="I5370"/>
          <cell r="J5370"/>
          <cell r="L5370"/>
        </row>
        <row r="5371">
          <cell r="A5371"/>
          <cell r="D5371"/>
          <cell r="E5371"/>
          <cell r="F5371"/>
          <cell r="G5371"/>
          <cell r="H5371"/>
          <cell r="I5371"/>
          <cell r="J5371"/>
          <cell r="L5371"/>
        </row>
        <row r="5372">
          <cell r="A5372"/>
          <cell r="D5372"/>
          <cell r="E5372"/>
          <cell r="F5372"/>
          <cell r="G5372"/>
          <cell r="H5372"/>
          <cell r="I5372"/>
          <cell r="J5372"/>
          <cell r="L5372"/>
        </row>
        <row r="5373">
          <cell r="A5373"/>
          <cell r="D5373"/>
          <cell r="E5373"/>
          <cell r="F5373"/>
          <cell r="G5373"/>
          <cell r="H5373"/>
          <cell r="I5373"/>
          <cell r="J5373"/>
          <cell r="L5373"/>
        </row>
        <row r="5374">
          <cell r="A5374"/>
          <cell r="D5374"/>
          <cell r="E5374"/>
          <cell r="F5374"/>
          <cell r="G5374"/>
          <cell r="H5374"/>
          <cell r="I5374"/>
          <cell r="J5374"/>
          <cell r="L5374"/>
        </row>
        <row r="5375">
          <cell r="A5375"/>
          <cell r="D5375"/>
          <cell r="E5375"/>
          <cell r="F5375"/>
          <cell r="G5375"/>
          <cell r="H5375"/>
          <cell r="I5375"/>
          <cell r="J5375"/>
          <cell r="L5375"/>
        </row>
        <row r="5376">
          <cell r="A5376"/>
          <cell r="D5376"/>
          <cell r="E5376"/>
          <cell r="F5376"/>
          <cell r="G5376"/>
          <cell r="H5376"/>
          <cell r="I5376"/>
          <cell r="J5376"/>
          <cell r="L5376"/>
        </row>
        <row r="5377">
          <cell r="A5377"/>
          <cell r="D5377"/>
          <cell r="E5377"/>
          <cell r="F5377"/>
          <cell r="G5377"/>
          <cell r="H5377"/>
          <cell r="I5377"/>
          <cell r="J5377"/>
          <cell r="L5377"/>
        </row>
        <row r="5378">
          <cell r="A5378"/>
          <cell r="D5378"/>
          <cell r="E5378"/>
          <cell r="F5378"/>
          <cell r="G5378"/>
          <cell r="H5378"/>
          <cell r="I5378"/>
          <cell r="J5378"/>
          <cell r="L5378"/>
        </row>
        <row r="5379">
          <cell r="A5379"/>
          <cell r="D5379"/>
          <cell r="E5379"/>
          <cell r="F5379"/>
          <cell r="G5379"/>
          <cell r="H5379"/>
          <cell r="I5379"/>
          <cell r="J5379"/>
          <cell r="L5379"/>
        </row>
        <row r="5380">
          <cell r="A5380"/>
          <cell r="D5380"/>
          <cell r="E5380"/>
          <cell r="F5380"/>
          <cell r="G5380"/>
          <cell r="H5380"/>
          <cell r="I5380"/>
          <cell r="J5380"/>
          <cell r="L5380"/>
        </row>
        <row r="5381">
          <cell r="A5381"/>
          <cell r="D5381"/>
          <cell r="E5381"/>
          <cell r="F5381"/>
          <cell r="G5381"/>
          <cell r="H5381"/>
          <cell r="I5381"/>
          <cell r="J5381"/>
          <cell r="L5381"/>
        </row>
        <row r="5382">
          <cell r="A5382"/>
          <cell r="D5382"/>
          <cell r="E5382"/>
          <cell r="F5382"/>
          <cell r="G5382"/>
          <cell r="H5382"/>
          <cell r="I5382"/>
          <cell r="J5382"/>
          <cell r="L5382"/>
        </row>
        <row r="5383">
          <cell r="A5383"/>
          <cell r="D5383"/>
          <cell r="E5383"/>
          <cell r="F5383"/>
          <cell r="G5383"/>
          <cell r="H5383"/>
          <cell r="I5383"/>
          <cell r="J5383"/>
          <cell r="L5383"/>
        </row>
        <row r="5384">
          <cell r="A5384"/>
          <cell r="D5384"/>
          <cell r="E5384"/>
          <cell r="F5384"/>
          <cell r="G5384"/>
          <cell r="H5384"/>
          <cell r="I5384"/>
          <cell r="J5384"/>
          <cell r="L5384"/>
        </row>
        <row r="5385">
          <cell r="A5385"/>
          <cell r="D5385"/>
          <cell r="E5385"/>
          <cell r="F5385"/>
          <cell r="G5385"/>
          <cell r="H5385"/>
          <cell r="I5385"/>
          <cell r="J5385"/>
          <cell r="L5385"/>
        </row>
        <row r="5386">
          <cell r="A5386"/>
          <cell r="D5386"/>
          <cell r="E5386"/>
          <cell r="F5386"/>
          <cell r="G5386"/>
          <cell r="H5386"/>
          <cell r="I5386"/>
          <cell r="J5386"/>
          <cell r="L5386"/>
        </row>
        <row r="5387">
          <cell r="A5387"/>
          <cell r="D5387"/>
          <cell r="E5387"/>
          <cell r="F5387"/>
          <cell r="G5387"/>
          <cell r="H5387"/>
          <cell r="I5387"/>
          <cell r="J5387"/>
          <cell r="L5387"/>
        </row>
        <row r="5388">
          <cell r="A5388"/>
          <cell r="D5388"/>
          <cell r="E5388"/>
          <cell r="F5388"/>
          <cell r="G5388"/>
          <cell r="H5388"/>
          <cell r="I5388"/>
          <cell r="J5388"/>
          <cell r="L5388"/>
        </row>
        <row r="5389">
          <cell r="A5389"/>
          <cell r="D5389"/>
          <cell r="E5389"/>
          <cell r="F5389"/>
          <cell r="G5389"/>
          <cell r="H5389"/>
          <cell r="I5389"/>
          <cell r="J5389"/>
          <cell r="L5389"/>
        </row>
        <row r="5390">
          <cell r="A5390"/>
          <cell r="D5390"/>
          <cell r="E5390"/>
          <cell r="F5390"/>
          <cell r="G5390"/>
          <cell r="H5390"/>
          <cell r="I5390"/>
          <cell r="J5390"/>
          <cell r="L5390"/>
        </row>
        <row r="5391">
          <cell r="A5391"/>
          <cell r="D5391"/>
          <cell r="E5391"/>
          <cell r="F5391"/>
          <cell r="G5391"/>
          <cell r="H5391"/>
          <cell r="I5391"/>
          <cell r="J5391"/>
          <cell r="L5391"/>
        </row>
        <row r="5392">
          <cell r="A5392"/>
          <cell r="D5392"/>
          <cell r="E5392"/>
          <cell r="F5392"/>
          <cell r="G5392"/>
          <cell r="H5392"/>
          <cell r="I5392"/>
          <cell r="J5392"/>
          <cell r="L5392"/>
        </row>
        <row r="5393">
          <cell r="A5393"/>
          <cell r="D5393"/>
          <cell r="E5393"/>
          <cell r="F5393"/>
          <cell r="G5393"/>
          <cell r="H5393"/>
          <cell r="I5393"/>
          <cell r="J5393"/>
          <cell r="L5393"/>
        </row>
        <row r="5394">
          <cell r="A5394"/>
          <cell r="D5394"/>
          <cell r="E5394"/>
          <cell r="F5394"/>
          <cell r="G5394"/>
          <cell r="H5394"/>
          <cell r="I5394"/>
          <cell r="J5394"/>
          <cell r="L5394"/>
        </row>
        <row r="5395">
          <cell r="A5395"/>
          <cell r="D5395"/>
          <cell r="E5395"/>
          <cell r="F5395"/>
          <cell r="G5395"/>
          <cell r="H5395"/>
          <cell r="I5395"/>
          <cell r="J5395"/>
          <cell r="L5395"/>
        </row>
        <row r="5396">
          <cell r="A5396"/>
          <cell r="D5396"/>
          <cell r="E5396"/>
          <cell r="F5396"/>
          <cell r="G5396"/>
          <cell r="H5396"/>
          <cell r="I5396"/>
          <cell r="J5396"/>
          <cell r="L5396"/>
        </row>
        <row r="5397">
          <cell r="A5397"/>
          <cell r="D5397"/>
          <cell r="E5397"/>
          <cell r="F5397"/>
          <cell r="G5397"/>
          <cell r="H5397"/>
          <cell r="I5397"/>
          <cell r="J5397"/>
          <cell r="L5397"/>
        </row>
        <row r="5398">
          <cell r="A5398"/>
          <cell r="D5398"/>
          <cell r="E5398"/>
          <cell r="F5398"/>
          <cell r="G5398"/>
          <cell r="H5398"/>
          <cell r="I5398"/>
          <cell r="J5398"/>
          <cell r="L5398"/>
        </row>
        <row r="5399">
          <cell r="A5399"/>
          <cell r="D5399"/>
          <cell r="E5399"/>
          <cell r="F5399"/>
          <cell r="G5399"/>
          <cell r="H5399"/>
          <cell r="I5399"/>
          <cell r="J5399"/>
          <cell r="L5399"/>
        </row>
        <row r="5400">
          <cell r="A5400"/>
          <cell r="D5400"/>
          <cell r="E5400"/>
          <cell r="F5400"/>
          <cell r="G5400"/>
          <cell r="H5400"/>
          <cell r="I5400"/>
          <cell r="J5400"/>
          <cell r="L5400"/>
        </row>
        <row r="5401">
          <cell r="A5401"/>
          <cell r="D5401"/>
          <cell r="E5401"/>
          <cell r="F5401"/>
          <cell r="G5401"/>
          <cell r="H5401"/>
          <cell r="I5401"/>
          <cell r="J5401"/>
          <cell r="L5401"/>
        </row>
        <row r="5402">
          <cell r="A5402"/>
          <cell r="D5402"/>
          <cell r="E5402"/>
          <cell r="F5402"/>
          <cell r="G5402"/>
          <cell r="H5402"/>
          <cell r="I5402"/>
          <cell r="J5402"/>
          <cell r="L5402"/>
        </row>
        <row r="5403">
          <cell r="A5403"/>
          <cell r="D5403"/>
          <cell r="E5403"/>
          <cell r="F5403"/>
          <cell r="G5403"/>
          <cell r="H5403"/>
          <cell r="I5403"/>
          <cell r="J5403"/>
          <cell r="L5403"/>
        </row>
        <row r="5404">
          <cell r="A5404"/>
          <cell r="D5404"/>
          <cell r="E5404"/>
          <cell r="F5404"/>
          <cell r="G5404"/>
          <cell r="H5404"/>
          <cell r="I5404"/>
          <cell r="J5404"/>
          <cell r="L5404"/>
        </row>
        <row r="5405">
          <cell r="A5405"/>
          <cell r="D5405"/>
          <cell r="E5405"/>
          <cell r="F5405"/>
          <cell r="G5405"/>
          <cell r="H5405"/>
          <cell r="I5405"/>
          <cell r="J5405"/>
          <cell r="L5405"/>
        </row>
        <row r="5406">
          <cell r="A5406"/>
          <cell r="D5406"/>
          <cell r="E5406"/>
          <cell r="F5406"/>
          <cell r="G5406"/>
          <cell r="H5406"/>
          <cell r="I5406"/>
          <cell r="J5406"/>
          <cell r="L5406"/>
        </row>
        <row r="5407">
          <cell r="A5407"/>
          <cell r="D5407"/>
          <cell r="E5407"/>
          <cell r="F5407"/>
          <cell r="G5407"/>
          <cell r="H5407"/>
          <cell r="I5407"/>
          <cell r="J5407"/>
          <cell r="L5407"/>
        </row>
        <row r="5408">
          <cell r="A5408"/>
          <cell r="D5408"/>
          <cell r="E5408"/>
          <cell r="F5408"/>
          <cell r="G5408"/>
          <cell r="H5408"/>
          <cell r="I5408"/>
          <cell r="J5408"/>
          <cell r="L5408"/>
        </row>
        <row r="5409">
          <cell r="A5409"/>
          <cell r="D5409"/>
          <cell r="E5409"/>
          <cell r="F5409"/>
          <cell r="G5409"/>
          <cell r="H5409"/>
          <cell r="I5409"/>
          <cell r="J5409"/>
          <cell r="L5409"/>
        </row>
        <row r="5410">
          <cell r="A5410"/>
          <cell r="D5410"/>
          <cell r="E5410"/>
          <cell r="F5410"/>
          <cell r="G5410"/>
          <cell r="H5410"/>
          <cell r="I5410"/>
          <cell r="J5410"/>
          <cell r="L5410"/>
        </row>
        <row r="5411">
          <cell r="A5411"/>
          <cell r="D5411"/>
          <cell r="E5411"/>
          <cell r="F5411"/>
          <cell r="G5411"/>
          <cell r="H5411"/>
          <cell r="I5411"/>
          <cell r="J5411"/>
          <cell r="L5411"/>
        </row>
        <row r="5412">
          <cell r="A5412"/>
          <cell r="D5412"/>
          <cell r="E5412"/>
          <cell r="F5412"/>
          <cell r="G5412"/>
          <cell r="H5412"/>
          <cell r="I5412"/>
          <cell r="J5412"/>
          <cell r="L5412"/>
        </row>
        <row r="5413">
          <cell r="A5413"/>
          <cell r="D5413"/>
          <cell r="E5413"/>
          <cell r="F5413"/>
          <cell r="G5413"/>
          <cell r="H5413"/>
          <cell r="I5413"/>
          <cell r="J5413"/>
          <cell r="L5413"/>
        </row>
        <row r="5414">
          <cell r="A5414"/>
          <cell r="D5414"/>
          <cell r="E5414"/>
          <cell r="F5414"/>
          <cell r="G5414"/>
          <cell r="H5414"/>
          <cell r="I5414"/>
          <cell r="J5414"/>
          <cell r="L5414"/>
        </row>
        <row r="5415">
          <cell r="A5415"/>
          <cell r="D5415"/>
          <cell r="E5415"/>
          <cell r="F5415"/>
          <cell r="G5415"/>
          <cell r="H5415"/>
          <cell r="I5415"/>
          <cell r="J5415"/>
          <cell r="L5415"/>
        </row>
        <row r="5416">
          <cell r="A5416"/>
          <cell r="D5416"/>
          <cell r="E5416"/>
          <cell r="F5416"/>
          <cell r="G5416"/>
          <cell r="H5416"/>
          <cell r="I5416"/>
          <cell r="J5416"/>
          <cell r="L5416"/>
        </row>
        <row r="5417">
          <cell r="A5417"/>
          <cell r="D5417"/>
          <cell r="E5417"/>
          <cell r="F5417"/>
          <cell r="G5417"/>
          <cell r="H5417"/>
          <cell r="I5417"/>
          <cell r="J5417"/>
          <cell r="L5417"/>
        </row>
        <row r="5418">
          <cell r="A5418"/>
          <cell r="D5418"/>
          <cell r="E5418"/>
          <cell r="F5418"/>
          <cell r="G5418"/>
          <cell r="H5418"/>
          <cell r="I5418"/>
          <cell r="J5418"/>
          <cell r="L5418"/>
        </row>
        <row r="5419">
          <cell r="A5419"/>
          <cell r="D5419"/>
          <cell r="E5419"/>
          <cell r="F5419"/>
          <cell r="G5419"/>
          <cell r="H5419"/>
          <cell r="I5419"/>
          <cell r="J5419"/>
          <cell r="L5419"/>
        </row>
        <row r="5420">
          <cell r="A5420"/>
          <cell r="D5420"/>
          <cell r="E5420"/>
          <cell r="F5420"/>
          <cell r="G5420"/>
          <cell r="H5420"/>
          <cell r="I5420"/>
          <cell r="J5420"/>
          <cell r="L5420"/>
        </row>
        <row r="5421">
          <cell r="A5421"/>
          <cell r="D5421"/>
          <cell r="E5421"/>
          <cell r="F5421"/>
          <cell r="G5421"/>
          <cell r="H5421"/>
          <cell r="I5421"/>
          <cell r="J5421"/>
          <cell r="L5421"/>
        </row>
        <row r="5422">
          <cell r="A5422"/>
          <cell r="D5422"/>
          <cell r="E5422"/>
          <cell r="F5422"/>
          <cell r="G5422"/>
          <cell r="H5422"/>
          <cell r="I5422"/>
          <cell r="J5422"/>
          <cell r="L5422"/>
        </row>
        <row r="5423">
          <cell r="A5423"/>
          <cell r="D5423"/>
          <cell r="E5423"/>
          <cell r="F5423"/>
          <cell r="G5423"/>
          <cell r="H5423"/>
          <cell r="I5423"/>
          <cell r="J5423"/>
          <cell r="L5423"/>
        </row>
        <row r="5424">
          <cell r="A5424"/>
          <cell r="D5424"/>
          <cell r="E5424"/>
          <cell r="F5424"/>
          <cell r="G5424"/>
          <cell r="H5424"/>
          <cell r="I5424"/>
          <cell r="J5424"/>
          <cell r="L5424"/>
        </row>
        <row r="5425">
          <cell r="A5425"/>
          <cell r="D5425"/>
          <cell r="E5425"/>
          <cell r="F5425"/>
          <cell r="G5425"/>
          <cell r="H5425"/>
          <cell r="I5425"/>
          <cell r="J5425"/>
          <cell r="L5425"/>
        </row>
        <row r="5426">
          <cell r="A5426"/>
          <cell r="D5426"/>
          <cell r="E5426"/>
          <cell r="F5426"/>
          <cell r="G5426"/>
          <cell r="H5426"/>
          <cell r="I5426"/>
          <cell r="J5426"/>
          <cell r="L5426"/>
        </row>
        <row r="5427">
          <cell r="A5427"/>
          <cell r="D5427"/>
          <cell r="E5427"/>
          <cell r="F5427"/>
          <cell r="G5427"/>
          <cell r="H5427"/>
          <cell r="I5427"/>
          <cell r="J5427"/>
          <cell r="L5427"/>
        </row>
        <row r="5428">
          <cell r="A5428"/>
          <cell r="D5428"/>
          <cell r="E5428"/>
          <cell r="F5428"/>
          <cell r="G5428"/>
          <cell r="H5428"/>
          <cell r="I5428"/>
          <cell r="J5428"/>
          <cell r="L5428"/>
        </row>
        <row r="5429">
          <cell r="A5429"/>
          <cell r="D5429"/>
          <cell r="E5429"/>
          <cell r="F5429"/>
          <cell r="G5429"/>
          <cell r="H5429"/>
          <cell r="I5429"/>
          <cell r="J5429"/>
          <cell r="L5429"/>
        </row>
        <row r="5430">
          <cell r="A5430"/>
          <cell r="D5430"/>
          <cell r="E5430"/>
          <cell r="F5430"/>
          <cell r="G5430"/>
          <cell r="H5430"/>
          <cell r="I5430"/>
          <cell r="J5430"/>
          <cell r="L5430"/>
        </row>
        <row r="5431">
          <cell r="A5431"/>
          <cell r="D5431"/>
          <cell r="E5431"/>
          <cell r="F5431"/>
          <cell r="G5431"/>
          <cell r="H5431"/>
          <cell r="I5431"/>
          <cell r="J5431"/>
          <cell r="L5431"/>
        </row>
        <row r="5432">
          <cell r="A5432"/>
          <cell r="D5432"/>
          <cell r="E5432"/>
          <cell r="F5432"/>
          <cell r="G5432"/>
          <cell r="H5432"/>
          <cell r="I5432"/>
          <cell r="J5432"/>
          <cell r="L5432"/>
        </row>
        <row r="5433">
          <cell r="A5433"/>
          <cell r="D5433"/>
          <cell r="E5433"/>
          <cell r="F5433"/>
          <cell r="G5433"/>
          <cell r="H5433"/>
          <cell r="I5433"/>
          <cell r="J5433"/>
          <cell r="L5433"/>
        </row>
        <row r="5434">
          <cell r="A5434"/>
          <cell r="D5434"/>
          <cell r="E5434"/>
          <cell r="F5434"/>
          <cell r="G5434"/>
          <cell r="H5434"/>
          <cell r="I5434"/>
          <cell r="J5434"/>
          <cell r="L5434"/>
        </row>
        <row r="5435">
          <cell r="A5435"/>
          <cell r="D5435"/>
          <cell r="E5435"/>
          <cell r="F5435"/>
          <cell r="G5435"/>
          <cell r="H5435"/>
          <cell r="I5435"/>
          <cell r="J5435"/>
          <cell r="L5435"/>
        </row>
        <row r="5436">
          <cell r="A5436"/>
          <cell r="D5436"/>
          <cell r="E5436"/>
          <cell r="F5436"/>
          <cell r="G5436"/>
          <cell r="H5436"/>
          <cell r="I5436"/>
          <cell r="J5436"/>
          <cell r="L5436"/>
        </row>
        <row r="5437">
          <cell r="A5437"/>
          <cell r="D5437"/>
          <cell r="E5437"/>
          <cell r="F5437"/>
          <cell r="G5437"/>
          <cell r="H5437"/>
          <cell r="I5437"/>
          <cell r="J5437"/>
          <cell r="L5437"/>
        </row>
        <row r="5438">
          <cell r="A5438"/>
          <cell r="D5438"/>
          <cell r="E5438"/>
          <cell r="F5438"/>
          <cell r="G5438"/>
          <cell r="H5438"/>
          <cell r="I5438"/>
          <cell r="J5438"/>
          <cell r="L5438"/>
        </row>
        <row r="5439">
          <cell r="A5439"/>
          <cell r="D5439"/>
          <cell r="E5439"/>
          <cell r="F5439"/>
          <cell r="G5439"/>
          <cell r="H5439"/>
          <cell r="I5439"/>
          <cell r="J5439"/>
          <cell r="L5439"/>
        </row>
        <row r="5440">
          <cell r="A5440"/>
          <cell r="D5440"/>
          <cell r="E5440"/>
          <cell r="F5440"/>
          <cell r="G5440"/>
          <cell r="H5440"/>
          <cell r="I5440"/>
          <cell r="J5440"/>
          <cell r="L5440"/>
        </row>
        <row r="5441">
          <cell r="A5441"/>
          <cell r="D5441"/>
          <cell r="E5441"/>
          <cell r="F5441"/>
          <cell r="G5441"/>
          <cell r="H5441"/>
          <cell r="I5441"/>
          <cell r="J5441"/>
          <cell r="L5441"/>
        </row>
        <row r="5442">
          <cell r="A5442"/>
          <cell r="D5442"/>
          <cell r="E5442"/>
          <cell r="F5442"/>
          <cell r="G5442"/>
          <cell r="H5442"/>
          <cell r="I5442"/>
          <cell r="J5442"/>
          <cell r="L5442"/>
        </row>
        <row r="5443">
          <cell r="A5443"/>
          <cell r="D5443"/>
          <cell r="E5443"/>
          <cell r="F5443"/>
          <cell r="G5443"/>
          <cell r="H5443"/>
          <cell r="I5443"/>
          <cell r="J5443"/>
          <cell r="L5443"/>
        </row>
        <row r="5444">
          <cell r="A5444"/>
          <cell r="D5444"/>
          <cell r="E5444"/>
          <cell r="F5444"/>
          <cell r="G5444"/>
          <cell r="H5444"/>
          <cell r="I5444"/>
          <cell r="J5444"/>
          <cell r="L5444"/>
        </row>
        <row r="5445">
          <cell r="A5445"/>
          <cell r="D5445"/>
          <cell r="E5445"/>
          <cell r="F5445"/>
          <cell r="G5445"/>
          <cell r="H5445"/>
          <cell r="I5445"/>
          <cell r="J5445"/>
          <cell r="L5445"/>
        </row>
        <row r="5446">
          <cell r="A5446"/>
          <cell r="D5446"/>
          <cell r="E5446"/>
          <cell r="F5446"/>
          <cell r="G5446"/>
          <cell r="H5446"/>
          <cell r="I5446"/>
          <cell r="J5446"/>
          <cell r="L5446"/>
        </row>
        <row r="5447">
          <cell r="A5447"/>
          <cell r="D5447"/>
          <cell r="E5447"/>
          <cell r="F5447"/>
          <cell r="G5447"/>
          <cell r="H5447"/>
          <cell r="I5447"/>
          <cell r="J5447"/>
          <cell r="L5447"/>
        </row>
        <row r="5448">
          <cell r="A5448"/>
          <cell r="D5448"/>
          <cell r="E5448"/>
          <cell r="F5448"/>
          <cell r="G5448"/>
          <cell r="H5448"/>
          <cell r="I5448"/>
          <cell r="J5448"/>
          <cell r="L5448"/>
        </row>
        <row r="5449">
          <cell r="A5449"/>
          <cell r="D5449"/>
          <cell r="E5449"/>
          <cell r="F5449"/>
          <cell r="G5449"/>
          <cell r="H5449"/>
          <cell r="I5449"/>
          <cell r="J5449"/>
          <cell r="L5449"/>
        </row>
        <row r="5450">
          <cell r="A5450"/>
          <cell r="D5450"/>
          <cell r="E5450"/>
          <cell r="F5450"/>
          <cell r="G5450"/>
          <cell r="H5450"/>
          <cell r="I5450"/>
          <cell r="J5450"/>
          <cell r="L5450"/>
        </row>
        <row r="5451">
          <cell r="A5451"/>
          <cell r="D5451"/>
          <cell r="E5451"/>
          <cell r="F5451"/>
          <cell r="G5451"/>
          <cell r="H5451"/>
          <cell r="I5451"/>
          <cell r="J5451"/>
          <cell r="L5451"/>
        </row>
        <row r="5452">
          <cell r="A5452"/>
          <cell r="D5452"/>
          <cell r="E5452"/>
          <cell r="F5452"/>
          <cell r="G5452"/>
          <cell r="H5452"/>
          <cell r="I5452"/>
          <cell r="J5452"/>
          <cell r="L5452"/>
        </row>
        <row r="5453">
          <cell r="A5453"/>
          <cell r="D5453"/>
          <cell r="E5453"/>
          <cell r="F5453"/>
          <cell r="G5453"/>
          <cell r="H5453"/>
          <cell r="I5453"/>
          <cell r="J5453"/>
          <cell r="L5453"/>
        </row>
        <row r="5454">
          <cell r="A5454"/>
          <cell r="D5454"/>
          <cell r="E5454"/>
          <cell r="F5454"/>
          <cell r="G5454"/>
          <cell r="H5454"/>
          <cell r="I5454"/>
          <cell r="J5454"/>
          <cell r="L5454"/>
        </row>
        <row r="5455">
          <cell r="A5455"/>
          <cell r="D5455"/>
          <cell r="E5455"/>
          <cell r="F5455"/>
          <cell r="G5455"/>
          <cell r="H5455"/>
          <cell r="I5455"/>
          <cell r="J5455"/>
          <cell r="L5455"/>
        </row>
        <row r="5456">
          <cell r="A5456"/>
          <cell r="D5456"/>
          <cell r="E5456"/>
          <cell r="F5456"/>
          <cell r="G5456"/>
          <cell r="H5456"/>
          <cell r="I5456"/>
          <cell r="J5456"/>
          <cell r="L5456"/>
        </row>
        <row r="5457">
          <cell r="A5457"/>
          <cell r="D5457"/>
          <cell r="E5457"/>
          <cell r="F5457"/>
          <cell r="G5457"/>
          <cell r="H5457"/>
          <cell r="I5457"/>
          <cell r="J5457"/>
          <cell r="L5457"/>
        </row>
        <row r="5458">
          <cell r="A5458"/>
          <cell r="D5458"/>
          <cell r="E5458"/>
          <cell r="F5458"/>
          <cell r="G5458"/>
          <cell r="H5458"/>
          <cell r="I5458"/>
          <cell r="J5458"/>
          <cell r="L5458"/>
        </row>
        <row r="5459">
          <cell r="A5459"/>
          <cell r="D5459"/>
          <cell r="E5459"/>
          <cell r="F5459"/>
          <cell r="G5459"/>
          <cell r="H5459"/>
          <cell r="I5459"/>
          <cell r="J5459"/>
          <cell r="L5459"/>
        </row>
        <row r="5460">
          <cell r="A5460"/>
          <cell r="D5460"/>
          <cell r="E5460"/>
          <cell r="F5460"/>
          <cell r="G5460"/>
          <cell r="H5460"/>
          <cell r="I5460"/>
          <cell r="J5460"/>
          <cell r="L5460"/>
        </row>
        <row r="5461">
          <cell r="A5461"/>
          <cell r="D5461"/>
          <cell r="E5461"/>
          <cell r="F5461"/>
          <cell r="G5461"/>
          <cell r="H5461"/>
          <cell r="I5461"/>
          <cell r="J5461"/>
          <cell r="L5461"/>
        </row>
        <row r="5462">
          <cell r="A5462"/>
          <cell r="D5462"/>
          <cell r="E5462"/>
          <cell r="F5462"/>
          <cell r="G5462"/>
          <cell r="H5462"/>
          <cell r="I5462"/>
          <cell r="J5462"/>
          <cell r="L5462"/>
        </row>
        <row r="5463">
          <cell r="A5463"/>
          <cell r="D5463"/>
          <cell r="E5463"/>
          <cell r="F5463"/>
          <cell r="G5463"/>
          <cell r="H5463"/>
          <cell r="I5463"/>
          <cell r="J5463"/>
          <cell r="L5463"/>
        </row>
        <row r="5464">
          <cell r="A5464"/>
          <cell r="D5464"/>
          <cell r="E5464"/>
          <cell r="F5464"/>
          <cell r="G5464"/>
          <cell r="H5464"/>
          <cell r="I5464"/>
          <cell r="J5464"/>
          <cell r="L5464"/>
        </row>
        <row r="5465">
          <cell r="A5465"/>
          <cell r="D5465"/>
          <cell r="E5465"/>
          <cell r="F5465"/>
          <cell r="G5465"/>
          <cell r="H5465"/>
          <cell r="I5465"/>
          <cell r="J5465"/>
          <cell r="L5465"/>
        </row>
        <row r="5466">
          <cell r="A5466"/>
          <cell r="D5466"/>
          <cell r="E5466"/>
          <cell r="F5466"/>
          <cell r="G5466"/>
          <cell r="H5466"/>
          <cell r="I5466"/>
          <cell r="J5466"/>
          <cell r="L5466"/>
        </row>
        <row r="5467">
          <cell r="A5467"/>
          <cell r="D5467"/>
          <cell r="E5467"/>
          <cell r="F5467"/>
          <cell r="G5467"/>
          <cell r="H5467"/>
          <cell r="I5467"/>
          <cell r="J5467"/>
          <cell r="L5467"/>
        </row>
        <row r="5468">
          <cell r="A5468"/>
          <cell r="D5468"/>
          <cell r="E5468"/>
          <cell r="F5468"/>
          <cell r="G5468"/>
          <cell r="H5468"/>
          <cell r="I5468"/>
          <cell r="J5468"/>
          <cell r="L5468"/>
        </row>
        <row r="5469">
          <cell r="A5469"/>
          <cell r="D5469"/>
          <cell r="E5469"/>
          <cell r="F5469"/>
          <cell r="G5469"/>
          <cell r="H5469"/>
          <cell r="I5469"/>
          <cell r="J5469"/>
          <cell r="L5469"/>
        </row>
        <row r="5470">
          <cell r="A5470"/>
          <cell r="D5470"/>
          <cell r="E5470"/>
          <cell r="F5470"/>
          <cell r="G5470"/>
          <cell r="H5470"/>
          <cell r="I5470"/>
          <cell r="J5470"/>
          <cell r="L5470"/>
        </row>
        <row r="5471">
          <cell r="A5471"/>
          <cell r="D5471"/>
          <cell r="E5471"/>
          <cell r="F5471"/>
          <cell r="G5471"/>
          <cell r="H5471"/>
          <cell r="I5471"/>
          <cell r="J5471"/>
          <cell r="L5471"/>
        </row>
        <row r="5472">
          <cell r="A5472"/>
          <cell r="D5472"/>
          <cell r="E5472"/>
          <cell r="F5472"/>
          <cell r="G5472"/>
          <cell r="H5472"/>
          <cell r="I5472"/>
          <cell r="J5472"/>
          <cell r="L5472"/>
        </row>
        <row r="5473">
          <cell r="A5473"/>
          <cell r="D5473"/>
          <cell r="E5473"/>
          <cell r="F5473"/>
          <cell r="G5473"/>
          <cell r="H5473"/>
          <cell r="I5473"/>
          <cell r="J5473"/>
          <cell r="L5473"/>
        </row>
        <row r="5474">
          <cell r="A5474"/>
          <cell r="D5474"/>
          <cell r="E5474"/>
          <cell r="F5474"/>
          <cell r="G5474"/>
          <cell r="H5474"/>
          <cell r="I5474"/>
          <cell r="J5474"/>
          <cell r="L5474"/>
        </row>
        <row r="5475">
          <cell r="A5475"/>
          <cell r="D5475"/>
          <cell r="E5475"/>
          <cell r="F5475"/>
          <cell r="G5475"/>
          <cell r="H5475"/>
          <cell r="I5475"/>
          <cell r="J5475"/>
          <cell r="L5475"/>
        </row>
        <row r="5476">
          <cell r="A5476"/>
          <cell r="D5476"/>
          <cell r="E5476"/>
          <cell r="F5476"/>
          <cell r="G5476"/>
          <cell r="H5476"/>
          <cell r="I5476"/>
          <cell r="J5476"/>
          <cell r="L5476"/>
        </row>
        <row r="5477">
          <cell r="A5477"/>
          <cell r="D5477"/>
          <cell r="E5477"/>
          <cell r="F5477"/>
          <cell r="G5477"/>
          <cell r="H5477"/>
          <cell r="I5477"/>
          <cell r="J5477"/>
          <cell r="L5477"/>
        </row>
        <row r="5478">
          <cell r="A5478"/>
          <cell r="D5478"/>
          <cell r="E5478"/>
          <cell r="F5478"/>
          <cell r="G5478"/>
          <cell r="H5478"/>
          <cell r="I5478"/>
          <cell r="J5478"/>
          <cell r="L5478"/>
        </row>
        <row r="5479">
          <cell r="A5479"/>
          <cell r="D5479"/>
          <cell r="E5479"/>
          <cell r="F5479"/>
          <cell r="G5479"/>
          <cell r="H5479"/>
          <cell r="I5479"/>
          <cell r="J5479"/>
          <cell r="L5479"/>
        </row>
        <row r="5480">
          <cell r="A5480"/>
          <cell r="D5480"/>
          <cell r="E5480"/>
          <cell r="F5480"/>
          <cell r="G5480"/>
          <cell r="H5480"/>
          <cell r="I5480"/>
          <cell r="J5480"/>
          <cell r="L5480"/>
        </row>
        <row r="5481">
          <cell r="A5481"/>
          <cell r="D5481"/>
          <cell r="E5481"/>
          <cell r="F5481"/>
          <cell r="G5481"/>
          <cell r="H5481"/>
          <cell r="I5481"/>
          <cell r="J5481"/>
          <cell r="L5481"/>
        </row>
        <row r="5482">
          <cell r="A5482"/>
          <cell r="D5482"/>
          <cell r="E5482"/>
          <cell r="F5482"/>
          <cell r="G5482"/>
          <cell r="H5482"/>
          <cell r="I5482"/>
          <cell r="J5482"/>
          <cell r="L5482"/>
        </row>
        <row r="5483">
          <cell r="A5483"/>
          <cell r="D5483"/>
          <cell r="E5483"/>
          <cell r="F5483"/>
          <cell r="G5483"/>
          <cell r="H5483"/>
          <cell r="I5483"/>
          <cell r="J5483"/>
          <cell r="L5483"/>
        </row>
        <row r="5484">
          <cell r="A5484"/>
          <cell r="D5484"/>
          <cell r="E5484"/>
          <cell r="F5484"/>
          <cell r="G5484"/>
          <cell r="H5484"/>
          <cell r="I5484"/>
          <cell r="J5484"/>
          <cell r="L5484"/>
        </row>
        <row r="5485">
          <cell r="A5485"/>
          <cell r="D5485"/>
          <cell r="E5485"/>
          <cell r="F5485"/>
          <cell r="G5485"/>
          <cell r="H5485"/>
          <cell r="I5485"/>
          <cell r="J5485"/>
          <cell r="L5485"/>
        </row>
        <row r="5486">
          <cell r="A5486"/>
          <cell r="D5486"/>
          <cell r="E5486"/>
          <cell r="F5486"/>
          <cell r="G5486"/>
          <cell r="H5486"/>
          <cell r="I5486"/>
          <cell r="J5486"/>
          <cell r="L5486"/>
        </row>
        <row r="5487">
          <cell r="A5487"/>
          <cell r="D5487"/>
          <cell r="E5487"/>
          <cell r="F5487"/>
          <cell r="G5487"/>
          <cell r="H5487"/>
          <cell r="I5487"/>
          <cell r="J5487"/>
          <cell r="L5487"/>
        </row>
        <row r="5488">
          <cell r="A5488"/>
          <cell r="D5488"/>
          <cell r="E5488"/>
          <cell r="F5488"/>
          <cell r="G5488"/>
          <cell r="H5488"/>
          <cell r="I5488"/>
          <cell r="J5488"/>
          <cell r="L5488"/>
        </row>
        <row r="5489">
          <cell r="A5489"/>
          <cell r="D5489"/>
          <cell r="E5489"/>
          <cell r="F5489"/>
          <cell r="G5489"/>
          <cell r="H5489"/>
          <cell r="I5489"/>
          <cell r="J5489"/>
          <cell r="L5489"/>
        </row>
        <row r="5490">
          <cell r="A5490"/>
          <cell r="D5490"/>
          <cell r="E5490"/>
          <cell r="F5490"/>
          <cell r="G5490"/>
          <cell r="H5490"/>
          <cell r="I5490"/>
          <cell r="J5490"/>
          <cell r="L5490"/>
        </row>
        <row r="5491">
          <cell r="A5491"/>
          <cell r="D5491"/>
          <cell r="E5491"/>
          <cell r="F5491"/>
          <cell r="G5491"/>
          <cell r="H5491"/>
          <cell r="I5491"/>
          <cell r="J5491"/>
          <cell r="L5491"/>
        </row>
        <row r="5492">
          <cell r="A5492"/>
          <cell r="D5492"/>
          <cell r="E5492"/>
          <cell r="F5492"/>
          <cell r="G5492"/>
          <cell r="H5492"/>
          <cell r="I5492"/>
          <cell r="J5492"/>
          <cell r="L5492"/>
        </row>
        <row r="5493">
          <cell r="A5493"/>
          <cell r="D5493"/>
          <cell r="E5493"/>
          <cell r="F5493"/>
          <cell r="G5493"/>
          <cell r="H5493"/>
          <cell r="I5493"/>
          <cell r="J5493"/>
          <cell r="L5493"/>
        </row>
        <row r="5494">
          <cell r="A5494"/>
          <cell r="D5494"/>
          <cell r="E5494"/>
          <cell r="F5494"/>
          <cell r="G5494"/>
          <cell r="H5494"/>
          <cell r="I5494"/>
          <cell r="J5494"/>
          <cell r="L5494"/>
        </row>
        <row r="5495">
          <cell r="A5495"/>
          <cell r="D5495"/>
          <cell r="E5495"/>
          <cell r="F5495"/>
          <cell r="G5495"/>
          <cell r="H5495"/>
          <cell r="I5495"/>
          <cell r="J5495"/>
          <cell r="L5495"/>
        </row>
        <row r="5496">
          <cell r="A5496"/>
          <cell r="D5496"/>
          <cell r="E5496"/>
          <cell r="F5496"/>
          <cell r="G5496"/>
          <cell r="H5496"/>
          <cell r="I5496"/>
          <cell r="J5496"/>
          <cell r="L5496"/>
        </row>
        <row r="5497">
          <cell r="A5497"/>
          <cell r="D5497"/>
          <cell r="E5497"/>
          <cell r="F5497"/>
          <cell r="G5497"/>
          <cell r="H5497"/>
          <cell r="I5497"/>
          <cell r="J5497"/>
          <cell r="L5497"/>
        </row>
        <row r="5498">
          <cell r="A5498"/>
          <cell r="D5498"/>
          <cell r="E5498"/>
          <cell r="F5498"/>
          <cell r="G5498"/>
          <cell r="H5498"/>
          <cell r="I5498"/>
          <cell r="J5498"/>
          <cell r="L5498"/>
        </row>
        <row r="5499">
          <cell r="A5499"/>
          <cell r="D5499"/>
          <cell r="E5499"/>
          <cell r="F5499"/>
          <cell r="G5499"/>
          <cell r="H5499"/>
          <cell r="I5499"/>
          <cell r="J5499"/>
          <cell r="L5499"/>
        </row>
        <row r="5500">
          <cell r="A5500"/>
          <cell r="D5500"/>
          <cell r="E5500"/>
          <cell r="F5500"/>
          <cell r="G5500"/>
          <cell r="H5500"/>
          <cell r="I5500"/>
          <cell r="J5500"/>
          <cell r="L5500"/>
        </row>
        <row r="5501">
          <cell r="A5501"/>
          <cell r="D5501"/>
          <cell r="E5501"/>
          <cell r="F5501"/>
          <cell r="G5501"/>
          <cell r="H5501"/>
          <cell r="I5501"/>
          <cell r="J5501"/>
          <cell r="L5501"/>
        </row>
        <row r="5502">
          <cell r="A5502"/>
          <cell r="D5502"/>
          <cell r="E5502"/>
          <cell r="F5502"/>
          <cell r="G5502"/>
          <cell r="H5502"/>
          <cell r="I5502"/>
          <cell r="J5502"/>
          <cell r="L5502"/>
        </row>
        <row r="5503">
          <cell r="A5503"/>
          <cell r="D5503"/>
          <cell r="E5503"/>
          <cell r="F5503"/>
          <cell r="G5503"/>
          <cell r="H5503"/>
          <cell r="I5503"/>
          <cell r="J5503"/>
          <cell r="L5503"/>
        </row>
        <row r="5504">
          <cell r="A5504"/>
          <cell r="D5504"/>
          <cell r="E5504"/>
          <cell r="F5504"/>
          <cell r="G5504"/>
          <cell r="H5504"/>
          <cell r="I5504"/>
          <cell r="J5504"/>
          <cell r="L5504"/>
        </row>
        <row r="5505">
          <cell r="A5505"/>
          <cell r="D5505"/>
          <cell r="E5505"/>
          <cell r="F5505"/>
          <cell r="G5505"/>
          <cell r="H5505"/>
          <cell r="I5505"/>
          <cell r="J5505"/>
          <cell r="L5505"/>
        </row>
        <row r="5506">
          <cell r="A5506"/>
          <cell r="D5506"/>
          <cell r="E5506"/>
          <cell r="F5506"/>
          <cell r="G5506"/>
          <cell r="H5506"/>
          <cell r="I5506"/>
          <cell r="J5506"/>
          <cell r="L5506"/>
        </row>
        <row r="5507">
          <cell r="A5507"/>
          <cell r="D5507"/>
          <cell r="E5507"/>
          <cell r="F5507"/>
          <cell r="G5507"/>
          <cell r="H5507"/>
          <cell r="I5507"/>
          <cell r="J5507"/>
          <cell r="L5507"/>
        </row>
        <row r="5508">
          <cell r="A5508"/>
          <cell r="D5508"/>
          <cell r="E5508"/>
          <cell r="F5508"/>
          <cell r="G5508"/>
          <cell r="H5508"/>
          <cell r="I5508"/>
          <cell r="J5508"/>
          <cell r="L5508"/>
        </row>
        <row r="5509">
          <cell r="A5509"/>
          <cell r="D5509"/>
          <cell r="E5509"/>
          <cell r="F5509"/>
          <cell r="G5509"/>
          <cell r="H5509"/>
          <cell r="I5509"/>
          <cell r="J5509"/>
          <cell r="L5509"/>
        </row>
        <row r="5510">
          <cell r="A5510"/>
          <cell r="D5510"/>
          <cell r="E5510"/>
          <cell r="F5510"/>
          <cell r="G5510"/>
          <cell r="H5510"/>
          <cell r="I5510"/>
          <cell r="J5510"/>
          <cell r="L5510"/>
        </row>
        <row r="5511">
          <cell r="A5511"/>
          <cell r="D5511"/>
          <cell r="E5511"/>
          <cell r="F5511"/>
          <cell r="G5511"/>
          <cell r="H5511"/>
          <cell r="I5511"/>
          <cell r="J5511"/>
          <cell r="L5511"/>
        </row>
        <row r="5512">
          <cell r="A5512"/>
          <cell r="D5512"/>
          <cell r="E5512"/>
          <cell r="F5512"/>
          <cell r="G5512"/>
          <cell r="H5512"/>
          <cell r="I5512"/>
          <cell r="J5512"/>
          <cell r="L5512"/>
        </row>
        <row r="5513">
          <cell r="A5513"/>
          <cell r="D5513"/>
          <cell r="E5513"/>
          <cell r="F5513"/>
          <cell r="G5513"/>
          <cell r="H5513"/>
          <cell r="I5513"/>
          <cell r="J5513"/>
          <cell r="L5513"/>
        </row>
        <row r="5514">
          <cell r="A5514"/>
          <cell r="D5514"/>
          <cell r="E5514"/>
          <cell r="F5514"/>
          <cell r="G5514"/>
          <cell r="H5514"/>
          <cell r="I5514"/>
          <cell r="J5514"/>
          <cell r="L5514"/>
        </row>
        <row r="5515">
          <cell r="A5515"/>
          <cell r="D5515"/>
          <cell r="E5515"/>
          <cell r="F5515"/>
          <cell r="G5515"/>
          <cell r="H5515"/>
          <cell r="I5515"/>
          <cell r="J5515"/>
          <cell r="L5515"/>
        </row>
        <row r="5516">
          <cell r="A5516"/>
          <cell r="D5516"/>
          <cell r="E5516"/>
          <cell r="F5516"/>
          <cell r="G5516"/>
          <cell r="H5516"/>
          <cell r="I5516"/>
          <cell r="J5516"/>
          <cell r="L5516"/>
        </row>
        <row r="5517">
          <cell r="A5517"/>
          <cell r="D5517"/>
          <cell r="E5517"/>
          <cell r="F5517"/>
          <cell r="G5517"/>
          <cell r="H5517"/>
          <cell r="I5517"/>
          <cell r="J5517"/>
          <cell r="L5517"/>
        </row>
        <row r="5518">
          <cell r="A5518"/>
          <cell r="D5518"/>
          <cell r="E5518"/>
          <cell r="F5518"/>
          <cell r="G5518"/>
          <cell r="H5518"/>
          <cell r="I5518"/>
          <cell r="J5518"/>
          <cell r="L5518"/>
        </row>
        <row r="5519">
          <cell r="A5519"/>
          <cell r="D5519"/>
          <cell r="E5519"/>
          <cell r="F5519"/>
          <cell r="G5519"/>
          <cell r="H5519"/>
          <cell r="I5519"/>
          <cell r="J5519"/>
          <cell r="L5519"/>
        </row>
        <row r="5520">
          <cell r="A5520"/>
          <cell r="D5520"/>
          <cell r="E5520"/>
          <cell r="F5520"/>
          <cell r="G5520"/>
          <cell r="H5520"/>
          <cell r="I5520"/>
          <cell r="J5520"/>
          <cell r="L5520"/>
        </row>
        <row r="5521">
          <cell r="A5521"/>
          <cell r="D5521"/>
          <cell r="E5521"/>
          <cell r="F5521"/>
          <cell r="G5521"/>
          <cell r="H5521"/>
          <cell r="I5521"/>
          <cell r="J5521"/>
          <cell r="L5521"/>
        </row>
        <row r="5522">
          <cell r="A5522"/>
          <cell r="D5522"/>
          <cell r="E5522"/>
          <cell r="F5522"/>
          <cell r="G5522"/>
          <cell r="H5522"/>
          <cell r="I5522"/>
          <cell r="J5522"/>
          <cell r="L5522"/>
        </row>
        <row r="5523">
          <cell r="A5523"/>
          <cell r="D5523"/>
          <cell r="E5523"/>
          <cell r="F5523"/>
          <cell r="G5523"/>
          <cell r="H5523"/>
          <cell r="I5523"/>
          <cell r="J5523"/>
          <cell r="L5523"/>
        </row>
        <row r="5524">
          <cell r="A5524"/>
          <cell r="D5524"/>
          <cell r="E5524"/>
          <cell r="F5524"/>
          <cell r="G5524"/>
          <cell r="H5524"/>
          <cell r="I5524"/>
          <cell r="J5524"/>
          <cell r="L5524"/>
        </row>
        <row r="5525">
          <cell r="A5525"/>
          <cell r="D5525"/>
          <cell r="E5525"/>
          <cell r="F5525"/>
          <cell r="G5525"/>
          <cell r="H5525"/>
          <cell r="I5525"/>
          <cell r="J5525"/>
          <cell r="L5525"/>
        </row>
        <row r="5526">
          <cell r="A5526"/>
          <cell r="D5526"/>
          <cell r="E5526"/>
          <cell r="F5526"/>
          <cell r="G5526"/>
          <cell r="H5526"/>
          <cell r="I5526"/>
          <cell r="J5526"/>
          <cell r="L5526"/>
        </row>
        <row r="5527">
          <cell r="A5527"/>
          <cell r="D5527"/>
          <cell r="E5527"/>
          <cell r="F5527"/>
          <cell r="G5527"/>
          <cell r="H5527"/>
          <cell r="I5527"/>
          <cell r="J5527"/>
          <cell r="L5527"/>
        </row>
        <row r="5528">
          <cell r="A5528"/>
          <cell r="D5528"/>
          <cell r="E5528"/>
          <cell r="F5528"/>
          <cell r="G5528"/>
          <cell r="H5528"/>
          <cell r="I5528"/>
          <cell r="J5528"/>
          <cell r="L5528"/>
        </row>
        <row r="5529">
          <cell r="A5529"/>
          <cell r="D5529"/>
          <cell r="E5529"/>
          <cell r="F5529"/>
          <cell r="G5529"/>
          <cell r="H5529"/>
          <cell r="I5529"/>
          <cell r="J5529"/>
          <cell r="L5529"/>
        </row>
        <row r="5530">
          <cell r="A5530"/>
          <cell r="D5530"/>
          <cell r="E5530"/>
          <cell r="F5530"/>
          <cell r="G5530"/>
          <cell r="H5530"/>
          <cell r="I5530"/>
          <cell r="J5530"/>
          <cell r="L5530"/>
        </row>
        <row r="5531">
          <cell r="A5531"/>
          <cell r="D5531"/>
          <cell r="E5531"/>
          <cell r="F5531"/>
          <cell r="G5531"/>
          <cell r="H5531"/>
          <cell r="I5531"/>
          <cell r="J5531"/>
          <cell r="L5531"/>
        </row>
        <row r="5532">
          <cell r="A5532"/>
          <cell r="D5532"/>
          <cell r="E5532"/>
          <cell r="F5532"/>
          <cell r="G5532"/>
          <cell r="H5532"/>
          <cell r="I5532"/>
          <cell r="J5532"/>
          <cell r="L5532"/>
        </row>
        <row r="5533">
          <cell r="A5533"/>
          <cell r="D5533"/>
          <cell r="E5533"/>
          <cell r="F5533"/>
          <cell r="G5533"/>
          <cell r="H5533"/>
          <cell r="I5533"/>
          <cell r="J5533"/>
          <cell r="L5533"/>
        </row>
        <row r="5534">
          <cell r="A5534"/>
          <cell r="D5534"/>
          <cell r="E5534"/>
          <cell r="F5534"/>
          <cell r="G5534"/>
          <cell r="H5534"/>
          <cell r="I5534"/>
          <cell r="J5534"/>
          <cell r="L5534"/>
        </row>
        <row r="5535">
          <cell r="A5535"/>
          <cell r="D5535"/>
          <cell r="E5535"/>
          <cell r="F5535"/>
          <cell r="G5535"/>
          <cell r="H5535"/>
          <cell r="I5535"/>
          <cell r="J5535"/>
          <cell r="L5535"/>
        </row>
        <row r="5536">
          <cell r="A5536"/>
          <cell r="D5536"/>
          <cell r="E5536"/>
          <cell r="F5536"/>
          <cell r="G5536"/>
          <cell r="H5536"/>
          <cell r="I5536"/>
          <cell r="J5536"/>
          <cell r="L5536"/>
        </row>
        <row r="5537">
          <cell r="A5537"/>
          <cell r="D5537"/>
          <cell r="E5537"/>
          <cell r="F5537"/>
          <cell r="G5537"/>
          <cell r="H5537"/>
          <cell r="I5537"/>
          <cell r="J5537"/>
          <cell r="L5537"/>
        </row>
        <row r="5538">
          <cell r="A5538"/>
          <cell r="D5538"/>
          <cell r="E5538"/>
          <cell r="F5538"/>
          <cell r="G5538"/>
          <cell r="H5538"/>
          <cell r="I5538"/>
          <cell r="J5538"/>
          <cell r="L5538"/>
        </row>
        <row r="5539">
          <cell r="A5539"/>
          <cell r="D5539"/>
          <cell r="E5539"/>
          <cell r="F5539"/>
          <cell r="G5539"/>
          <cell r="H5539"/>
          <cell r="I5539"/>
          <cell r="J5539"/>
          <cell r="L5539"/>
        </row>
        <row r="5540">
          <cell r="A5540"/>
          <cell r="D5540"/>
          <cell r="E5540"/>
          <cell r="F5540"/>
          <cell r="G5540"/>
          <cell r="H5540"/>
          <cell r="I5540"/>
          <cell r="J5540"/>
          <cell r="L5540"/>
        </row>
        <row r="5541">
          <cell r="A5541"/>
          <cell r="D5541"/>
          <cell r="E5541"/>
          <cell r="F5541"/>
          <cell r="G5541"/>
          <cell r="H5541"/>
          <cell r="I5541"/>
          <cell r="J5541"/>
          <cell r="L5541"/>
        </row>
        <row r="5542">
          <cell r="A5542"/>
          <cell r="D5542"/>
          <cell r="E5542"/>
          <cell r="F5542"/>
          <cell r="G5542"/>
          <cell r="H5542"/>
          <cell r="I5542"/>
          <cell r="J5542"/>
          <cell r="L5542"/>
        </row>
        <row r="5543">
          <cell r="A5543"/>
          <cell r="D5543"/>
          <cell r="E5543"/>
          <cell r="F5543"/>
          <cell r="G5543"/>
          <cell r="H5543"/>
          <cell r="I5543"/>
          <cell r="J5543"/>
          <cell r="L5543"/>
        </row>
        <row r="5544">
          <cell r="A5544"/>
          <cell r="D5544"/>
          <cell r="E5544"/>
          <cell r="F5544"/>
          <cell r="G5544"/>
          <cell r="H5544"/>
          <cell r="I5544"/>
          <cell r="J5544"/>
          <cell r="L5544"/>
        </row>
        <row r="5545">
          <cell r="A5545"/>
          <cell r="D5545"/>
          <cell r="E5545"/>
          <cell r="F5545"/>
          <cell r="G5545"/>
          <cell r="H5545"/>
          <cell r="I5545"/>
          <cell r="J5545"/>
          <cell r="L5545"/>
        </row>
        <row r="5546">
          <cell r="A5546"/>
          <cell r="D5546"/>
          <cell r="E5546"/>
          <cell r="F5546"/>
          <cell r="G5546"/>
          <cell r="H5546"/>
          <cell r="I5546"/>
          <cell r="J5546"/>
          <cell r="L5546"/>
        </row>
        <row r="5547">
          <cell r="A5547"/>
          <cell r="D5547"/>
          <cell r="E5547"/>
          <cell r="F5547"/>
          <cell r="G5547"/>
          <cell r="H5547"/>
          <cell r="I5547"/>
          <cell r="J5547"/>
          <cell r="L5547"/>
        </row>
        <row r="5548">
          <cell r="A5548"/>
          <cell r="D5548"/>
          <cell r="E5548"/>
          <cell r="F5548"/>
          <cell r="G5548"/>
          <cell r="H5548"/>
          <cell r="I5548"/>
          <cell r="J5548"/>
          <cell r="L5548"/>
        </row>
        <row r="5549">
          <cell r="A5549"/>
          <cell r="D5549"/>
          <cell r="E5549"/>
          <cell r="F5549"/>
          <cell r="G5549"/>
          <cell r="H5549"/>
          <cell r="I5549"/>
          <cell r="J5549"/>
          <cell r="L5549"/>
        </row>
        <row r="5550">
          <cell r="A5550"/>
          <cell r="D5550"/>
          <cell r="E5550"/>
          <cell r="F5550"/>
          <cell r="G5550"/>
          <cell r="H5550"/>
          <cell r="I5550"/>
          <cell r="J5550"/>
          <cell r="L5550"/>
        </row>
        <row r="5551">
          <cell r="A5551"/>
          <cell r="D5551"/>
          <cell r="E5551"/>
          <cell r="F5551"/>
          <cell r="G5551"/>
          <cell r="H5551"/>
          <cell r="I5551"/>
          <cell r="J5551"/>
          <cell r="L5551"/>
        </row>
        <row r="5552">
          <cell r="A5552"/>
          <cell r="D5552"/>
          <cell r="E5552"/>
          <cell r="F5552"/>
          <cell r="G5552"/>
          <cell r="H5552"/>
          <cell r="I5552"/>
          <cell r="J5552"/>
          <cell r="L5552"/>
        </row>
        <row r="5553">
          <cell r="A5553"/>
          <cell r="D5553"/>
          <cell r="E5553"/>
          <cell r="F5553"/>
          <cell r="G5553"/>
          <cell r="H5553"/>
          <cell r="I5553"/>
          <cell r="J5553"/>
          <cell r="L5553"/>
        </row>
        <row r="5554">
          <cell r="A5554"/>
          <cell r="D5554"/>
          <cell r="E5554"/>
          <cell r="F5554"/>
          <cell r="G5554"/>
          <cell r="H5554"/>
          <cell r="I5554"/>
          <cell r="J5554"/>
          <cell r="L5554"/>
        </row>
        <row r="5555">
          <cell r="A5555"/>
          <cell r="D5555"/>
          <cell r="E5555"/>
          <cell r="F5555"/>
          <cell r="G5555"/>
          <cell r="H5555"/>
          <cell r="I5555"/>
          <cell r="J5555"/>
          <cell r="L5555"/>
        </row>
        <row r="5556">
          <cell r="A5556"/>
          <cell r="D5556"/>
          <cell r="E5556"/>
          <cell r="F5556"/>
          <cell r="G5556"/>
          <cell r="H5556"/>
          <cell r="I5556"/>
          <cell r="J5556"/>
          <cell r="L5556"/>
        </row>
        <row r="5557">
          <cell r="A5557"/>
          <cell r="D5557"/>
          <cell r="E5557"/>
          <cell r="F5557"/>
          <cell r="G5557"/>
          <cell r="H5557"/>
          <cell r="I5557"/>
          <cell r="J5557"/>
          <cell r="L5557"/>
        </row>
        <row r="5558">
          <cell r="A5558"/>
          <cell r="D5558"/>
          <cell r="E5558"/>
          <cell r="F5558"/>
          <cell r="G5558"/>
          <cell r="H5558"/>
          <cell r="I5558"/>
          <cell r="J5558"/>
          <cell r="L5558"/>
        </row>
        <row r="5559">
          <cell r="A5559"/>
          <cell r="D5559"/>
          <cell r="E5559"/>
          <cell r="F5559"/>
          <cell r="G5559"/>
          <cell r="H5559"/>
          <cell r="I5559"/>
          <cell r="J5559"/>
          <cell r="L5559"/>
        </row>
        <row r="5560">
          <cell r="A5560"/>
          <cell r="D5560"/>
          <cell r="E5560"/>
          <cell r="F5560"/>
          <cell r="G5560"/>
          <cell r="H5560"/>
          <cell r="I5560"/>
          <cell r="J5560"/>
          <cell r="L5560"/>
        </row>
        <row r="5561">
          <cell r="A5561"/>
          <cell r="D5561"/>
          <cell r="E5561"/>
          <cell r="F5561"/>
          <cell r="G5561"/>
          <cell r="H5561"/>
          <cell r="I5561"/>
          <cell r="J5561"/>
          <cell r="L5561"/>
        </row>
        <row r="5562">
          <cell r="A5562"/>
          <cell r="D5562"/>
          <cell r="E5562"/>
          <cell r="F5562"/>
          <cell r="G5562"/>
          <cell r="H5562"/>
          <cell r="I5562"/>
          <cell r="J5562"/>
          <cell r="L5562"/>
        </row>
        <row r="5563">
          <cell r="A5563"/>
          <cell r="D5563"/>
          <cell r="E5563"/>
          <cell r="F5563"/>
          <cell r="G5563"/>
          <cell r="H5563"/>
          <cell r="I5563"/>
          <cell r="J5563"/>
          <cell r="L5563"/>
        </row>
        <row r="5564">
          <cell r="A5564"/>
          <cell r="D5564"/>
          <cell r="E5564"/>
          <cell r="F5564"/>
          <cell r="G5564"/>
          <cell r="H5564"/>
          <cell r="I5564"/>
          <cell r="J5564"/>
          <cell r="L5564"/>
        </row>
        <row r="5565">
          <cell r="A5565"/>
          <cell r="D5565"/>
          <cell r="E5565"/>
          <cell r="F5565"/>
          <cell r="G5565"/>
          <cell r="H5565"/>
          <cell r="I5565"/>
          <cell r="J5565"/>
          <cell r="L5565"/>
        </row>
        <row r="5566">
          <cell r="A5566"/>
          <cell r="D5566"/>
          <cell r="E5566"/>
          <cell r="F5566"/>
          <cell r="G5566"/>
          <cell r="H5566"/>
          <cell r="I5566"/>
          <cell r="J5566"/>
          <cell r="L5566"/>
        </row>
        <row r="5567">
          <cell r="A5567"/>
          <cell r="D5567"/>
          <cell r="E5567"/>
          <cell r="F5567"/>
          <cell r="G5567"/>
          <cell r="H5567"/>
          <cell r="I5567"/>
          <cell r="J5567"/>
          <cell r="L5567"/>
        </row>
        <row r="5568">
          <cell r="A5568"/>
          <cell r="D5568"/>
          <cell r="E5568"/>
          <cell r="F5568"/>
          <cell r="G5568"/>
          <cell r="H5568"/>
          <cell r="I5568"/>
          <cell r="J5568"/>
          <cell r="L5568"/>
        </row>
        <row r="5569">
          <cell r="A5569"/>
          <cell r="D5569"/>
          <cell r="E5569"/>
          <cell r="F5569"/>
          <cell r="G5569"/>
          <cell r="H5569"/>
          <cell r="I5569"/>
          <cell r="J5569"/>
          <cell r="L5569"/>
        </row>
        <row r="5570">
          <cell r="A5570"/>
          <cell r="D5570"/>
          <cell r="E5570"/>
          <cell r="F5570"/>
          <cell r="G5570"/>
          <cell r="H5570"/>
          <cell r="I5570"/>
          <cell r="J5570"/>
          <cell r="L5570"/>
        </row>
        <row r="5571">
          <cell r="A5571"/>
          <cell r="D5571"/>
          <cell r="E5571"/>
          <cell r="F5571"/>
          <cell r="G5571"/>
          <cell r="H5571"/>
          <cell r="I5571"/>
          <cell r="J5571"/>
          <cell r="L5571"/>
        </row>
        <row r="5572">
          <cell r="A5572"/>
          <cell r="D5572"/>
          <cell r="E5572"/>
          <cell r="F5572"/>
          <cell r="G5572"/>
          <cell r="H5572"/>
          <cell r="I5572"/>
          <cell r="J5572"/>
          <cell r="L5572"/>
        </row>
        <row r="5573">
          <cell r="A5573"/>
          <cell r="D5573"/>
          <cell r="E5573"/>
          <cell r="F5573"/>
          <cell r="G5573"/>
          <cell r="H5573"/>
          <cell r="I5573"/>
          <cell r="J5573"/>
          <cell r="L5573"/>
        </row>
        <row r="5574">
          <cell r="A5574"/>
          <cell r="D5574"/>
          <cell r="E5574"/>
          <cell r="F5574"/>
          <cell r="G5574"/>
          <cell r="H5574"/>
          <cell r="I5574"/>
          <cell r="J5574"/>
          <cell r="L5574"/>
        </row>
        <row r="5575">
          <cell r="A5575"/>
          <cell r="D5575"/>
          <cell r="E5575"/>
          <cell r="F5575"/>
          <cell r="G5575"/>
          <cell r="H5575"/>
          <cell r="I5575"/>
          <cell r="J5575"/>
          <cell r="L5575"/>
        </row>
        <row r="5576">
          <cell r="A5576"/>
          <cell r="D5576"/>
          <cell r="E5576"/>
          <cell r="F5576"/>
          <cell r="G5576"/>
          <cell r="H5576"/>
          <cell r="I5576"/>
          <cell r="J5576"/>
          <cell r="L5576"/>
        </row>
        <row r="5577">
          <cell r="A5577"/>
          <cell r="D5577"/>
          <cell r="E5577"/>
          <cell r="F5577"/>
          <cell r="G5577"/>
          <cell r="H5577"/>
          <cell r="I5577"/>
          <cell r="J5577"/>
          <cell r="L5577"/>
        </row>
        <row r="5578">
          <cell r="A5578"/>
          <cell r="D5578"/>
          <cell r="E5578"/>
          <cell r="F5578"/>
          <cell r="G5578"/>
          <cell r="H5578"/>
          <cell r="I5578"/>
          <cell r="J5578"/>
          <cell r="L5578"/>
        </row>
        <row r="5579">
          <cell r="A5579"/>
          <cell r="D5579"/>
          <cell r="E5579"/>
          <cell r="F5579"/>
          <cell r="G5579"/>
          <cell r="H5579"/>
          <cell r="I5579"/>
          <cell r="J5579"/>
          <cell r="L5579"/>
        </row>
        <row r="5580">
          <cell r="A5580"/>
          <cell r="D5580"/>
          <cell r="E5580"/>
          <cell r="F5580"/>
          <cell r="G5580"/>
          <cell r="H5580"/>
          <cell r="I5580"/>
          <cell r="J5580"/>
          <cell r="L5580"/>
        </row>
        <row r="5581">
          <cell r="A5581"/>
          <cell r="D5581"/>
          <cell r="E5581"/>
          <cell r="F5581"/>
          <cell r="G5581"/>
          <cell r="H5581"/>
          <cell r="I5581"/>
          <cell r="J5581"/>
          <cell r="L5581"/>
        </row>
        <row r="5582">
          <cell r="A5582"/>
          <cell r="D5582"/>
          <cell r="E5582"/>
          <cell r="F5582"/>
          <cell r="G5582"/>
          <cell r="H5582"/>
          <cell r="I5582"/>
          <cell r="J5582"/>
          <cell r="L5582"/>
        </row>
        <row r="5583">
          <cell r="A5583"/>
          <cell r="D5583"/>
          <cell r="E5583"/>
          <cell r="F5583"/>
          <cell r="G5583"/>
          <cell r="H5583"/>
          <cell r="I5583"/>
          <cell r="J5583"/>
          <cell r="L5583"/>
        </row>
        <row r="5584">
          <cell r="A5584"/>
          <cell r="D5584"/>
          <cell r="E5584"/>
          <cell r="F5584"/>
          <cell r="G5584"/>
          <cell r="H5584"/>
          <cell r="I5584"/>
          <cell r="J5584"/>
          <cell r="L5584"/>
        </row>
        <row r="5585">
          <cell r="A5585"/>
          <cell r="D5585"/>
          <cell r="E5585"/>
          <cell r="F5585"/>
          <cell r="G5585"/>
          <cell r="H5585"/>
          <cell r="I5585"/>
          <cell r="J5585"/>
          <cell r="L5585"/>
        </row>
        <row r="5586">
          <cell r="A5586"/>
          <cell r="D5586"/>
          <cell r="E5586"/>
          <cell r="F5586"/>
          <cell r="G5586"/>
          <cell r="H5586"/>
          <cell r="I5586"/>
          <cell r="J5586"/>
          <cell r="L5586"/>
        </row>
        <row r="5587">
          <cell r="A5587"/>
          <cell r="D5587"/>
          <cell r="E5587"/>
          <cell r="F5587"/>
          <cell r="G5587"/>
          <cell r="H5587"/>
          <cell r="I5587"/>
          <cell r="J5587"/>
          <cell r="L5587"/>
        </row>
        <row r="5588">
          <cell r="A5588"/>
          <cell r="D5588"/>
          <cell r="E5588"/>
          <cell r="F5588"/>
          <cell r="G5588"/>
          <cell r="H5588"/>
          <cell r="I5588"/>
          <cell r="J5588"/>
          <cell r="L5588"/>
        </row>
        <row r="5589">
          <cell r="A5589"/>
          <cell r="D5589"/>
          <cell r="E5589"/>
          <cell r="F5589"/>
          <cell r="G5589"/>
          <cell r="H5589"/>
          <cell r="I5589"/>
          <cell r="J5589"/>
          <cell r="L5589"/>
        </row>
        <row r="5590">
          <cell r="A5590"/>
          <cell r="D5590"/>
          <cell r="E5590"/>
          <cell r="F5590"/>
          <cell r="G5590"/>
          <cell r="H5590"/>
          <cell r="I5590"/>
          <cell r="J5590"/>
          <cell r="L5590"/>
        </row>
        <row r="5591">
          <cell r="A5591"/>
          <cell r="D5591"/>
          <cell r="E5591"/>
          <cell r="F5591"/>
          <cell r="G5591"/>
          <cell r="H5591"/>
          <cell r="I5591"/>
          <cell r="J5591"/>
          <cell r="L5591"/>
        </row>
        <row r="5592">
          <cell r="A5592"/>
          <cell r="D5592"/>
          <cell r="E5592"/>
          <cell r="F5592"/>
          <cell r="G5592"/>
          <cell r="H5592"/>
          <cell r="I5592"/>
          <cell r="J5592"/>
          <cell r="L5592"/>
        </row>
        <row r="5593">
          <cell r="A5593"/>
          <cell r="D5593"/>
          <cell r="E5593"/>
          <cell r="F5593"/>
          <cell r="G5593"/>
          <cell r="H5593"/>
          <cell r="I5593"/>
          <cell r="J5593"/>
          <cell r="L5593"/>
        </row>
        <row r="5594">
          <cell r="A5594"/>
          <cell r="D5594"/>
          <cell r="E5594"/>
          <cell r="F5594"/>
          <cell r="G5594"/>
          <cell r="H5594"/>
          <cell r="I5594"/>
          <cell r="J5594"/>
          <cell r="L5594"/>
        </row>
        <row r="5595">
          <cell r="A5595"/>
          <cell r="D5595"/>
          <cell r="E5595"/>
          <cell r="F5595"/>
          <cell r="G5595"/>
          <cell r="H5595"/>
          <cell r="I5595"/>
          <cell r="J5595"/>
          <cell r="L5595"/>
        </row>
        <row r="5596">
          <cell r="A5596"/>
          <cell r="D5596"/>
          <cell r="E5596"/>
          <cell r="F5596"/>
          <cell r="G5596"/>
          <cell r="H5596"/>
          <cell r="I5596"/>
          <cell r="J5596"/>
          <cell r="L5596"/>
        </row>
        <row r="5597">
          <cell r="A5597"/>
          <cell r="D5597"/>
          <cell r="E5597"/>
          <cell r="F5597"/>
          <cell r="G5597"/>
          <cell r="H5597"/>
          <cell r="I5597"/>
          <cell r="J5597"/>
          <cell r="L5597"/>
        </row>
        <row r="5598">
          <cell r="A5598"/>
          <cell r="D5598"/>
          <cell r="E5598"/>
          <cell r="F5598"/>
          <cell r="G5598"/>
          <cell r="H5598"/>
          <cell r="I5598"/>
          <cell r="J5598"/>
          <cell r="L5598"/>
        </row>
        <row r="5599">
          <cell r="A5599"/>
          <cell r="D5599"/>
          <cell r="E5599"/>
          <cell r="F5599"/>
          <cell r="G5599"/>
          <cell r="H5599"/>
          <cell r="I5599"/>
          <cell r="J5599"/>
          <cell r="L5599"/>
        </row>
        <row r="5600">
          <cell r="A5600"/>
          <cell r="D5600"/>
          <cell r="E5600"/>
          <cell r="F5600"/>
          <cell r="G5600"/>
          <cell r="H5600"/>
          <cell r="I5600"/>
          <cell r="J5600"/>
          <cell r="L5600"/>
        </row>
        <row r="5601">
          <cell r="A5601"/>
          <cell r="D5601"/>
          <cell r="E5601"/>
          <cell r="F5601"/>
          <cell r="G5601"/>
          <cell r="H5601"/>
          <cell r="I5601"/>
          <cell r="J5601"/>
          <cell r="L5601"/>
        </row>
        <row r="5602">
          <cell r="A5602"/>
          <cell r="D5602"/>
          <cell r="E5602"/>
          <cell r="F5602"/>
          <cell r="G5602"/>
          <cell r="H5602"/>
          <cell r="I5602"/>
          <cell r="J5602"/>
          <cell r="L5602"/>
        </row>
        <row r="5603">
          <cell r="A5603"/>
          <cell r="D5603"/>
          <cell r="E5603"/>
          <cell r="F5603"/>
          <cell r="G5603"/>
          <cell r="H5603"/>
          <cell r="I5603"/>
          <cell r="J5603"/>
          <cell r="L5603"/>
        </row>
        <row r="5604">
          <cell r="A5604"/>
          <cell r="D5604"/>
          <cell r="E5604"/>
          <cell r="F5604"/>
          <cell r="G5604"/>
          <cell r="H5604"/>
          <cell r="I5604"/>
          <cell r="J5604"/>
          <cell r="L5604"/>
        </row>
        <row r="5605">
          <cell r="A5605"/>
          <cell r="D5605"/>
          <cell r="E5605"/>
          <cell r="F5605"/>
          <cell r="G5605"/>
          <cell r="H5605"/>
          <cell r="I5605"/>
          <cell r="J5605"/>
          <cell r="L5605"/>
        </row>
        <row r="5606">
          <cell r="A5606"/>
          <cell r="D5606"/>
          <cell r="E5606"/>
          <cell r="F5606"/>
          <cell r="G5606"/>
          <cell r="H5606"/>
          <cell r="I5606"/>
          <cell r="J5606"/>
          <cell r="L5606"/>
        </row>
        <row r="5607">
          <cell r="A5607"/>
          <cell r="D5607"/>
          <cell r="E5607"/>
          <cell r="F5607"/>
          <cell r="G5607"/>
          <cell r="H5607"/>
          <cell r="I5607"/>
          <cell r="J5607"/>
          <cell r="L5607"/>
        </row>
        <row r="5608">
          <cell r="A5608"/>
          <cell r="D5608"/>
          <cell r="E5608"/>
          <cell r="F5608"/>
          <cell r="G5608"/>
          <cell r="H5608"/>
          <cell r="I5608"/>
          <cell r="J5608"/>
          <cell r="L5608"/>
        </row>
        <row r="5609">
          <cell r="A5609"/>
          <cell r="D5609"/>
          <cell r="E5609"/>
          <cell r="F5609"/>
          <cell r="G5609"/>
          <cell r="H5609"/>
          <cell r="I5609"/>
          <cell r="J5609"/>
          <cell r="L5609"/>
        </row>
        <row r="5610">
          <cell r="A5610"/>
          <cell r="D5610"/>
          <cell r="E5610"/>
          <cell r="F5610"/>
          <cell r="G5610"/>
          <cell r="H5610"/>
          <cell r="I5610"/>
          <cell r="J5610"/>
          <cell r="L5610"/>
        </row>
        <row r="5611">
          <cell r="A5611"/>
          <cell r="D5611"/>
          <cell r="E5611"/>
          <cell r="F5611"/>
          <cell r="G5611"/>
          <cell r="H5611"/>
          <cell r="I5611"/>
          <cell r="J5611"/>
          <cell r="L5611"/>
        </row>
        <row r="5612">
          <cell r="A5612"/>
          <cell r="D5612"/>
          <cell r="E5612"/>
          <cell r="F5612"/>
          <cell r="G5612"/>
          <cell r="H5612"/>
          <cell r="I5612"/>
          <cell r="J5612"/>
          <cell r="L5612"/>
        </row>
        <row r="5613">
          <cell r="A5613"/>
          <cell r="D5613"/>
          <cell r="E5613"/>
          <cell r="F5613"/>
          <cell r="G5613"/>
          <cell r="H5613"/>
          <cell r="I5613"/>
          <cell r="J5613"/>
          <cell r="L5613"/>
        </row>
        <row r="5614">
          <cell r="A5614"/>
          <cell r="D5614"/>
          <cell r="E5614"/>
          <cell r="F5614"/>
          <cell r="G5614"/>
          <cell r="H5614"/>
          <cell r="I5614"/>
          <cell r="J5614"/>
          <cell r="L5614"/>
        </row>
        <row r="5615">
          <cell r="A5615"/>
          <cell r="D5615"/>
          <cell r="E5615"/>
          <cell r="F5615"/>
          <cell r="G5615"/>
          <cell r="H5615"/>
          <cell r="I5615"/>
          <cell r="J5615"/>
          <cell r="L5615"/>
        </row>
        <row r="5616">
          <cell r="A5616"/>
          <cell r="D5616"/>
          <cell r="E5616"/>
          <cell r="F5616"/>
          <cell r="G5616"/>
          <cell r="H5616"/>
          <cell r="I5616"/>
          <cell r="J5616"/>
          <cell r="L5616"/>
        </row>
        <row r="5617">
          <cell r="A5617"/>
          <cell r="D5617"/>
          <cell r="E5617"/>
          <cell r="F5617"/>
          <cell r="G5617"/>
          <cell r="H5617"/>
          <cell r="I5617"/>
          <cell r="J5617"/>
          <cell r="L5617"/>
        </row>
        <row r="5618">
          <cell r="A5618"/>
          <cell r="D5618"/>
          <cell r="E5618"/>
          <cell r="F5618"/>
          <cell r="G5618"/>
          <cell r="H5618"/>
          <cell r="I5618"/>
          <cell r="J5618"/>
          <cell r="L5618"/>
        </row>
        <row r="5619">
          <cell r="A5619"/>
          <cell r="D5619"/>
          <cell r="E5619"/>
          <cell r="F5619"/>
          <cell r="G5619"/>
          <cell r="H5619"/>
          <cell r="I5619"/>
          <cell r="J5619"/>
          <cell r="L5619"/>
        </row>
        <row r="5620">
          <cell r="A5620"/>
          <cell r="D5620"/>
          <cell r="E5620"/>
          <cell r="F5620"/>
          <cell r="G5620"/>
          <cell r="H5620"/>
          <cell r="I5620"/>
          <cell r="J5620"/>
          <cell r="L5620"/>
        </row>
        <row r="5621">
          <cell r="A5621"/>
          <cell r="D5621"/>
          <cell r="E5621"/>
          <cell r="F5621"/>
          <cell r="G5621"/>
          <cell r="H5621"/>
          <cell r="I5621"/>
          <cell r="J5621"/>
          <cell r="L5621"/>
        </row>
        <row r="5622">
          <cell r="A5622"/>
          <cell r="D5622"/>
          <cell r="E5622"/>
          <cell r="F5622"/>
          <cell r="G5622"/>
          <cell r="H5622"/>
          <cell r="I5622"/>
          <cell r="J5622"/>
          <cell r="L5622"/>
        </row>
        <row r="5623">
          <cell r="A5623"/>
          <cell r="D5623"/>
          <cell r="E5623"/>
          <cell r="F5623"/>
          <cell r="G5623"/>
          <cell r="H5623"/>
          <cell r="I5623"/>
          <cell r="J5623"/>
          <cell r="L5623"/>
        </row>
        <row r="5624">
          <cell r="A5624"/>
          <cell r="D5624"/>
          <cell r="E5624"/>
          <cell r="F5624"/>
          <cell r="G5624"/>
          <cell r="H5624"/>
          <cell r="I5624"/>
          <cell r="J5624"/>
          <cell r="L5624"/>
        </row>
        <row r="5625">
          <cell r="A5625"/>
          <cell r="D5625"/>
          <cell r="E5625"/>
          <cell r="F5625"/>
          <cell r="G5625"/>
          <cell r="H5625"/>
          <cell r="I5625"/>
          <cell r="J5625"/>
          <cell r="L5625"/>
        </row>
        <row r="5626">
          <cell r="A5626"/>
          <cell r="D5626"/>
          <cell r="E5626"/>
          <cell r="F5626"/>
          <cell r="G5626"/>
          <cell r="H5626"/>
          <cell r="I5626"/>
          <cell r="J5626"/>
          <cell r="L5626"/>
        </row>
        <row r="5627">
          <cell r="A5627"/>
          <cell r="D5627"/>
          <cell r="E5627"/>
          <cell r="F5627"/>
          <cell r="G5627"/>
          <cell r="H5627"/>
          <cell r="I5627"/>
          <cell r="J5627"/>
          <cell r="L5627"/>
        </row>
        <row r="5628">
          <cell r="A5628"/>
          <cell r="D5628"/>
          <cell r="E5628"/>
          <cell r="F5628"/>
          <cell r="G5628"/>
          <cell r="H5628"/>
          <cell r="I5628"/>
          <cell r="J5628"/>
          <cell r="L5628"/>
        </row>
        <row r="5629">
          <cell r="A5629"/>
          <cell r="D5629"/>
          <cell r="E5629"/>
          <cell r="F5629"/>
          <cell r="G5629"/>
          <cell r="H5629"/>
          <cell r="I5629"/>
          <cell r="J5629"/>
          <cell r="L5629"/>
        </row>
        <row r="5630">
          <cell r="A5630"/>
          <cell r="D5630"/>
          <cell r="E5630"/>
          <cell r="F5630"/>
          <cell r="G5630"/>
          <cell r="H5630"/>
          <cell r="I5630"/>
          <cell r="J5630"/>
          <cell r="L5630"/>
        </row>
        <row r="5631">
          <cell r="A5631"/>
          <cell r="D5631"/>
          <cell r="E5631"/>
          <cell r="F5631"/>
          <cell r="G5631"/>
          <cell r="H5631"/>
          <cell r="I5631"/>
          <cell r="J5631"/>
          <cell r="L5631"/>
        </row>
        <row r="5632">
          <cell r="A5632"/>
          <cell r="D5632"/>
          <cell r="E5632"/>
          <cell r="F5632"/>
          <cell r="G5632"/>
          <cell r="H5632"/>
          <cell r="I5632"/>
          <cell r="J5632"/>
          <cell r="L5632"/>
        </row>
        <row r="5633">
          <cell r="A5633"/>
          <cell r="D5633"/>
          <cell r="E5633"/>
          <cell r="F5633"/>
          <cell r="G5633"/>
          <cell r="H5633"/>
          <cell r="I5633"/>
          <cell r="J5633"/>
          <cell r="L5633"/>
        </row>
        <row r="5634">
          <cell r="A5634"/>
          <cell r="D5634"/>
          <cell r="E5634"/>
          <cell r="F5634"/>
          <cell r="G5634"/>
          <cell r="H5634"/>
          <cell r="I5634"/>
          <cell r="J5634"/>
          <cell r="L5634"/>
        </row>
        <row r="5635">
          <cell r="A5635"/>
          <cell r="D5635"/>
          <cell r="E5635"/>
          <cell r="F5635"/>
          <cell r="G5635"/>
          <cell r="H5635"/>
          <cell r="I5635"/>
          <cell r="J5635"/>
          <cell r="L5635"/>
        </row>
        <row r="5636">
          <cell r="A5636"/>
          <cell r="D5636"/>
          <cell r="E5636"/>
          <cell r="F5636"/>
          <cell r="G5636"/>
          <cell r="H5636"/>
          <cell r="I5636"/>
          <cell r="J5636"/>
          <cell r="L5636"/>
        </row>
        <row r="5637">
          <cell r="A5637"/>
          <cell r="D5637"/>
          <cell r="E5637"/>
          <cell r="F5637"/>
          <cell r="G5637"/>
          <cell r="H5637"/>
          <cell r="I5637"/>
          <cell r="J5637"/>
          <cell r="L5637"/>
        </row>
        <row r="5638">
          <cell r="A5638"/>
          <cell r="D5638"/>
          <cell r="E5638"/>
          <cell r="F5638"/>
          <cell r="G5638"/>
          <cell r="H5638"/>
          <cell r="I5638"/>
          <cell r="J5638"/>
          <cell r="L5638"/>
        </row>
        <row r="5639">
          <cell r="A5639"/>
          <cell r="D5639"/>
          <cell r="E5639"/>
          <cell r="F5639"/>
          <cell r="G5639"/>
          <cell r="H5639"/>
          <cell r="I5639"/>
          <cell r="J5639"/>
          <cell r="L5639"/>
        </row>
        <row r="5640">
          <cell r="A5640"/>
          <cell r="D5640"/>
          <cell r="E5640"/>
          <cell r="F5640"/>
          <cell r="G5640"/>
          <cell r="H5640"/>
          <cell r="I5640"/>
          <cell r="J5640"/>
          <cell r="L5640"/>
        </row>
        <row r="5641">
          <cell r="A5641"/>
          <cell r="D5641"/>
          <cell r="E5641"/>
          <cell r="F5641"/>
          <cell r="G5641"/>
          <cell r="H5641"/>
          <cell r="I5641"/>
          <cell r="J5641"/>
          <cell r="L5641"/>
        </row>
        <row r="5642">
          <cell r="A5642"/>
          <cell r="D5642"/>
          <cell r="E5642"/>
          <cell r="F5642"/>
          <cell r="G5642"/>
          <cell r="H5642"/>
          <cell r="I5642"/>
          <cell r="J5642"/>
          <cell r="L5642"/>
        </row>
        <row r="5643">
          <cell r="A5643"/>
          <cell r="D5643"/>
          <cell r="E5643"/>
          <cell r="F5643"/>
          <cell r="G5643"/>
          <cell r="H5643"/>
          <cell r="I5643"/>
          <cell r="J5643"/>
          <cell r="L5643"/>
        </row>
        <row r="5644">
          <cell r="A5644"/>
          <cell r="D5644"/>
          <cell r="E5644"/>
          <cell r="F5644"/>
          <cell r="G5644"/>
          <cell r="H5644"/>
          <cell r="I5644"/>
          <cell r="J5644"/>
          <cell r="L5644"/>
        </row>
        <row r="5645">
          <cell r="A5645"/>
          <cell r="D5645"/>
          <cell r="E5645"/>
          <cell r="F5645"/>
          <cell r="G5645"/>
          <cell r="H5645"/>
          <cell r="I5645"/>
          <cell r="J5645"/>
          <cell r="L5645"/>
        </row>
        <row r="5646">
          <cell r="A5646"/>
          <cell r="D5646"/>
          <cell r="E5646"/>
          <cell r="F5646"/>
          <cell r="G5646"/>
          <cell r="H5646"/>
          <cell r="I5646"/>
          <cell r="J5646"/>
          <cell r="L5646"/>
        </row>
        <row r="5647">
          <cell r="A5647"/>
          <cell r="D5647"/>
          <cell r="E5647"/>
          <cell r="F5647"/>
          <cell r="G5647"/>
          <cell r="H5647"/>
          <cell r="I5647"/>
          <cell r="J5647"/>
          <cell r="L5647"/>
        </row>
        <row r="5648">
          <cell r="A5648"/>
          <cell r="D5648"/>
          <cell r="E5648"/>
          <cell r="F5648"/>
          <cell r="G5648"/>
          <cell r="H5648"/>
          <cell r="I5648"/>
          <cell r="J5648"/>
          <cell r="L5648"/>
        </row>
        <row r="5649">
          <cell r="A5649"/>
          <cell r="D5649"/>
          <cell r="E5649"/>
          <cell r="F5649"/>
          <cell r="G5649"/>
          <cell r="H5649"/>
          <cell r="I5649"/>
          <cell r="J5649"/>
          <cell r="L5649"/>
        </row>
        <row r="5650">
          <cell r="A5650"/>
          <cell r="D5650"/>
          <cell r="E5650"/>
          <cell r="F5650"/>
          <cell r="G5650"/>
          <cell r="H5650"/>
          <cell r="I5650"/>
          <cell r="J5650"/>
          <cell r="L5650"/>
        </row>
        <row r="5651">
          <cell r="A5651"/>
          <cell r="D5651"/>
          <cell r="E5651"/>
          <cell r="F5651"/>
          <cell r="G5651"/>
          <cell r="H5651"/>
          <cell r="I5651"/>
          <cell r="J5651"/>
          <cell r="L5651"/>
        </row>
        <row r="5652">
          <cell r="A5652"/>
          <cell r="D5652"/>
          <cell r="E5652"/>
          <cell r="F5652"/>
          <cell r="G5652"/>
          <cell r="H5652"/>
          <cell r="I5652"/>
          <cell r="J5652"/>
          <cell r="L5652"/>
        </row>
        <row r="5653">
          <cell r="A5653"/>
          <cell r="D5653"/>
          <cell r="E5653"/>
          <cell r="F5653"/>
          <cell r="G5653"/>
          <cell r="H5653"/>
          <cell r="I5653"/>
          <cell r="J5653"/>
          <cell r="L5653"/>
        </row>
        <row r="5654">
          <cell r="A5654"/>
          <cell r="D5654"/>
          <cell r="E5654"/>
          <cell r="F5654"/>
          <cell r="G5654"/>
          <cell r="H5654"/>
          <cell r="I5654"/>
          <cell r="J5654"/>
          <cell r="L5654"/>
        </row>
        <row r="5655">
          <cell r="A5655"/>
          <cell r="D5655"/>
          <cell r="E5655"/>
          <cell r="F5655"/>
          <cell r="G5655"/>
          <cell r="H5655"/>
          <cell r="I5655"/>
          <cell r="J5655"/>
          <cell r="L5655"/>
        </row>
        <row r="5656">
          <cell r="A5656"/>
          <cell r="D5656"/>
          <cell r="E5656"/>
          <cell r="F5656"/>
          <cell r="G5656"/>
          <cell r="H5656"/>
          <cell r="I5656"/>
          <cell r="J5656"/>
          <cell r="L5656"/>
        </row>
        <row r="5657">
          <cell r="A5657"/>
          <cell r="D5657"/>
          <cell r="E5657"/>
          <cell r="F5657"/>
          <cell r="G5657"/>
          <cell r="H5657"/>
          <cell r="I5657"/>
          <cell r="J5657"/>
          <cell r="L5657"/>
        </row>
        <row r="5658">
          <cell r="A5658"/>
          <cell r="D5658"/>
          <cell r="E5658"/>
          <cell r="F5658"/>
          <cell r="G5658"/>
          <cell r="H5658"/>
          <cell r="I5658"/>
          <cell r="J5658"/>
          <cell r="L5658"/>
        </row>
        <row r="5659">
          <cell r="A5659"/>
          <cell r="D5659"/>
          <cell r="E5659"/>
          <cell r="F5659"/>
          <cell r="G5659"/>
          <cell r="H5659"/>
          <cell r="I5659"/>
          <cell r="J5659"/>
          <cell r="L5659"/>
        </row>
        <row r="5660">
          <cell r="A5660"/>
          <cell r="D5660"/>
          <cell r="E5660"/>
          <cell r="F5660"/>
          <cell r="G5660"/>
          <cell r="H5660"/>
          <cell r="I5660"/>
          <cell r="J5660"/>
          <cell r="L5660"/>
        </row>
        <row r="5661">
          <cell r="A5661"/>
          <cell r="D5661"/>
          <cell r="E5661"/>
          <cell r="F5661"/>
          <cell r="G5661"/>
          <cell r="H5661"/>
          <cell r="I5661"/>
          <cell r="J5661"/>
          <cell r="L5661"/>
        </row>
        <row r="5662">
          <cell r="A5662"/>
          <cell r="D5662"/>
          <cell r="E5662"/>
          <cell r="F5662"/>
          <cell r="G5662"/>
          <cell r="H5662"/>
          <cell r="I5662"/>
          <cell r="J5662"/>
          <cell r="L5662"/>
        </row>
        <row r="5663">
          <cell r="A5663"/>
          <cell r="D5663"/>
          <cell r="E5663"/>
          <cell r="F5663"/>
          <cell r="G5663"/>
          <cell r="H5663"/>
          <cell r="I5663"/>
          <cell r="J5663"/>
          <cell r="L5663"/>
        </row>
        <row r="5664">
          <cell r="A5664"/>
          <cell r="D5664"/>
          <cell r="E5664"/>
          <cell r="F5664"/>
          <cell r="G5664"/>
          <cell r="H5664"/>
          <cell r="I5664"/>
          <cell r="J5664"/>
          <cell r="L5664"/>
        </row>
        <row r="5665">
          <cell r="A5665"/>
          <cell r="D5665"/>
          <cell r="E5665"/>
          <cell r="F5665"/>
          <cell r="G5665"/>
          <cell r="H5665"/>
          <cell r="I5665"/>
          <cell r="J5665"/>
          <cell r="L5665"/>
        </row>
        <row r="5666">
          <cell r="A5666"/>
          <cell r="D5666"/>
          <cell r="E5666"/>
          <cell r="F5666"/>
          <cell r="G5666"/>
          <cell r="H5666"/>
          <cell r="I5666"/>
          <cell r="J5666"/>
          <cell r="L5666"/>
        </row>
        <row r="5667">
          <cell r="A5667"/>
          <cell r="D5667"/>
          <cell r="E5667"/>
          <cell r="F5667"/>
          <cell r="G5667"/>
          <cell r="H5667"/>
          <cell r="I5667"/>
          <cell r="J5667"/>
          <cell r="L5667"/>
        </row>
        <row r="5668">
          <cell r="A5668"/>
          <cell r="D5668"/>
          <cell r="E5668"/>
          <cell r="F5668"/>
          <cell r="G5668"/>
          <cell r="H5668"/>
          <cell r="I5668"/>
          <cell r="J5668"/>
          <cell r="L5668"/>
        </row>
        <row r="5669">
          <cell r="A5669"/>
          <cell r="D5669"/>
          <cell r="E5669"/>
          <cell r="F5669"/>
          <cell r="G5669"/>
          <cell r="H5669"/>
          <cell r="I5669"/>
          <cell r="J5669"/>
          <cell r="L5669"/>
        </row>
        <row r="5670">
          <cell r="A5670"/>
          <cell r="D5670"/>
          <cell r="E5670"/>
          <cell r="F5670"/>
          <cell r="G5670"/>
          <cell r="H5670"/>
          <cell r="I5670"/>
          <cell r="J5670"/>
          <cell r="L5670"/>
        </row>
        <row r="5671">
          <cell r="A5671"/>
          <cell r="D5671"/>
          <cell r="E5671"/>
          <cell r="F5671"/>
          <cell r="G5671"/>
          <cell r="H5671"/>
          <cell r="I5671"/>
          <cell r="J5671"/>
          <cell r="L5671"/>
        </row>
        <row r="5672">
          <cell r="A5672"/>
          <cell r="D5672"/>
          <cell r="E5672"/>
          <cell r="F5672"/>
          <cell r="G5672"/>
          <cell r="H5672"/>
          <cell r="I5672"/>
          <cell r="J5672"/>
          <cell r="L5672"/>
        </row>
        <row r="5673">
          <cell r="A5673"/>
          <cell r="D5673"/>
          <cell r="E5673"/>
          <cell r="F5673"/>
          <cell r="G5673"/>
          <cell r="H5673"/>
          <cell r="I5673"/>
          <cell r="J5673"/>
          <cell r="L5673"/>
        </row>
        <row r="5674">
          <cell r="A5674"/>
          <cell r="D5674"/>
          <cell r="E5674"/>
          <cell r="F5674"/>
          <cell r="G5674"/>
          <cell r="H5674"/>
          <cell r="I5674"/>
          <cell r="J5674"/>
          <cell r="L5674"/>
        </row>
        <row r="5675">
          <cell r="A5675"/>
          <cell r="D5675"/>
          <cell r="E5675"/>
          <cell r="F5675"/>
          <cell r="G5675"/>
          <cell r="H5675"/>
          <cell r="I5675"/>
          <cell r="J5675"/>
          <cell r="L5675"/>
        </row>
        <row r="5676">
          <cell r="A5676"/>
          <cell r="D5676"/>
          <cell r="E5676"/>
          <cell r="F5676"/>
          <cell r="G5676"/>
          <cell r="H5676"/>
          <cell r="I5676"/>
          <cell r="J5676"/>
          <cell r="L5676"/>
        </row>
        <row r="5677">
          <cell r="A5677"/>
          <cell r="D5677"/>
          <cell r="E5677"/>
          <cell r="F5677"/>
          <cell r="G5677"/>
          <cell r="H5677"/>
          <cell r="I5677"/>
          <cell r="J5677"/>
          <cell r="L5677"/>
        </row>
        <row r="5678">
          <cell r="A5678"/>
          <cell r="D5678"/>
          <cell r="E5678"/>
          <cell r="F5678"/>
          <cell r="G5678"/>
          <cell r="H5678"/>
          <cell r="I5678"/>
          <cell r="J5678"/>
          <cell r="L5678"/>
        </row>
        <row r="5679">
          <cell r="A5679"/>
          <cell r="D5679"/>
          <cell r="E5679"/>
          <cell r="F5679"/>
          <cell r="G5679"/>
          <cell r="H5679"/>
          <cell r="I5679"/>
          <cell r="J5679"/>
          <cell r="L5679"/>
        </row>
        <row r="5680">
          <cell r="A5680"/>
          <cell r="D5680"/>
          <cell r="E5680"/>
          <cell r="F5680"/>
          <cell r="G5680"/>
          <cell r="H5680"/>
          <cell r="I5680"/>
          <cell r="J5680"/>
          <cell r="L5680"/>
        </row>
        <row r="5681">
          <cell r="A5681"/>
          <cell r="D5681"/>
          <cell r="E5681"/>
          <cell r="F5681"/>
          <cell r="G5681"/>
          <cell r="H5681"/>
          <cell r="I5681"/>
          <cell r="J5681"/>
          <cell r="L5681"/>
        </row>
        <row r="5682">
          <cell r="A5682"/>
          <cell r="D5682"/>
          <cell r="E5682"/>
          <cell r="F5682"/>
          <cell r="G5682"/>
          <cell r="H5682"/>
          <cell r="I5682"/>
          <cell r="J5682"/>
          <cell r="L5682"/>
        </row>
        <row r="5683">
          <cell r="A5683"/>
          <cell r="D5683"/>
          <cell r="E5683"/>
          <cell r="F5683"/>
          <cell r="G5683"/>
          <cell r="H5683"/>
          <cell r="I5683"/>
          <cell r="J5683"/>
          <cell r="L5683"/>
        </row>
        <row r="5684">
          <cell r="A5684"/>
          <cell r="D5684"/>
          <cell r="E5684"/>
          <cell r="F5684"/>
          <cell r="G5684"/>
          <cell r="H5684"/>
          <cell r="I5684"/>
          <cell r="J5684"/>
          <cell r="L5684"/>
        </row>
        <row r="5685">
          <cell r="A5685"/>
          <cell r="D5685"/>
          <cell r="E5685"/>
          <cell r="F5685"/>
          <cell r="G5685"/>
          <cell r="H5685"/>
          <cell r="I5685"/>
          <cell r="J5685"/>
          <cell r="L5685"/>
        </row>
        <row r="5686">
          <cell r="A5686"/>
          <cell r="D5686"/>
          <cell r="E5686"/>
          <cell r="F5686"/>
          <cell r="G5686"/>
          <cell r="H5686"/>
          <cell r="I5686"/>
          <cell r="J5686"/>
          <cell r="L5686"/>
        </row>
        <row r="5687">
          <cell r="A5687"/>
          <cell r="D5687"/>
          <cell r="E5687"/>
          <cell r="F5687"/>
          <cell r="G5687"/>
          <cell r="H5687"/>
          <cell r="I5687"/>
          <cell r="J5687"/>
          <cell r="L5687"/>
        </row>
        <row r="5688">
          <cell r="A5688"/>
          <cell r="D5688"/>
          <cell r="E5688"/>
          <cell r="F5688"/>
          <cell r="G5688"/>
          <cell r="H5688"/>
          <cell r="I5688"/>
          <cell r="J5688"/>
          <cell r="L5688"/>
        </row>
        <row r="5689">
          <cell r="A5689"/>
          <cell r="D5689"/>
          <cell r="E5689"/>
          <cell r="F5689"/>
          <cell r="G5689"/>
          <cell r="H5689"/>
          <cell r="I5689"/>
          <cell r="J5689"/>
          <cell r="L5689"/>
        </row>
        <row r="5690">
          <cell r="A5690"/>
          <cell r="D5690"/>
          <cell r="E5690"/>
          <cell r="F5690"/>
          <cell r="G5690"/>
          <cell r="H5690"/>
          <cell r="I5690"/>
          <cell r="J5690"/>
          <cell r="L5690"/>
        </row>
        <row r="5691">
          <cell r="A5691"/>
          <cell r="D5691"/>
          <cell r="E5691"/>
          <cell r="F5691"/>
          <cell r="G5691"/>
          <cell r="H5691"/>
          <cell r="I5691"/>
          <cell r="J5691"/>
          <cell r="L5691"/>
        </row>
        <row r="5692">
          <cell r="A5692"/>
          <cell r="D5692"/>
          <cell r="E5692"/>
          <cell r="F5692"/>
          <cell r="G5692"/>
          <cell r="H5692"/>
          <cell r="I5692"/>
          <cell r="J5692"/>
          <cell r="L5692"/>
        </row>
        <row r="5693">
          <cell r="A5693"/>
          <cell r="D5693"/>
          <cell r="E5693"/>
          <cell r="F5693"/>
          <cell r="G5693"/>
          <cell r="H5693"/>
          <cell r="I5693"/>
          <cell r="J5693"/>
          <cell r="L5693"/>
        </row>
        <row r="5694">
          <cell r="A5694"/>
          <cell r="D5694"/>
          <cell r="E5694"/>
          <cell r="F5694"/>
          <cell r="G5694"/>
          <cell r="H5694"/>
          <cell r="I5694"/>
          <cell r="J5694"/>
          <cell r="L5694"/>
        </row>
        <row r="5695">
          <cell r="A5695"/>
          <cell r="D5695"/>
          <cell r="E5695"/>
          <cell r="F5695"/>
          <cell r="G5695"/>
          <cell r="H5695"/>
          <cell r="I5695"/>
          <cell r="J5695"/>
          <cell r="L5695"/>
        </row>
        <row r="5696">
          <cell r="A5696"/>
          <cell r="D5696"/>
          <cell r="E5696"/>
          <cell r="F5696"/>
          <cell r="G5696"/>
          <cell r="H5696"/>
          <cell r="I5696"/>
          <cell r="J5696"/>
          <cell r="L5696"/>
        </row>
        <row r="5697">
          <cell r="A5697"/>
          <cell r="D5697"/>
          <cell r="E5697"/>
          <cell r="F5697"/>
          <cell r="G5697"/>
          <cell r="H5697"/>
          <cell r="I5697"/>
          <cell r="J5697"/>
          <cell r="L5697"/>
        </row>
        <row r="5698">
          <cell r="A5698"/>
          <cell r="D5698"/>
          <cell r="E5698"/>
          <cell r="F5698"/>
          <cell r="G5698"/>
          <cell r="H5698"/>
          <cell r="I5698"/>
          <cell r="J5698"/>
          <cell r="L5698"/>
        </row>
        <row r="5699">
          <cell r="A5699"/>
          <cell r="D5699"/>
          <cell r="E5699"/>
          <cell r="F5699"/>
          <cell r="G5699"/>
          <cell r="H5699"/>
          <cell r="I5699"/>
          <cell r="J5699"/>
          <cell r="L5699"/>
        </row>
        <row r="5700">
          <cell r="A5700"/>
          <cell r="D5700"/>
          <cell r="E5700"/>
          <cell r="F5700"/>
          <cell r="G5700"/>
          <cell r="H5700"/>
          <cell r="I5700"/>
          <cell r="J5700"/>
          <cell r="L5700"/>
        </row>
        <row r="5701">
          <cell r="A5701"/>
          <cell r="D5701"/>
          <cell r="E5701"/>
          <cell r="F5701"/>
          <cell r="G5701"/>
          <cell r="H5701"/>
          <cell r="I5701"/>
          <cell r="J5701"/>
          <cell r="L5701"/>
        </row>
        <row r="5702">
          <cell r="A5702"/>
          <cell r="D5702"/>
          <cell r="E5702"/>
          <cell r="F5702"/>
          <cell r="G5702"/>
          <cell r="H5702"/>
          <cell r="I5702"/>
          <cell r="J5702"/>
          <cell r="L5702"/>
        </row>
        <row r="5703">
          <cell r="A5703"/>
          <cell r="D5703"/>
          <cell r="E5703"/>
          <cell r="F5703"/>
          <cell r="G5703"/>
          <cell r="H5703"/>
          <cell r="I5703"/>
          <cell r="J5703"/>
          <cell r="L5703"/>
        </row>
        <row r="5704">
          <cell r="A5704"/>
          <cell r="D5704"/>
          <cell r="E5704"/>
          <cell r="F5704"/>
          <cell r="G5704"/>
          <cell r="H5704"/>
          <cell r="I5704"/>
          <cell r="J5704"/>
          <cell r="L5704"/>
        </row>
        <row r="5705">
          <cell r="A5705"/>
          <cell r="D5705"/>
          <cell r="E5705"/>
          <cell r="F5705"/>
          <cell r="G5705"/>
          <cell r="H5705"/>
          <cell r="I5705"/>
          <cell r="J5705"/>
          <cell r="L5705"/>
        </row>
        <row r="5706">
          <cell r="A5706"/>
          <cell r="D5706"/>
          <cell r="E5706"/>
          <cell r="F5706"/>
          <cell r="G5706"/>
          <cell r="H5706"/>
          <cell r="I5706"/>
          <cell r="J5706"/>
          <cell r="L5706"/>
        </row>
        <row r="5707">
          <cell r="A5707"/>
          <cell r="D5707"/>
          <cell r="E5707"/>
          <cell r="F5707"/>
          <cell r="G5707"/>
          <cell r="H5707"/>
          <cell r="I5707"/>
          <cell r="J5707"/>
          <cell r="L5707"/>
        </row>
        <row r="5708">
          <cell r="A5708"/>
          <cell r="D5708"/>
          <cell r="E5708"/>
          <cell r="F5708"/>
          <cell r="G5708"/>
          <cell r="H5708"/>
          <cell r="I5708"/>
          <cell r="J5708"/>
          <cell r="L5708"/>
        </row>
        <row r="5709">
          <cell r="A5709"/>
          <cell r="D5709"/>
          <cell r="E5709"/>
          <cell r="F5709"/>
          <cell r="G5709"/>
          <cell r="H5709"/>
          <cell r="I5709"/>
          <cell r="J5709"/>
          <cell r="L5709"/>
        </row>
        <row r="5710">
          <cell r="A5710"/>
          <cell r="D5710"/>
          <cell r="E5710"/>
          <cell r="F5710"/>
          <cell r="G5710"/>
          <cell r="H5710"/>
          <cell r="I5710"/>
          <cell r="J5710"/>
          <cell r="L5710"/>
        </row>
        <row r="5711">
          <cell r="A5711"/>
          <cell r="D5711"/>
          <cell r="E5711"/>
          <cell r="F5711"/>
          <cell r="G5711"/>
          <cell r="H5711"/>
          <cell r="I5711"/>
          <cell r="J5711"/>
          <cell r="L5711"/>
        </row>
        <row r="5712">
          <cell r="A5712"/>
          <cell r="D5712"/>
          <cell r="E5712"/>
          <cell r="F5712"/>
          <cell r="G5712"/>
          <cell r="H5712"/>
          <cell r="I5712"/>
          <cell r="J5712"/>
          <cell r="L5712"/>
        </row>
        <row r="5713">
          <cell r="A5713"/>
          <cell r="D5713"/>
          <cell r="E5713"/>
          <cell r="F5713"/>
          <cell r="G5713"/>
          <cell r="H5713"/>
          <cell r="I5713"/>
          <cell r="J5713"/>
          <cell r="L5713"/>
        </row>
        <row r="5714">
          <cell r="A5714"/>
          <cell r="D5714"/>
          <cell r="E5714"/>
          <cell r="F5714"/>
          <cell r="G5714"/>
          <cell r="H5714"/>
          <cell r="I5714"/>
          <cell r="J5714"/>
          <cell r="L5714"/>
        </row>
        <row r="5715">
          <cell r="A5715"/>
          <cell r="D5715"/>
          <cell r="E5715"/>
          <cell r="F5715"/>
          <cell r="G5715"/>
          <cell r="H5715"/>
          <cell r="I5715"/>
          <cell r="J5715"/>
          <cell r="L5715"/>
        </row>
        <row r="5716">
          <cell r="A5716"/>
          <cell r="D5716"/>
          <cell r="E5716"/>
          <cell r="F5716"/>
          <cell r="G5716"/>
          <cell r="H5716"/>
          <cell r="I5716"/>
          <cell r="J5716"/>
          <cell r="L5716"/>
        </row>
        <row r="5717">
          <cell r="A5717"/>
          <cell r="D5717"/>
          <cell r="E5717"/>
          <cell r="F5717"/>
          <cell r="G5717"/>
          <cell r="H5717"/>
          <cell r="I5717"/>
          <cell r="J5717"/>
          <cell r="L5717"/>
        </row>
        <row r="5718">
          <cell r="A5718"/>
          <cell r="D5718"/>
          <cell r="E5718"/>
          <cell r="F5718"/>
          <cell r="G5718"/>
          <cell r="H5718"/>
          <cell r="I5718"/>
          <cell r="J5718"/>
          <cell r="L5718"/>
        </row>
        <row r="5719">
          <cell r="A5719"/>
          <cell r="D5719"/>
          <cell r="E5719"/>
          <cell r="F5719"/>
          <cell r="G5719"/>
          <cell r="H5719"/>
          <cell r="I5719"/>
          <cell r="J5719"/>
          <cell r="L5719"/>
        </row>
        <row r="5720">
          <cell r="A5720"/>
          <cell r="D5720"/>
          <cell r="E5720"/>
          <cell r="F5720"/>
          <cell r="G5720"/>
          <cell r="H5720"/>
          <cell r="I5720"/>
          <cell r="J5720"/>
          <cell r="L5720"/>
        </row>
        <row r="5721">
          <cell r="A5721"/>
          <cell r="D5721"/>
          <cell r="E5721"/>
          <cell r="F5721"/>
          <cell r="G5721"/>
          <cell r="H5721"/>
          <cell r="I5721"/>
          <cell r="J5721"/>
          <cell r="L5721"/>
        </row>
        <row r="5722">
          <cell r="A5722"/>
          <cell r="D5722"/>
          <cell r="E5722"/>
          <cell r="F5722"/>
          <cell r="G5722"/>
          <cell r="H5722"/>
          <cell r="I5722"/>
          <cell r="J5722"/>
          <cell r="L5722"/>
        </row>
        <row r="5723">
          <cell r="A5723"/>
          <cell r="D5723"/>
          <cell r="E5723"/>
          <cell r="F5723"/>
          <cell r="G5723"/>
          <cell r="H5723"/>
          <cell r="I5723"/>
          <cell r="J5723"/>
          <cell r="L5723"/>
        </row>
        <row r="5724">
          <cell r="A5724"/>
          <cell r="D5724"/>
          <cell r="E5724"/>
          <cell r="F5724"/>
          <cell r="G5724"/>
          <cell r="H5724"/>
          <cell r="I5724"/>
          <cell r="J5724"/>
          <cell r="L5724"/>
        </row>
        <row r="5725">
          <cell r="A5725"/>
          <cell r="D5725"/>
          <cell r="E5725"/>
          <cell r="F5725"/>
          <cell r="G5725"/>
          <cell r="H5725"/>
          <cell r="I5725"/>
          <cell r="J5725"/>
          <cell r="L5725"/>
        </row>
        <row r="5726">
          <cell r="A5726"/>
          <cell r="D5726"/>
          <cell r="E5726"/>
          <cell r="F5726"/>
          <cell r="G5726"/>
          <cell r="H5726"/>
          <cell r="I5726"/>
          <cell r="J5726"/>
          <cell r="L5726"/>
        </row>
        <row r="5727">
          <cell r="A5727"/>
          <cell r="D5727"/>
          <cell r="E5727"/>
          <cell r="F5727"/>
          <cell r="G5727"/>
          <cell r="H5727"/>
          <cell r="I5727"/>
          <cell r="J5727"/>
          <cell r="L5727"/>
        </row>
        <row r="5728">
          <cell r="A5728"/>
          <cell r="D5728"/>
          <cell r="E5728"/>
          <cell r="F5728"/>
          <cell r="G5728"/>
          <cell r="H5728"/>
          <cell r="I5728"/>
          <cell r="J5728"/>
          <cell r="L5728"/>
        </row>
        <row r="5729">
          <cell r="A5729"/>
          <cell r="D5729"/>
          <cell r="E5729"/>
          <cell r="F5729"/>
          <cell r="G5729"/>
          <cell r="H5729"/>
          <cell r="I5729"/>
          <cell r="J5729"/>
          <cell r="L5729"/>
        </row>
        <row r="5730">
          <cell r="A5730"/>
          <cell r="D5730"/>
          <cell r="E5730"/>
          <cell r="F5730"/>
          <cell r="G5730"/>
          <cell r="H5730"/>
          <cell r="I5730"/>
          <cell r="J5730"/>
          <cell r="L5730"/>
        </row>
        <row r="5731">
          <cell r="A5731"/>
          <cell r="D5731"/>
          <cell r="E5731"/>
          <cell r="F5731"/>
          <cell r="G5731"/>
          <cell r="H5731"/>
          <cell r="I5731"/>
          <cell r="J5731"/>
          <cell r="L5731"/>
        </row>
        <row r="5732">
          <cell r="A5732"/>
          <cell r="D5732"/>
          <cell r="E5732"/>
          <cell r="F5732"/>
          <cell r="G5732"/>
          <cell r="H5732"/>
          <cell r="I5732"/>
          <cell r="J5732"/>
          <cell r="L5732"/>
        </row>
        <row r="5733">
          <cell r="A5733"/>
          <cell r="D5733"/>
          <cell r="E5733"/>
          <cell r="F5733"/>
          <cell r="G5733"/>
          <cell r="H5733"/>
          <cell r="I5733"/>
          <cell r="J5733"/>
          <cell r="L5733"/>
        </row>
        <row r="5734">
          <cell r="A5734"/>
          <cell r="D5734"/>
          <cell r="E5734"/>
          <cell r="F5734"/>
          <cell r="G5734"/>
          <cell r="H5734"/>
          <cell r="I5734"/>
          <cell r="J5734"/>
          <cell r="L5734"/>
        </row>
        <row r="5735">
          <cell r="A5735"/>
          <cell r="D5735"/>
          <cell r="E5735"/>
          <cell r="F5735"/>
          <cell r="G5735"/>
          <cell r="H5735"/>
          <cell r="I5735"/>
          <cell r="J5735"/>
          <cell r="L5735"/>
        </row>
        <row r="5736">
          <cell r="A5736"/>
          <cell r="D5736"/>
          <cell r="E5736"/>
          <cell r="F5736"/>
          <cell r="G5736"/>
          <cell r="H5736"/>
          <cell r="I5736"/>
          <cell r="J5736"/>
          <cell r="L5736"/>
        </row>
        <row r="5737">
          <cell r="A5737"/>
          <cell r="D5737"/>
          <cell r="E5737"/>
          <cell r="F5737"/>
          <cell r="G5737"/>
          <cell r="H5737"/>
          <cell r="I5737"/>
          <cell r="J5737"/>
          <cell r="L5737"/>
        </row>
        <row r="5738">
          <cell r="A5738"/>
          <cell r="D5738"/>
          <cell r="E5738"/>
          <cell r="F5738"/>
          <cell r="G5738"/>
          <cell r="H5738"/>
          <cell r="I5738"/>
          <cell r="J5738"/>
          <cell r="L5738"/>
        </row>
        <row r="5739">
          <cell r="A5739"/>
          <cell r="D5739"/>
          <cell r="E5739"/>
          <cell r="F5739"/>
          <cell r="G5739"/>
          <cell r="H5739"/>
          <cell r="I5739"/>
          <cell r="J5739"/>
          <cell r="L5739"/>
        </row>
        <row r="5740">
          <cell r="A5740"/>
          <cell r="D5740"/>
          <cell r="E5740"/>
          <cell r="F5740"/>
          <cell r="G5740"/>
          <cell r="H5740"/>
          <cell r="I5740"/>
          <cell r="J5740"/>
          <cell r="L5740"/>
        </row>
        <row r="5741">
          <cell r="A5741"/>
          <cell r="D5741"/>
          <cell r="E5741"/>
          <cell r="F5741"/>
          <cell r="G5741"/>
          <cell r="H5741"/>
          <cell r="I5741"/>
          <cell r="J5741"/>
          <cell r="L5741"/>
        </row>
        <row r="5742">
          <cell r="A5742"/>
          <cell r="D5742"/>
          <cell r="E5742"/>
          <cell r="F5742"/>
          <cell r="G5742"/>
          <cell r="H5742"/>
          <cell r="I5742"/>
          <cell r="J5742"/>
          <cell r="L5742"/>
        </row>
        <row r="5743">
          <cell r="A5743"/>
          <cell r="D5743"/>
          <cell r="E5743"/>
          <cell r="F5743"/>
          <cell r="G5743"/>
          <cell r="H5743"/>
          <cell r="I5743"/>
          <cell r="J5743"/>
          <cell r="L5743"/>
        </row>
        <row r="5744">
          <cell r="A5744"/>
          <cell r="D5744"/>
          <cell r="E5744"/>
          <cell r="F5744"/>
          <cell r="G5744"/>
          <cell r="H5744"/>
          <cell r="I5744"/>
          <cell r="J5744"/>
          <cell r="L5744"/>
        </row>
        <row r="5745">
          <cell r="A5745"/>
          <cell r="D5745"/>
          <cell r="E5745"/>
          <cell r="F5745"/>
          <cell r="G5745"/>
          <cell r="H5745"/>
          <cell r="I5745"/>
          <cell r="J5745"/>
          <cell r="L5745"/>
        </row>
        <row r="5746">
          <cell r="A5746"/>
          <cell r="D5746"/>
          <cell r="E5746"/>
          <cell r="F5746"/>
          <cell r="G5746"/>
          <cell r="H5746"/>
          <cell r="I5746"/>
          <cell r="J5746"/>
          <cell r="L5746"/>
        </row>
        <row r="5747">
          <cell r="A5747"/>
          <cell r="D5747"/>
          <cell r="E5747"/>
          <cell r="F5747"/>
          <cell r="G5747"/>
          <cell r="H5747"/>
          <cell r="I5747"/>
          <cell r="J5747"/>
          <cell r="L5747"/>
        </row>
        <row r="5748">
          <cell r="A5748"/>
          <cell r="D5748"/>
          <cell r="E5748"/>
          <cell r="F5748"/>
          <cell r="G5748"/>
          <cell r="H5748"/>
          <cell r="I5748"/>
          <cell r="J5748"/>
          <cell r="L5748"/>
        </row>
        <row r="5749">
          <cell r="A5749"/>
          <cell r="D5749"/>
          <cell r="E5749"/>
          <cell r="F5749"/>
          <cell r="G5749"/>
          <cell r="H5749"/>
          <cell r="I5749"/>
          <cell r="J5749"/>
          <cell r="L5749"/>
        </row>
        <row r="5750">
          <cell r="A5750"/>
          <cell r="D5750"/>
          <cell r="E5750"/>
          <cell r="F5750"/>
          <cell r="G5750"/>
          <cell r="H5750"/>
          <cell r="I5750"/>
          <cell r="J5750"/>
          <cell r="L5750"/>
        </row>
        <row r="5751">
          <cell r="A5751"/>
          <cell r="D5751"/>
          <cell r="E5751"/>
          <cell r="F5751"/>
          <cell r="G5751"/>
          <cell r="H5751"/>
          <cell r="I5751"/>
          <cell r="J5751"/>
          <cell r="L5751"/>
        </row>
        <row r="5752">
          <cell r="A5752"/>
          <cell r="D5752"/>
          <cell r="E5752"/>
          <cell r="F5752"/>
          <cell r="G5752"/>
          <cell r="H5752"/>
          <cell r="I5752"/>
          <cell r="J5752"/>
          <cell r="L5752"/>
        </row>
        <row r="5753">
          <cell r="A5753"/>
          <cell r="D5753"/>
          <cell r="E5753"/>
          <cell r="F5753"/>
          <cell r="G5753"/>
          <cell r="H5753"/>
          <cell r="I5753"/>
          <cell r="J5753"/>
          <cell r="L5753"/>
        </row>
        <row r="5754">
          <cell r="A5754"/>
          <cell r="D5754"/>
          <cell r="E5754"/>
          <cell r="F5754"/>
          <cell r="G5754"/>
          <cell r="H5754"/>
          <cell r="I5754"/>
          <cell r="J5754"/>
          <cell r="L5754"/>
        </row>
        <row r="5755">
          <cell r="A5755"/>
          <cell r="D5755"/>
          <cell r="E5755"/>
          <cell r="F5755"/>
          <cell r="G5755"/>
          <cell r="H5755"/>
          <cell r="I5755"/>
          <cell r="J5755"/>
          <cell r="L5755"/>
        </row>
        <row r="5756">
          <cell r="A5756"/>
          <cell r="D5756"/>
          <cell r="E5756"/>
          <cell r="F5756"/>
          <cell r="G5756"/>
          <cell r="H5756"/>
          <cell r="I5756"/>
          <cell r="J5756"/>
          <cell r="L5756"/>
        </row>
        <row r="5757">
          <cell r="A5757"/>
          <cell r="D5757"/>
          <cell r="E5757"/>
          <cell r="F5757"/>
          <cell r="G5757"/>
          <cell r="H5757"/>
          <cell r="I5757"/>
          <cell r="J5757"/>
          <cell r="L5757"/>
        </row>
        <row r="5758">
          <cell r="A5758"/>
          <cell r="D5758"/>
          <cell r="E5758"/>
          <cell r="F5758"/>
          <cell r="G5758"/>
          <cell r="H5758"/>
          <cell r="I5758"/>
          <cell r="J5758"/>
          <cell r="L5758"/>
        </row>
        <row r="5759">
          <cell r="A5759"/>
          <cell r="D5759"/>
          <cell r="E5759"/>
          <cell r="F5759"/>
          <cell r="G5759"/>
          <cell r="H5759"/>
          <cell r="I5759"/>
          <cell r="J5759"/>
          <cell r="L5759"/>
        </row>
        <row r="5760">
          <cell r="A5760"/>
          <cell r="D5760"/>
          <cell r="E5760"/>
          <cell r="F5760"/>
          <cell r="G5760"/>
          <cell r="H5760"/>
          <cell r="I5760"/>
          <cell r="J5760"/>
          <cell r="L5760"/>
        </row>
        <row r="5761">
          <cell r="A5761"/>
          <cell r="D5761"/>
          <cell r="E5761"/>
          <cell r="F5761"/>
          <cell r="G5761"/>
          <cell r="H5761"/>
          <cell r="I5761"/>
          <cell r="J5761"/>
          <cell r="L5761"/>
        </row>
        <row r="5762">
          <cell r="A5762"/>
          <cell r="D5762"/>
          <cell r="E5762"/>
          <cell r="F5762"/>
          <cell r="G5762"/>
          <cell r="H5762"/>
          <cell r="I5762"/>
          <cell r="J5762"/>
          <cell r="L5762"/>
        </row>
        <row r="5763">
          <cell r="A5763"/>
          <cell r="D5763"/>
          <cell r="E5763"/>
          <cell r="F5763"/>
          <cell r="G5763"/>
          <cell r="H5763"/>
          <cell r="I5763"/>
          <cell r="J5763"/>
          <cell r="L5763"/>
        </row>
        <row r="5764">
          <cell r="A5764"/>
          <cell r="D5764"/>
          <cell r="E5764"/>
          <cell r="F5764"/>
          <cell r="G5764"/>
          <cell r="H5764"/>
          <cell r="I5764"/>
          <cell r="J5764"/>
          <cell r="L5764"/>
        </row>
        <row r="5765">
          <cell r="A5765"/>
          <cell r="D5765"/>
          <cell r="E5765"/>
          <cell r="F5765"/>
          <cell r="G5765"/>
          <cell r="H5765"/>
          <cell r="I5765"/>
          <cell r="J5765"/>
          <cell r="L5765"/>
        </row>
        <row r="5766">
          <cell r="A5766"/>
          <cell r="D5766"/>
          <cell r="E5766"/>
          <cell r="F5766"/>
          <cell r="G5766"/>
          <cell r="H5766"/>
          <cell r="I5766"/>
          <cell r="J5766"/>
          <cell r="L5766"/>
        </row>
        <row r="5767">
          <cell r="A5767"/>
          <cell r="D5767"/>
          <cell r="E5767"/>
          <cell r="F5767"/>
          <cell r="G5767"/>
          <cell r="H5767"/>
          <cell r="I5767"/>
          <cell r="J5767"/>
          <cell r="L5767"/>
        </row>
        <row r="5768">
          <cell r="A5768"/>
          <cell r="D5768"/>
          <cell r="E5768"/>
          <cell r="F5768"/>
          <cell r="G5768"/>
          <cell r="H5768"/>
          <cell r="I5768"/>
          <cell r="J5768"/>
          <cell r="L5768"/>
        </row>
        <row r="5769">
          <cell r="A5769"/>
          <cell r="D5769"/>
          <cell r="E5769"/>
          <cell r="F5769"/>
          <cell r="G5769"/>
          <cell r="H5769"/>
          <cell r="I5769"/>
          <cell r="J5769"/>
          <cell r="L5769"/>
        </row>
        <row r="5770">
          <cell r="A5770"/>
          <cell r="D5770"/>
          <cell r="E5770"/>
          <cell r="F5770"/>
          <cell r="G5770"/>
          <cell r="H5770"/>
          <cell r="I5770"/>
          <cell r="J5770"/>
          <cell r="L5770"/>
        </row>
        <row r="5771">
          <cell r="A5771"/>
          <cell r="D5771"/>
          <cell r="E5771"/>
          <cell r="F5771"/>
          <cell r="G5771"/>
          <cell r="H5771"/>
          <cell r="I5771"/>
          <cell r="J5771"/>
          <cell r="L5771"/>
        </row>
        <row r="5772">
          <cell r="A5772"/>
          <cell r="D5772"/>
          <cell r="E5772"/>
          <cell r="F5772"/>
          <cell r="G5772"/>
          <cell r="H5772"/>
          <cell r="I5772"/>
          <cell r="J5772"/>
          <cell r="L5772"/>
        </row>
        <row r="5773">
          <cell r="A5773"/>
          <cell r="D5773"/>
          <cell r="E5773"/>
          <cell r="F5773"/>
          <cell r="G5773"/>
          <cell r="H5773"/>
          <cell r="I5773"/>
          <cell r="J5773"/>
          <cell r="L5773"/>
        </row>
        <row r="5774">
          <cell r="A5774"/>
          <cell r="D5774"/>
          <cell r="E5774"/>
          <cell r="F5774"/>
          <cell r="G5774"/>
          <cell r="H5774"/>
          <cell r="I5774"/>
          <cell r="J5774"/>
          <cell r="L5774"/>
        </row>
        <row r="5775">
          <cell r="A5775"/>
          <cell r="D5775"/>
          <cell r="E5775"/>
          <cell r="F5775"/>
          <cell r="G5775"/>
          <cell r="H5775"/>
          <cell r="I5775"/>
          <cell r="J5775"/>
          <cell r="L5775"/>
        </row>
        <row r="5776">
          <cell r="A5776"/>
          <cell r="D5776"/>
          <cell r="E5776"/>
          <cell r="F5776"/>
          <cell r="G5776"/>
          <cell r="H5776"/>
          <cell r="I5776"/>
          <cell r="J5776"/>
          <cell r="L5776"/>
        </row>
        <row r="5777">
          <cell r="A5777"/>
          <cell r="D5777"/>
          <cell r="E5777"/>
          <cell r="F5777"/>
          <cell r="G5777"/>
          <cell r="H5777"/>
          <cell r="I5777"/>
          <cell r="J5777"/>
          <cell r="L5777"/>
        </row>
        <row r="5778">
          <cell r="A5778"/>
          <cell r="D5778"/>
          <cell r="E5778"/>
          <cell r="F5778"/>
          <cell r="G5778"/>
          <cell r="H5778"/>
          <cell r="I5778"/>
          <cell r="J5778"/>
          <cell r="L5778"/>
        </row>
        <row r="5779">
          <cell r="A5779"/>
          <cell r="D5779"/>
          <cell r="E5779"/>
          <cell r="F5779"/>
          <cell r="G5779"/>
          <cell r="H5779"/>
          <cell r="I5779"/>
          <cell r="J5779"/>
          <cell r="L5779"/>
        </row>
        <row r="5780">
          <cell r="A5780"/>
          <cell r="D5780"/>
          <cell r="E5780"/>
          <cell r="F5780"/>
          <cell r="G5780"/>
          <cell r="H5780"/>
          <cell r="I5780"/>
          <cell r="J5780"/>
          <cell r="L5780"/>
        </row>
        <row r="5781">
          <cell r="A5781"/>
          <cell r="D5781"/>
          <cell r="E5781"/>
          <cell r="F5781"/>
          <cell r="G5781"/>
          <cell r="H5781"/>
          <cell r="I5781"/>
          <cell r="J5781"/>
          <cell r="L5781"/>
        </row>
        <row r="5782">
          <cell r="A5782"/>
          <cell r="D5782"/>
          <cell r="E5782"/>
          <cell r="F5782"/>
          <cell r="G5782"/>
          <cell r="H5782"/>
          <cell r="I5782"/>
          <cell r="J5782"/>
          <cell r="L5782"/>
        </row>
        <row r="5783">
          <cell r="A5783"/>
          <cell r="D5783"/>
          <cell r="E5783"/>
          <cell r="F5783"/>
          <cell r="G5783"/>
          <cell r="H5783"/>
          <cell r="I5783"/>
          <cell r="J5783"/>
          <cell r="L5783"/>
        </row>
        <row r="5784">
          <cell r="A5784"/>
          <cell r="D5784"/>
          <cell r="E5784"/>
          <cell r="F5784"/>
          <cell r="G5784"/>
          <cell r="H5784"/>
          <cell r="I5784"/>
          <cell r="J5784"/>
          <cell r="L5784"/>
        </row>
        <row r="5785">
          <cell r="A5785"/>
          <cell r="D5785"/>
          <cell r="E5785"/>
          <cell r="F5785"/>
          <cell r="G5785"/>
          <cell r="H5785"/>
          <cell r="I5785"/>
          <cell r="J5785"/>
          <cell r="L5785"/>
        </row>
        <row r="5786">
          <cell r="A5786"/>
          <cell r="D5786"/>
          <cell r="E5786"/>
          <cell r="F5786"/>
          <cell r="G5786"/>
          <cell r="H5786"/>
          <cell r="I5786"/>
          <cell r="J5786"/>
          <cell r="L5786"/>
        </row>
        <row r="5787">
          <cell r="A5787"/>
          <cell r="D5787"/>
          <cell r="E5787"/>
          <cell r="F5787"/>
          <cell r="G5787"/>
          <cell r="H5787"/>
          <cell r="I5787"/>
          <cell r="J5787"/>
          <cell r="L5787"/>
        </row>
        <row r="5788">
          <cell r="A5788"/>
          <cell r="D5788"/>
          <cell r="E5788"/>
          <cell r="F5788"/>
          <cell r="G5788"/>
          <cell r="H5788"/>
          <cell r="I5788"/>
          <cell r="J5788"/>
          <cell r="L5788"/>
        </row>
        <row r="5789">
          <cell r="A5789"/>
          <cell r="D5789"/>
          <cell r="E5789"/>
          <cell r="F5789"/>
          <cell r="G5789"/>
          <cell r="H5789"/>
          <cell r="I5789"/>
          <cell r="J5789"/>
          <cell r="L5789"/>
        </row>
        <row r="5790">
          <cell r="A5790"/>
          <cell r="D5790"/>
          <cell r="E5790"/>
          <cell r="F5790"/>
          <cell r="G5790"/>
          <cell r="H5790"/>
          <cell r="I5790"/>
          <cell r="J5790"/>
          <cell r="L5790"/>
        </row>
        <row r="5791">
          <cell r="A5791"/>
          <cell r="D5791"/>
          <cell r="E5791"/>
          <cell r="F5791"/>
          <cell r="G5791"/>
          <cell r="H5791"/>
          <cell r="I5791"/>
          <cell r="J5791"/>
          <cell r="L5791"/>
        </row>
        <row r="5792">
          <cell r="A5792"/>
          <cell r="D5792"/>
          <cell r="E5792"/>
          <cell r="F5792"/>
          <cell r="G5792"/>
          <cell r="H5792"/>
          <cell r="I5792"/>
          <cell r="J5792"/>
          <cell r="L5792"/>
        </row>
        <row r="5793">
          <cell r="A5793"/>
          <cell r="D5793"/>
          <cell r="E5793"/>
          <cell r="F5793"/>
          <cell r="G5793"/>
          <cell r="H5793"/>
          <cell r="I5793"/>
          <cell r="J5793"/>
          <cell r="L5793"/>
        </row>
        <row r="5794">
          <cell r="A5794"/>
          <cell r="D5794"/>
          <cell r="E5794"/>
          <cell r="F5794"/>
          <cell r="G5794"/>
          <cell r="H5794"/>
          <cell r="I5794"/>
          <cell r="J5794"/>
          <cell r="L5794"/>
        </row>
        <row r="5795">
          <cell r="A5795"/>
          <cell r="D5795"/>
          <cell r="E5795"/>
          <cell r="F5795"/>
          <cell r="G5795"/>
          <cell r="H5795"/>
          <cell r="I5795"/>
          <cell r="J5795"/>
          <cell r="L5795"/>
        </row>
        <row r="5796">
          <cell r="A5796"/>
          <cell r="D5796"/>
          <cell r="E5796"/>
          <cell r="F5796"/>
          <cell r="G5796"/>
          <cell r="H5796"/>
          <cell r="I5796"/>
          <cell r="J5796"/>
          <cell r="L5796"/>
        </row>
        <row r="5797">
          <cell r="A5797"/>
          <cell r="D5797"/>
          <cell r="E5797"/>
          <cell r="F5797"/>
          <cell r="G5797"/>
          <cell r="H5797"/>
          <cell r="I5797"/>
          <cell r="J5797"/>
          <cell r="L5797"/>
        </row>
        <row r="5798">
          <cell r="A5798"/>
          <cell r="D5798"/>
          <cell r="E5798"/>
          <cell r="F5798"/>
          <cell r="G5798"/>
          <cell r="H5798"/>
          <cell r="I5798"/>
          <cell r="J5798"/>
          <cell r="L5798"/>
        </row>
        <row r="5799">
          <cell r="A5799"/>
          <cell r="D5799"/>
          <cell r="E5799"/>
          <cell r="F5799"/>
          <cell r="G5799"/>
          <cell r="H5799"/>
          <cell r="I5799"/>
          <cell r="J5799"/>
          <cell r="L5799"/>
        </row>
        <row r="5800">
          <cell r="A5800"/>
          <cell r="D5800"/>
          <cell r="E5800"/>
          <cell r="F5800"/>
          <cell r="G5800"/>
          <cell r="H5800"/>
          <cell r="I5800"/>
          <cell r="J5800"/>
          <cell r="L5800"/>
        </row>
        <row r="5801">
          <cell r="A5801"/>
          <cell r="D5801"/>
          <cell r="E5801"/>
          <cell r="F5801"/>
          <cell r="G5801"/>
          <cell r="H5801"/>
          <cell r="I5801"/>
          <cell r="J5801"/>
          <cell r="L5801"/>
        </row>
        <row r="5802">
          <cell r="A5802"/>
          <cell r="D5802"/>
          <cell r="E5802"/>
          <cell r="F5802"/>
          <cell r="G5802"/>
          <cell r="H5802"/>
          <cell r="I5802"/>
          <cell r="J5802"/>
          <cell r="L5802"/>
        </row>
        <row r="5803">
          <cell r="A5803"/>
          <cell r="D5803"/>
          <cell r="E5803"/>
          <cell r="F5803"/>
          <cell r="G5803"/>
          <cell r="H5803"/>
          <cell r="I5803"/>
          <cell r="J5803"/>
          <cell r="L5803"/>
        </row>
        <row r="5804">
          <cell r="A5804"/>
          <cell r="D5804"/>
          <cell r="E5804"/>
          <cell r="F5804"/>
          <cell r="G5804"/>
          <cell r="H5804"/>
          <cell r="I5804"/>
          <cell r="J5804"/>
          <cell r="L5804"/>
        </row>
        <row r="5805">
          <cell r="A5805"/>
          <cell r="D5805"/>
          <cell r="E5805"/>
          <cell r="F5805"/>
          <cell r="G5805"/>
          <cell r="H5805"/>
          <cell r="I5805"/>
          <cell r="J5805"/>
          <cell r="L5805"/>
        </row>
        <row r="5806">
          <cell r="A5806"/>
          <cell r="D5806"/>
          <cell r="E5806"/>
          <cell r="F5806"/>
          <cell r="G5806"/>
          <cell r="H5806"/>
          <cell r="I5806"/>
          <cell r="J5806"/>
          <cell r="L5806"/>
        </row>
        <row r="5807">
          <cell r="A5807"/>
          <cell r="D5807"/>
          <cell r="E5807"/>
          <cell r="F5807"/>
          <cell r="G5807"/>
          <cell r="H5807"/>
          <cell r="I5807"/>
          <cell r="J5807"/>
          <cell r="L5807"/>
        </row>
        <row r="5808">
          <cell r="A5808"/>
          <cell r="D5808"/>
          <cell r="E5808"/>
          <cell r="F5808"/>
          <cell r="G5808"/>
          <cell r="H5808"/>
          <cell r="I5808"/>
          <cell r="J5808"/>
          <cell r="L5808"/>
        </row>
        <row r="5809">
          <cell r="A5809"/>
          <cell r="D5809"/>
          <cell r="E5809"/>
          <cell r="F5809"/>
          <cell r="G5809"/>
          <cell r="H5809"/>
          <cell r="I5809"/>
          <cell r="J5809"/>
          <cell r="L5809"/>
        </row>
        <row r="5810">
          <cell r="A5810"/>
          <cell r="D5810"/>
          <cell r="E5810"/>
          <cell r="F5810"/>
          <cell r="G5810"/>
          <cell r="H5810"/>
          <cell r="I5810"/>
          <cell r="J5810"/>
          <cell r="L5810"/>
        </row>
        <row r="5811">
          <cell r="A5811"/>
          <cell r="D5811"/>
          <cell r="E5811"/>
          <cell r="F5811"/>
          <cell r="G5811"/>
          <cell r="H5811"/>
          <cell r="I5811"/>
          <cell r="J5811"/>
          <cell r="L5811"/>
        </row>
        <row r="5812">
          <cell r="A5812"/>
          <cell r="D5812"/>
          <cell r="E5812"/>
          <cell r="F5812"/>
          <cell r="G5812"/>
          <cell r="H5812"/>
          <cell r="I5812"/>
          <cell r="J5812"/>
          <cell r="L5812"/>
        </row>
        <row r="5813">
          <cell r="A5813"/>
          <cell r="D5813"/>
          <cell r="E5813"/>
          <cell r="F5813"/>
          <cell r="G5813"/>
          <cell r="H5813"/>
          <cell r="I5813"/>
          <cell r="J5813"/>
          <cell r="L5813"/>
        </row>
        <row r="5814">
          <cell r="A5814"/>
          <cell r="D5814"/>
          <cell r="E5814"/>
          <cell r="F5814"/>
          <cell r="G5814"/>
          <cell r="H5814"/>
          <cell r="I5814"/>
          <cell r="J5814"/>
          <cell r="L5814"/>
        </row>
        <row r="5815">
          <cell r="A5815"/>
          <cell r="D5815"/>
          <cell r="E5815"/>
          <cell r="F5815"/>
          <cell r="G5815"/>
          <cell r="H5815"/>
          <cell r="I5815"/>
          <cell r="J5815"/>
          <cell r="L5815"/>
        </row>
        <row r="5816">
          <cell r="A5816"/>
          <cell r="D5816"/>
          <cell r="E5816"/>
          <cell r="F5816"/>
          <cell r="G5816"/>
          <cell r="H5816"/>
          <cell r="I5816"/>
          <cell r="J5816"/>
          <cell r="L5816"/>
        </row>
        <row r="5817">
          <cell r="A5817"/>
          <cell r="D5817"/>
          <cell r="E5817"/>
          <cell r="F5817"/>
          <cell r="G5817"/>
          <cell r="H5817"/>
          <cell r="I5817"/>
          <cell r="J5817"/>
          <cell r="L5817"/>
        </row>
        <row r="5818">
          <cell r="A5818"/>
          <cell r="D5818"/>
          <cell r="E5818"/>
          <cell r="F5818"/>
          <cell r="G5818"/>
          <cell r="H5818"/>
          <cell r="I5818"/>
          <cell r="J5818"/>
          <cell r="L5818"/>
        </row>
        <row r="5819">
          <cell r="A5819"/>
          <cell r="D5819"/>
          <cell r="E5819"/>
          <cell r="F5819"/>
          <cell r="G5819"/>
          <cell r="H5819"/>
          <cell r="I5819"/>
          <cell r="J5819"/>
          <cell r="L5819"/>
        </row>
        <row r="5820">
          <cell r="A5820"/>
          <cell r="D5820"/>
          <cell r="E5820"/>
          <cell r="F5820"/>
          <cell r="G5820"/>
          <cell r="H5820"/>
          <cell r="I5820"/>
          <cell r="J5820"/>
          <cell r="L5820"/>
        </row>
        <row r="5821">
          <cell r="A5821"/>
          <cell r="D5821"/>
          <cell r="E5821"/>
          <cell r="F5821"/>
          <cell r="G5821"/>
          <cell r="H5821"/>
          <cell r="I5821"/>
          <cell r="J5821"/>
          <cell r="L5821"/>
        </row>
        <row r="5822">
          <cell r="A5822"/>
          <cell r="D5822"/>
          <cell r="E5822"/>
          <cell r="F5822"/>
          <cell r="G5822"/>
          <cell r="H5822"/>
          <cell r="I5822"/>
          <cell r="J5822"/>
          <cell r="L5822"/>
        </row>
        <row r="5823">
          <cell r="A5823"/>
          <cell r="D5823"/>
          <cell r="E5823"/>
          <cell r="F5823"/>
          <cell r="G5823"/>
          <cell r="H5823"/>
          <cell r="I5823"/>
          <cell r="J5823"/>
          <cell r="L5823"/>
        </row>
        <row r="5824">
          <cell r="A5824"/>
          <cell r="D5824"/>
          <cell r="E5824"/>
          <cell r="F5824"/>
          <cell r="G5824"/>
          <cell r="H5824"/>
          <cell r="I5824"/>
          <cell r="J5824"/>
          <cell r="L5824"/>
        </row>
        <row r="5825">
          <cell r="A5825"/>
          <cell r="D5825"/>
          <cell r="E5825"/>
          <cell r="F5825"/>
          <cell r="G5825"/>
          <cell r="H5825"/>
          <cell r="I5825"/>
          <cell r="J5825"/>
          <cell r="L5825"/>
        </row>
        <row r="5826">
          <cell r="A5826"/>
          <cell r="D5826"/>
          <cell r="E5826"/>
          <cell r="F5826"/>
          <cell r="G5826"/>
          <cell r="H5826"/>
          <cell r="I5826"/>
          <cell r="J5826"/>
          <cell r="L5826"/>
        </row>
        <row r="5827">
          <cell r="A5827"/>
          <cell r="D5827"/>
          <cell r="E5827"/>
          <cell r="F5827"/>
          <cell r="G5827"/>
          <cell r="H5827"/>
          <cell r="I5827"/>
          <cell r="J5827"/>
          <cell r="L5827"/>
        </row>
        <row r="5828">
          <cell r="A5828"/>
          <cell r="D5828"/>
          <cell r="E5828"/>
          <cell r="F5828"/>
          <cell r="G5828"/>
          <cell r="H5828"/>
          <cell r="I5828"/>
          <cell r="J5828"/>
          <cell r="L5828"/>
        </row>
        <row r="5829">
          <cell r="A5829"/>
          <cell r="D5829"/>
          <cell r="E5829"/>
          <cell r="F5829"/>
          <cell r="G5829"/>
          <cell r="H5829"/>
          <cell r="I5829"/>
          <cell r="J5829"/>
          <cell r="L5829"/>
        </row>
        <row r="5830">
          <cell r="A5830"/>
          <cell r="D5830"/>
          <cell r="E5830"/>
          <cell r="F5830"/>
          <cell r="G5830"/>
          <cell r="H5830"/>
          <cell r="I5830"/>
          <cell r="J5830"/>
          <cell r="L5830"/>
        </row>
        <row r="5831">
          <cell r="A5831"/>
          <cell r="D5831"/>
          <cell r="E5831"/>
          <cell r="F5831"/>
          <cell r="G5831"/>
          <cell r="H5831"/>
          <cell r="I5831"/>
          <cell r="J5831"/>
          <cell r="L5831"/>
        </row>
        <row r="5832">
          <cell r="A5832"/>
          <cell r="D5832"/>
          <cell r="E5832"/>
          <cell r="F5832"/>
          <cell r="G5832"/>
          <cell r="H5832"/>
          <cell r="I5832"/>
          <cell r="J5832"/>
          <cell r="L5832"/>
        </row>
        <row r="5833">
          <cell r="A5833"/>
          <cell r="D5833"/>
          <cell r="E5833"/>
          <cell r="F5833"/>
          <cell r="G5833"/>
          <cell r="H5833"/>
          <cell r="I5833"/>
          <cell r="J5833"/>
          <cell r="L5833"/>
        </row>
        <row r="5834">
          <cell r="A5834"/>
          <cell r="D5834"/>
          <cell r="E5834"/>
          <cell r="F5834"/>
          <cell r="G5834"/>
          <cell r="H5834"/>
          <cell r="I5834"/>
          <cell r="J5834"/>
          <cell r="L5834"/>
        </row>
        <row r="5835">
          <cell r="A5835"/>
          <cell r="D5835"/>
          <cell r="E5835"/>
          <cell r="F5835"/>
          <cell r="G5835"/>
          <cell r="H5835"/>
          <cell r="I5835"/>
          <cell r="J5835"/>
          <cell r="L5835"/>
        </row>
        <row r="5836">
          <cell r="A5836"/>
          <cell r="D5836"/>
          <cell r="E5836"/>
          <cell r="F5836"/>
          <cell r="G5836"/>
          <cell r="H5836"/>
          <cell r="I5836"/>
          <cell r="J5836"/>
          <cell r="L5836"/>
        </row>
        <row r="5837">
          <cell r="A5837"/>
          <cell r="D5837"/>
          <cell r="E5837"/>
          <cell r="F5837"/>
          <cell r="G5837"/>
          <cell r="H5837"/>
          <cell r="I5837"/>
          <cell r="J5837"/>
          <cell r="L5837"/>
        </row>
        <row r="5838">
          <cell r="A5838"/>
          <cell r="D5838"/>
          <cell r="E5838"/>
          <cell r="F5838"/>
          <cell r="G5838"/>
          <cell r="H5838"/>
          <cell r="I5838"/>
          <cell r="J5838"/>
          <cell r="L5838"/>
        </row>
        <row r="5839">
          <cell r="A5839"/>
          <cell r="D5839"/>
          <cell r="E5839"/>
          <cell r="F5839"/>
          <cell r="G5839"/>
          <cell r="H5839"/>
          <cell r="I5839"/>
          <cell r="J5839"/>
          <cell r="L5839"/>
        </row>
        <row r="5840">
          <cell r="A5840"/>
          <cell r="D5840"/>
          <cell r="E5840"/>
          <cell r="F5840"/>
          <cell r="G5840"/>
          <cell r="H5840"/>
          <cell r="I5840"/>
          <cell r="J5840"/>
          <cell r="L5840"/>
        </row>
        <row r="5841">
          <cell r="A5841"/>
          <cell r="D5841"/>
          <cell r="E5841"/>
          <cell r="F5841"/>
          <cell r="G5841"/>
          <cell r="H5841"/>
          <cell r="I5841"/>
          <cell r="J5841"/>
          <cell r="L5841"/>
        </row>
        <row r="5842">
          <cell r="A5842"/>
          <cell r="D5842"/>
          <cell r="E5842"/>
          <cell r="F5842"/>
          <cell r="G5842"/>
          <cell r="H5842"/>
          <cell r="I5842"/>
          <cell r="J5842"/>
          <cell r="L5842"/>
        </row>
        <row r="5843">
          <cell r="A5843"/>
          <cell r="D5843"/>
          <cell r="E5843"/>
          <cell r="F5843"/>
          <cell r="G5843"/>
          <cell r="H5843"/>
          <cell r="I5843"/>
          <cell r="J5843"/>
          <cell r="L5843"/>
        </row>
        <row r="5844">
          <cell r="A5844"/>
          <cell r="D5844"/>
          <cell r="E5844"/>
          <cell r="F5844"/>
          <cell r="G5844"/>
          <cell r="H5844"/>
          <cell r="I5844"/>
          <cell r="J5844"/>
          <cell r="L5844"/>
        </row>
        <row r="5845">
          <cell r="A5845"/>
          <cell r="D5845"/>
          <cell r="E5845"/>
          <cell r="F5845"/>
          <cell r="G5845"/>
          <cell r="H5845"/>
          <cell r="I5845"/>
          <cell r="J5845"/>
          <cell r="L5845"/>
        </row>
        <row r="5846">
          <cell r="A5846"/>
          <cell r="D5846"/>
          <cell r="E5846"/>
          <cell r="F5846"/>
          <cell r="G5846"/>
          <cell r="H5846"/>
          <cell r="I5846"/>
          <cell r="J5846"/>
          <cell r="L5846"/>
        </row>
        <row r="5847">
          <cell r="A5847"/>
          <cell r="D5847"/>
          <cell r="E5847"/>
          <cell r="F5847"/>
          <cell r="G5847"/>
          <cell r="H5847"/>
          <cell r="I5847"/>
          <cell r="J5847"/>
          <cell r="L5847"/>
        </row>
        <row r="5848">
          <cell r="A5848"/>
          <cell r="D5848"/>
          <cell r="E5848"/>
          <cell r="F5848"/>
          <cell r="G5848"/>
          <cell r="H5848"/>
          <cell r="I5848"/>
          <cell r="J5848"/>
          <cell r="L5848"/>
        </row>
        <row r="5849">
          <cell r="A5849"/>
          <cell r="D5849"/>
          <cell r="E5849"/>
          <cell r="F5849"/>
          <cell r="G5849"/>
          <cell r="H5849"/>
          <cell r="I5849"/>
          <cell r="J5849"/>
          <cell r="L5849"/>
        </row>
        <row r="5850">
          <cell r="A5850"/>
          <cell r="D5850"/>
          <cell r="E5850"/>
          <cell r="F5850"/>
          <cell r="G5850"/>
          <cell r="H5850"/>
          <cell r="I5850"/>
          <cell r="J5850"/>
          <cell r="L5850"/>
        </row>
        <row r="5851">
          <cell r="A5851"/>
          <cell r="D5851"/>
          <cell r="E5851"/>
          <cell r="F5851"/>
          <cell r="G5851"/>
          <cell r="H5851"/>
          <cell r="I5851"/>
          <cell r="J5851"/>
          <cell r="L5851"/>
        </row>
        <row r="5852">
          <cell r="A5852"/>
          <cell r="D5852"/>
          <cell r="E5852"/>
          <cell r="F5852"/>
          <cell r="G5852"/>
          <cell r="H5852"/>
          <cell r="I5852"/>
          <cell r="J5852"/>
          <cell r="L5852"/>
        </row>
        <row r="5853">
          <cell r="A5853"/>
          <cell r="D5853"/>
          <cell r="E5853"/>
          <cell r="F5853"/>
          <cell r="G5853"/>
          <cell r="H5853"/>
          <cell r="I5853"/>
          <cell r="J5853"/>
          <cell r="L5853"/>
        </row>
        <row r="5854">
          <cell r="A5854"/>
          <cell r="D5854"/>
          <cell r="E5854"/>
          <cell r="F5854"/>
          <cell r="G5854"/>
          <cell r="H5854"/>
          <cell r="I5854"/>
          <cell r="J5854"/>
          <cell r="L5854"/>
        </row>
        <row r="5855">
          <cell r="A5855"/>
          <cell r="D5855"/>
          <cell r="E5855"/>
          <cell r="F5855"/>
          <cell r="G5855"/>
          <cell r="H5855"/>
          <cell r="I5855"/>
          <cell r="J5855"/>
          <cell r="L5855"/>
        </row>
        <row r="5856">
          <cell r="A5856"/>
          <cell r="D5856"/>
          <cell r="E5856"/>
          <cell r="F5856"/>
          <cell r="G5856"/>
          <cell r="H5856"/>
          <cell r="I5856"/>
          <cell r="J5856"/>
          <cell r="L5856"/>
        </row>
        <row r="5857">
          <cell r="A5857"/>
          <cell r="D5857"/>
          <cell r="E5857"/>
          <cell r="F5857"/>
          <cell r="G5857"/>
          <cell r="H5857"/>
          <cell r="I5857"/>
          <cell r="J5857"/>
          <cell r="L5857"/>
        </row>
        <row r="5858">
          <cell r="A5858"/>
          <cell r="D5858"/>
          <cell r="E5858"/>
          <cell r="F5858"/>
          <cell r="G5858"/>
          <cell r="H5858"/>
          <cell r="I5858"/>
          <cell r="J5858"/>
          <cell r="L5858"/>
        </row>
        <row r="5859">
          <cell r="A5859"/>
          <cell r="D5859"/>
          <cell r="E5859"/>
          <cell r="F5859"/>
          <cell r="G5859"/>
          <cell r="H5859"/>
          <cell r="I5859"/>
          <cell r="J5859"/>
          <cell r="L5859"/>
        </row>
        <row r="5860">
          <cell r="A5860"/>
          <cell r="D5860"/>
          <cell r="E5860"/>
          <cell r="F5860"/>
          <cell r="G5860"/>
          <cell r="H5860"/>
          <cell r="I5860"/>
          <cell r="J5860"/>
          <cell r="L5860"/>
        </row>
        <row r="5861">
          <cell r="A5861"/>
          <cell r="D5861"/>
          <cell r="E5861"/>
          <cell r="F5861"/>
          <cell r="G5861"/>
          <cell r="H5861"/>
          <cell r="I5861"/>
          <cell r="J5861"/>
          <cell r="L5861"/>
        </row>
        <row r="5862">
          <cell r="A5862"/>
          <cell r="D5862"/>
          <cell r="E5862"/>
          <cell r="F5862"/>
          <cell r="G5862"/>
          <cell r="H5862"/>
          <cell r="I5862"/>
          <cell r="J5862"/>
          <cell r="L5862"/>
        </row>
        <row r="5863">
          <cell r="A5863"/>
          <cell r="D5863"/>
          <cell r="E5863"/>
          <cell r="F5863"/>
          <cell r="G5863"/>
          <cell r="H5863"/>
          <cell r="I5863"/>
          <cell r="J5863"/>
          <cell r="L5863"/>
        </row>
        <row r="5864">
          <cell r="A5864"/>
          <cell r="D5864"/>
          <cell r="E5864"/>
          <cell r="F5864"/>
          <cell r="G5864"/>
          <cell r="H5864"/>
          <cell r="I5864"/>
          <cell r="J5864"/>
          <cell r="L5864"/>
        </row>
        <row r="5865">
          <cell r="A5865"/>
          <cell r="D5865"/>
          <cell r="E5865"/>
          <cell r="F5865"/>
          <cell r="G5865"/>
          <cell r="H5865"/>
          <cell r="I5865"/>
          <cell r="J5865"/>
          <cell r="L5865"/>
        </row>
        <row r="5866">
          <cell r="A5866"/>
          <cell r="D5866"/>
          <cell r="E5866"/>
          <cell r="F5866"/>
          <cell r="G5866"/>
          <cell r="H5866"/>
          <cell r="I5866"/>
          <cell r="J5866"/>
          <cell r="L5866"/>
        </row>
        <row r="5867">
          <cell r="A5867"/>
          <cell r="D5867"/>
          <cell r="E5867"/>
          <cell r="F5867"/>
          <cell r="G5867"/>
          <cell r="H5867"/>
          <cell r="I5867"/>
          <cell r="J5867"/>
          <cell r="L5867"/>
        </row>
        <row r="5868">
          <cell r="A5868"/>
          <cell r="D5868"/>
          <cell r="E5868"/>
          <cell r="F5868"/>
          <cell r="G5868"/>
          <cell r="H5868"/>
          <cell r="I5868"/>
          <cell r="J5868"/>
          <cell r="L5868"/>
        </row>
        <row r="5869">
          <cell r="A5869"/>
          <cell r="D5869"/>
          <cell r="E5869"/>
          <cell r="F5869"/>
          <cell r="G5869"/>
          <cell r="H5869"/>
          <cell r="I5869"/>
          <cell r="J5869"/>
          <cell r="L5869"/>
        </row>
        <row r="5870">
          <cell r="A5870"/>
          <cell r="D5870"/>
          <cell r="E5870"/>
          <cell r="F5870"/>
          <cell r="G5870"/>
          <cell r="H5870"/>
          <cell r="I5870"/>
          <cell r="J5870"/>
          <cell r="L5870"/>
        </row>
        <row r="5871">
          <cell r="A5871"/>
          <cell r="D5871"/>
          <cell r="E5871"/>
          <cell r="F5871"/>
          <cell r="G5871"/>
          <cell r="H5871"/>
          <cell r="I5871"/>
          <cell r="J5871"/>
          <cell r="L5871"/>
        </row>
        <row r="5872">
          <cell r="A5872"/>
          <cell r="D5872"/>
          <cell r="E5872"/>
          <cell r="F5872"/>
          <cell r="G5872"/>
          <cell r="H5872"/>
          <cell r="I5872"/>
          <cell r="J5872"/>
          <cell r="L5872"/>
        </row>
        <row r="5873">
          <cell r="A5873"/>
          <cell r="D5873"/>
          <cell r="E5873"/>
          <cell r="F5873"/>
          <cell r="G5873"/>
          <cell r="H5873"/>
          <cell r="I5873"/>
          <cell r="J5873"/>
          <cell r="L5873"/>
        </row>
        <row r="5874">
          <cell r="A5874"/>
          <cell r="D5874"/>
          <cell r="E5874"/>
          <cell r="F5874"/>
          <cell r="G5874"/>
          <cell r="H5874"/>
          <cell r="I5874"/>
          <cell r="J5874"/>
          <cell r="L5874"/>
        </row>
        <row r="5875">
          <cell r="A5875"/>
          <cell r="D5875"/>
          <cell r="E5875"/>
          <cell r="F5875"/>
          <cell r="G5875"/>
          <cell r="H5875"/>
          <cell r="I5875"/>
          <cell r="J5875"/>
          <cell r="L5875"/>
        </row>
        <row r="5876">
          <cell r="A5876"/>
          <cell r="D5876"/>
          <cell r="E5876"/>
          <cell r="F5876"/>
          <cell r="G5876"/>
          <cell r="H5876"/>
          <cell r="I5876"/>
          <cell r="J5876"/>
          <cell r="L5876"/>
        </row>
        <row r="5877">
          <cell r="A5877"/>
          <cell r="D5877"/>
          <cell r="E5877"/>
          <cell r="F5877"/>
          <cell r="G5877"/>
          <cell r="H5877"/>
          <cell r="I5877"/>
          <cell r="J5877"/>
          <cell r="L5877"/>
        </row>
        <row r="5878">
          <cell r="A5878"/>
          <cell r="D5878"/>
          <cell r="E5878"/>
          <cell r="F5878"/>
          <cell r="G5878"/>
          <cell r="H5878"/>
          <cell r="I5878"/>
          <cell r="J5878"/>
          <cell r="L5878"/>
        </row>
        <row r="5879">
          <cell r="A5879"/>
          <cell r="D5879"/>
          <cell r="E5879"/>
          <cell r="F5879"/>
          <cell r="G5879"/>
          <cell r="H5879"/>
          <cell r="I5879"/>
          <cell r="J5879"/>
          <cell r="L5879"/>
        </row>
        <row r="5880">
          <cell r="A5880"/>
          <cell r="D5880"/>
          <cell r="E5880"/>
          <cell r="F5880"/>
          <cell r="G5880"/>
          <cell r="H5880"/>
          <cell r="I5880"/>
          <cell r="J5880"/>
          <cell r="L5880"/>
        </row>
        <row r="5881">
          <cell r="A5881"/>
          <cell r="D5881"/>
          <cell r="E5881"/>
          <cell r="F5881"/>
          <cell r="G5881"/>
          <cell r="H5881"/>
          <cell r="I5881"/>
          <cell r="J5881"/>
          <cell r="L5881"/>
        </row>
        <row r="5882">
          <cell r="A5882"/>
          <cell r="D5882"/>
          <cell r="E5882"/>
          <cell r="F5882"/>
          <cell r="G5882"/>
          <cell r="H5882"/>
          <cell r="I5882"/>
          <cell r="J5882"/>
          <cell r="L5882"/>
        </row>
        <row r="5883">
          <cell r="A5883"/>
          <cell r="D5883"/>
          <cell r="E5883"/>
          <cell r="F5883"/>
          <cell r="G5883"/>
          <cell r="H5883"/>
          <cell r="I5883"/>
          <cell r="J5883"/>
          <cell r="L5883"/>
        </row>
        <row r="5884">
          <cell r="A5884"/>
          <cell r="D5884"/>
          <cell r="E5884"/>
          <cell r="F5884"/>
          <cell r="G5884"/>
          <cell r="H5884"/>
          <cell r="I5884"/>
          <cell r="J5884"/>
          <cell r="L5884"/>
        </row>
        <row r="5885">
          <cell r="A5885"/>
          <cell r="D5885"/>
          <cell r="E5885"/>
          <cell r="F5885"/>
          <cell r="G5885"/>
          <cell r="H5885"/>
          <cell r="I5885"/>
          <cell r="J5885"/>
          <cell r="L5885"/>
        </row>
        <row r="5886">
          <cell r="A5886"/>
          <cell r="D5886"/>
          <cell r="E5886"/>
          <cell r="F5886"/>
          <cell r="G5886"/>
          <cell r="H5886"/>
          <cell r="I5886"/>
          <cell r="J5886"/>
          <cell r="L5886"/>
        </row>
        <row r="5887">
          <cell r="A5887"/>
          <cell r="D5887"/>
          <cell r="E5887"/>
          <cell r="F5887"/>
          <cell r="G5887"/>
          <cell r="H5887"/>
          <cell r="I5887"/>
          <cell r="J5887"/>
          <cell r="L5887"/>
        </row>
        <row r="5888">
          <cell r="A5888"/>
          <cell r="D5888"/>
          <cell r="E5888"/>
          <cell r="F5888"/>
          <cell r="G5888"/>
          <cell r="H5888"/>
          <cell r="I5888"/>
          <cell r="J5888"/>
          <cell r="L5888"/>
        </row>
        <row r="5889">
          <cell r="A5889"/>
          <cell r="D5889"/>
          <cell r="E5889"/>
          <cell r="F5889"/>
          <cell r="G5889"/>
          <cell r="H5889"/>
          <cell r="I5889"/>
          <cell r="J5889"/>
          <cell r="L5889"/>
        </row>
        <row r="5890">
          <cell r="A5890"/>
          <cell r="D5890"/>
          <cell r="E5890"/>
          <cell r="F5890"/>
          <cell r="G5890"/>
          <cell r="H5890"/>
          <cell r="I5890"/>
          <cell r="J5890"/>
          <cell r="L5890"/>
        </row>
        <row r="5891">
          <cell r="A5891"/>
          <cell r="D5891"/>
          <cell r="E5891"/>
          <cell r="F5891"/>
          <cell r="G5891"/>
          <cell r="H5891"/>
          <cell r="I5891"/>
          <cell r="J5891"/>
          <cell r="L5891"/>
        </row>
        <row r="5892">
          <cell r="A5892"/>
          <cell r="D5892"/>
          <cell r="E5892"/>
          <cell r="F5892"/>
          <cell r="G5892"/>
          <cell r="H5892"/>
          <cell r="I5892"/>
          <cell r="J5892"/>
          <cell r="L5892"/>
        </row>
        <row r="5893">
          <cell r="A5893"/>
          <cell r="D5893"/>
          <cell r="E5893"/>
          <cell r="F5893"/>
          <cell r="G5893"/>
          <cell r="H5893"/>
          <cell r="I5893"/>
          <cell r="J5893"/>
          <cell r="L5893"/>
        </row>
        <row r="5894">
          <cell r="A5894"/>
          <cell r="D5894"/>
          <cell r="E5894"/>
          <cell r="F5894"/>
          <cell r="G5894"/>
          <cell r="H5894"/>
          <cell r="I5894"/>
          <cell r="J5894"/>
          <cell r="L5894"/>
        </row>
        <row r="5895">
          <cell r="A5895"/>
          <cell r="D5895"/>
          <cell r="E5895"/>
          <cell r="F5895"/>
          <cell r="G5895"/>
          <cell r="H5895"/>
          <cell r="I5895"/>
          <cell r="J5895"/>
          <cell r="L5895"/>
        </row>
        <row r="5896">
          <cell r="A5896"/>
          <cell r="D5896"/>
          <cell r="E5896"/>
          <cell r="F5896"/>
          <cell r="G5896"/>
          <cell r="H5896"/>
          <cell r="I5896"/>
          <cell r="J5896"/>
          <cell r="L5896"/>
        </row>
        <row r="5897">
          <cell r="A5897"/>
          <cell r="D5897"/>
          <cell r="E5897"/>
          <cell r="F5897"/>
          <cell r="G5897"/>
          <cell r="H5897"/>
          <cell r="I5897"/>
          <cell r="J5897"/>
          <cell r="L5897"/>
        </row>
        <row r="5898">
          <cell r="A5898"/>
          <cell r="D5898"/>
          <cell r="E5898"/>
          <cell r="F5898"/>
          <cell r="G5898"/>
          <cell r="H5898"/>
          <cell r="I5898"/>
          <cell r="J5898"/>
          <cell r="L5898"/>
        </row>
        <row r="5899">
          <cell r="A5899"/>
          <cell r="D5899"/>
          <cell r="E5899"/>
          <cell r="F5899"/>
          <cell r="G5899"/>
          <cell r="H5899"/>
          <cell r="I5899"/>
          <cell r="J5899"/>
          <cell r="L5899"/>
        </row>
        <row r="5900">
          <cell r="A5900"/>
          <cell r="D5900"/>
          <cell r="E5900"/>
          <cell r="F5900"/>
          <cell r="G5900"/>
          <cell r="H5900"/>
          <cell r="I5900"/>
          <cell r="J5900"/>
          <cell r="L5900"/>
        </row>
        <row r="5901">
          <cell r="A5901"/>
          <cell r="D5901"/>
          <cell r="E5901"/>
          <cell r="F5901"/>
          <cell r="G5901"/>
          <cell r="H5901"/>
          <cell r="I5901"/>
          <cell r="J5901"/>
          <cell r="L5901"/>
        </row>
        <row r="5902">
          <cell r="A5902"/>
          <cell r="D5902"/>
          <cell r="E5902"/>
          <cell r="F5902"/>
          <cell r="G5902"/>
          <cell r="H5902"/>
          <cell r="I5902"/>
          <cell r="J5902"/>
          <cell r="L5902"/>
        </row>
        <row r="5903">
          <cell r="A5903"/>
          <cell r="D5903"/>
          <cell r="E5903"/>
          <cell r="F5903"/>
          <cell r="G5903"/>
          <cell r="H5903"/>
          <cell r="I5903"/>
          <cell r="J5903"/>
          <cell r="L5903"/>
        </row>
        <row r="5904">
          <cell r="A5904"/>
          <cell r="D5904"/>
          <cell r="E5904"/>
          <cell r="F5904"/>
          <cell r="G5904"/>
          <cell r="H5904"/>
          <cell r="I5904"/>
          <cell r="J5904"/>
          <cell r="L5904"/>
        </row>
        <row r="5905">
          <cell r="A5905"/>
          <cell r="D5905"/>
          <cell r="E5905"/>
          <cell r="F5905"/>
          <cell r="G5905"/>
          <cell r="H5905"/>
          <cell r="I5905"/>
          <cell r="J5905"/>
          <cell r="L5905"/>
        </row>
        <row r="5906">
          <cell r="A5906"/>
          <cell r="D5906"/>
          <cell r="E5906"/>
          <cell r="F5906"/>
          <cell r="G5906"/>
          <cell r="H5906"/>
          <cell r="I5906"/>
          <cell r="J5906"/>
          <cell r="L5906"/>
        </row>
        <row r="5907">
          <cell r="A5907"/>
          <cell r="D5907"/>
          <cell r="E5907"/>
          <cell r="F5907"/>
          <cell r="G5907"/>
          <cell r="H5907"/>
          <cell r="I5907"/>
          <cell r="J5907"/>
          <cell r="L5907"/>
        </row>
        <row r="5908">
          <cell r="A5908"/>
          <cell r="D5908"/>
          <cell r="E5908"/>
          <cell r="F5908"/>
          <cell r="G5908"/>
          <cell r="H5908"/>
          <cell r="I5908"/>
          <cell r="J5908"/>
          <cell r="L5908"/>
        </row>
        <row r="5909">
          <cell r="A5909"/>
          <cell r="D5909"/>
          <cell r="E5909"/>
          <cell r="F5909"/>
          <cell r="G5909"/>
          <cell r="H5909"/>
          <cell r="I5909"/>
          <cell r="J5909"/>
          <cell r="L5909"/>
        </row>
        <row r="5910">
          <cell r="A5910"/>
          <cell r="D5910"/>
          <cell r="E5910"/>
          <cell r="F5910"/>
          <cell r="G5910"/>
          <cell r="H5910"/>
          <cell r="I5910"/>
          <cell r="J5910"/>
          <cell r="L5910"/>
        </row>
        <row r="5911">
          <cell r="A5911"/>
          <cell r="D5911"/>
          <cell r="E5911"/>
          <cell r="F5911"/>
          <cell r="G5911"/>
          <cell r="H5911"/>
          <cell r="I5911"/>
          <cell r="J5911"/>
          <cell r="L5911"/>
        </row>
        <row r="5912">
          <cell r="A5912"/>
          <cell r="D5912"/>
          <cell r="E5912"/>
          <cell r="F5912"/>
          <cell r="G5912"/>
          <cell r="H5912"/>
          <cell r="I5912"/>
          <cell r="J5912"/>
          <cell r="L5912"/>
        </row>
        <row r="5913">
          <cell r="A5913"/>
          <cell r="D5913"/>
          <cell r="E5913"/>
          <cell r="F5913"/>
          <cell r="G5913"/>
          <cell r="H5913"/>
          <cell r="I5913"/>
          <cell r="J5913"/>
          <cell r="L5913"/>
        </row>
        <row r="5914">
          <cell r="A5914"/>
          <cell r="D5914"/>
          <cell r="E5914"/>
          <cell r="F5914"/>
          <cell r="G5914"/>
          <cell r="H5914"/>
          <cell r="I5914"/>
          <cell r="J5914"/>
          <cell r="L5914"/>
        </row>
        <row r="5915">
          <cell r="A5915"/>
          <cell r="D5915"/>
          <cell r="E5915"/>
          <cell r="F5915"/>
          <cell r="G5915"/>
          <cell r="H5915"/>
          <cell r="I5915"/>
          <cell r="J5915"/>
          <cell r="L5915"/>
        </row>
        <row r="5916">
          <cell r="A5916"/>
          <cell r="D5916"/>
          <cell r="E5916"/>
          <cell r="F5916"/>
          <cell r="G5916"/>
          <cell r="H5916"/>
          <cell r="I5916"/>
          <cell r="J5916"/>
          <cell r="L5916"/>
        </row>
        <row r="5917">
          <cell r="A5917"/>
          <cell r="D5917"/>
          <cell r="E5917"/>
          <cell r="F5917"/>
          <cell r="G5917"/>
          <cell r="H5917"/>
          <cell r="I5917"/>
          <cell r="J5917"/>
          <cell r="L5917"/>
        </row>
        <row r="5918">
          <cell r="A5918"/>
          <cell r="D5918"/>
          <cell r="E5918"/>
          <cell r="F5918"/>
          <cell r="G5918"/>
          <cell r="H5918"/>
          <cell r="I5918"/>
          <cell r="J5918"/>
          <cell r="L5918"/>
        </row>
        <row r="5919">
          <cell r="A5919"/>
          <cell r="D5919"/>
          <cell r="E5919"/>
          <cell r="F5919"/>
          <cell r="G5919"/>
          <cell r="H5919"/>
          <cell r="I5919"/>
          <cell r="J5919"/>
          <cell r="L5919"/>
        </row>
        <row r="5920">
          <cell r="A5920"/>
          <cell r="D5920"/>
          <cell r="E5920"/>
          <cell r="F5920"/>
          <cell r="G5920"/>
          <cell r="H5920"/>
          <cell r="I5920"/>
          <cell r="J5920"/>
          <cell r="L5920"/>
        </row>
        <row r="5921">
          <cell r="A5921"/>
          <cell r="D5921"/>
          <cell r="E5921"/>
          <cell r="F5921"/>
          <cell r="G5921"/>
          <cell r="H5921"/>
          <cell r="I5921"/>
          <cell r="J5921"/>
          <cell r="L5921"/>
        </row>
        <row r="5922">
          <cell r="A5922"/>
          <cell r="D5922"/>
          <cell r="E5922"/>
          <cell r="F5922"/>
          <cell r="G5922"/>
          <cell r="H5922"/>
          <cell r="I5922"/>
          <cell r="J5922"/>
          <cell r="L5922"/>
        </row>
        <row r="5923">
          <cell r="A5923"/>
          <cell r="D5923"/>
          <cell r="E5923"/>
          <cell r="F5923"/>
          <cell r="G5923"/>
          <cell r="H5923"/>
          <cell r="I5923"/>
          <cell r="J5923"/>
          <cell r="L5923"/>
        </row>
        <row r="5924">
          <cell r="A5924"/>
          <cell r="D5924"/>
          <cell r="E5924"/>
          <cell r="F5924"/>
          <cell r="G5924"/>
          <cell r="H5924"/>
          <cell r="I5924"/>
          <cell r="J5924"/>
          <cell r="L5924"/>
        </row>
        <row r="5925">
          <cell r="A5925"/>
          <cell r="D5925"/>
          <cell r="E5925"/>
          <cell r="F5925"/>
          <cell r="G5925"/>
          <cell r="H5925"/>
          <cell r="I5925"/>
          <cell r="J5925"/>
          <cell r="L5925"/>
        </row>
        <row r="5926">
          <cell r="A5926"/>
          <cell r="D5926"/>
          <cell r="E5926"/>
          <cell r="F5926"/>
          <cell r="G5926"/>
          <cell r="H5926"/>
          <cell r="I5926"/>
          <cell r="J5926"/>
          <cell r="L5926"/>
        </row>
        <row r="5927">
          <cell r="A5927"/>
          <cell r="D5927"/>
          <cell r="E5927"/>
          <cell r="F5927"/>
          <cell r="G5927"/>
          <cell r="H5927"/>
          <cell r="I5927"/>
          <cell r="J5927"/>
          <cell r="L5927"/>
        </row>
        <row r="5928">
          <cell r="A5928"/>
          <cell r="D5928"/>
          <cell r="E5928"/>
          <cell r="F5928"/>
          <cell r="G5928"/>
          <cell r="H5928"/>
          <cell r="I5928"/>
          <cell r="J5928"/>
          <cell r="L5928"/>
        </row>
        <row r="5929">
          <cell r="A5929"/>
          <cell r="D5929"/>
          <cell r="E5929"/>
          <cell r="F5929"/>
          <cell r="G5929"/>
          <cell r="H5929"/>
          <cell r="I5929"/>
          <cell r="J5929"/>
          <cell r="L5929"/>
        </row>
        <row r="5930">
          <cell r="A5930"/>
          <cell r="D5930"/>
          <cell r="E5930"/>
          <cell r="F5930"/>
          <cell r="G5930"/>
          <cell r="H5930"/>
          <cell r="I5930"/>
          <cell r="J5930"/>
          <cell r="L5930"/>
        </row>
        <row r="5931">
          <cell r="A5931"/>
          <cell r="D5931"/>
          <cell r="E5931"/>
          <cell r="F5931"/>
          <cell r="G5931"/>
          <cell r="H5931"/>
          <cell r="I5931"/>
          <cell r="J5931"/>
          <cell r="L5931"/>
        </row>
        <row r="5932">
          <cell r="A5932"/>
          <cell r="D5932"/>
          <cell r="E5932"/>
          <cell r="F5932"/>
          <cell r="G5932"/>
          <cell r="H5932"/>
          <cell r="I5932"/>
          <cell r="J5932"/>
          <cell r="L5932"/>
        </row>
        <row r="5933">
          <cell r="A5933"/>
          <cell r="D5933"/>
          <cell r="E5933"/>
          <cell r="F5933"/>
          <cell r="G5933"/>
          <cell r="H5933"/>
          <cell r="I5933"/>
          <cell r="J5933"/>
          <cell r="L5933"/>
        </row>
        <row r="5934">
          <cell r="A5934"/>
          <cell r="D5934"/>
          <cell r="E5934"/>
          <cell r="F5934"/>
          <cell r="G5934"/>
          <cell r="H5934"/>
          <cell r="I5934"/>
          <cell r="J5934"/>
          <cell r="L5934"/>
        </row>
        <row r="5935">
          <cell r="A5935"/>
          <cell r="D5935"/>
          <cell r="E5935"/>
          <cell r="F5935"/>
          <cell r="G5935"/>
          <cell r="H5935"/>
          <cell r="I5935"/>
          <cell r="J5935"/>
          <cell r="L5935"/>
        </row>
        <row r="5936">
          <cell r="A5936"/>
          <cell r="D5936"/>
          <cell r="E5936"/>
          <cell r="F5936"/>
          <cell r="G5936"/>
          <cell r="H5936"/>
          <cell r="I5936"/>
          <cell r="J5936"/>
          <cell r="L5936"/>
        </row>
        <row r="5937">
          <cell r="A5937"/>
          <cell r="D5937"/>
          <cell r="E5937"/>
          <cell r="F5937"/>
          <cell r="G5937"/>
          <cell r="H5937"/>
          <cell r="I5937"/>
          <cell r="J5937"/>
          <cell r="L5937"/>
        </row>
        <row r="5938">
          <cell r="A5938"/>
          <cell r="D5938"/>
          <cell r="E5938"/>
          <cell r="F5938"/>
          <cell r="G5938"/>
          <cell r="H5938"/>
          <cell r="I5938"/>
          <cell r="J5938"/>
          <cell r="L5938"/>
        </row>
        <row r="5939">
          <cell r="A5939"/>
          <cell r="D5939"/>
          <cell r="E5939"/>
          <cell r="F5939"/>
          <cell r="G5939"/>
          <cell r="H5939"/>
          <cell r="I5939"/>
          <cell r="J5939"/>
          <cell r="L5939"/>
        </row>
        <row r="5940">
          <cell r="A5940"/>
          <cell r="D5940"/>
          <cell r="E5940"/>
          <cell r="F5940"/>
          <cell r="G5940"/>
          <cell r="H5940"/>
          <cell r="I5940"/>
          <cell r="J5940"/>
          <cell r="L5940"/>
        </row>
        <row r="5941">
          <cell r="A5941"/>
          <cell r="D5941"/>
          <cell r="E5941"/>
          <cell r="F5941"/>
          <cell r="G5941"/>
          <cell r="H5941"/>
          <cell r="I5941"/>
          <cell r="J5941"/>
          <cell r="L5941"/>
        </row>
        <row r="5942">
          <cell r="A5942"/>
          <cell r="D5942"/>
          <cell r="E5942"/>
          <cell r="F5942"/>
          <cell r="G5942"/>
          <cell r="H5942"/>
          <cell r="I5942"/>
          <cell r="J5942"/>
          <cell r="L5942"/>
        </row>
        <row r="5943">
          <cell r="A5943"/>
          <cell r="D5943"/>
          <cell r="E5943"/>
          <cell r="F5943"/>
          <cell r="G5943"/>
          <cell r="H5943"/>
          <cell r="I5943"/>
          <cell r="J5943"/>
          <cell r="L5943"/>
        </row>
        <row r="5944">
          <cell r="A5944"/>
          <cell r="D5944"/>
          <cell r="E5944"/>
          <cell r="F5944"/>
          <cell r="G5944"/>
          <cell r="H5944"/>
          <cell r="I5944"/>
          <cell r="J5944"/>
          <cell r="L5944"/>
        </row>
        <row r="5945">
          <cell r="A5945"/>
          <cell r="D5945"/>
          <cell r="E5945"/>
          <cell r="F5945"/>
          <cell r="G5945"/>
          <cell r="H5945"/>
          <cell r="I5945"/>
          <cell r="J5945"/>
          <cell r="L5945"/>
        </row>
        <row r="5946">
          <cell r="A5946"/>
          <cell r="D5946"/>
          <cell r="E5946"/>
          <cell r="F5946"/>
          <cell r="G5946"/>
          <cell r="H5946"/>
          <cell r="I5946"/>
          <cell r="J5946"/>
          <cell r="L5946"/>
        </row>
        <row r="5947">
          <cell r="A5947"/>
          <cell r="D5947"/>
          <cell r="E5947"/>
          <cell r="F5947"/>
          <cell r="G5947"/>
          <cell r="H5947"/>
          <cell r="I5947"/>
          <cell r="J5947"/>
          <cell r="L5947"/>
        </row>
        <row r="5948">
          <cell r="A5948"/>
          <cell r="D5948"/>
          <cell r="E5948"/>
          <cell r="F5948"/>
          <cell r="G5948"/>
          <cell r="H5948"/>
          <cell r="I5948"/>
          <cell r="J5948"/>
          <cell r="L5948"/>
        </row>
        <row r="5949">
          <cell r="A5949"/>
          <cell r="D5949"/>
          <cell r="E5949"/>
          <cell r="F5949"/>
          <cell r="G5949"/>
          <cell r="H5949"/>
          <cell r="I5949"/>
          <cell r="J5949"/>
          <cell r="L5949"/>
        </row>
        <row r="5950">
          <cell r="A5950"/>
          <cell r="D5950"/>
          <cell r="E5950"/>
          <cell r="F5950"/>
          <cell r="G5950"/>
          <cell r="H5950"/>
          <cell r="I5950"/>
          <cell r="J5950"/>
          <cell r="L5950"/>
        </row>
        <row r="5951">
          <cell r="A5951"/>
          <cell r="D5951"/>
          <cell r="E5951"/>
          <cell r="F5951"/>
          <cell r="G5951"/>
          <cell r="H5951"/>
          <cell r="I5951"/>
          <cell r="J5951"/>
          <cell r="L5951"/>
        </row>
        <row r="5952">
          <cell r="A5952"/>
          <cell r="D5952"/>
          <cell r="E5952"/>
          <cell r="F5952"/>
          <cell r="G5952"/>
          <cell r="H5952"/>
          <cell r="I5952"/>
          <cell r="J5952"/>
          <cell r="L5952"/>
        </row>
        <row r="5953">
          <cell r="A5953"/>
          <cell r="D5953"/>
          <cell r="E5953"/>
          <cell r="F5953"/>
          <cell r="G5953"/>
          <cell r="H5953"/>
          <cell r="I5953"/>
          <cell r="J5953"/>
          <cell r="L5953"/>
        </row>
        <row r="5954">
          <cell r="A5954"/>
          <cell r="D5954"/>
          <cell r="E5954"/>
          <cell r="F5954"/>
          <cell r="G5954"/>
          <cell r="H5954"/>
          <cell r="I5954"/>
          <cell r="J5954"/>
          <cell r="L5954"/>
        </row>
        <row r="5955">
          <cell r="A5955"/>
          <cell r="D5955"/>
          <cell r="E5955"/>
          <cell r="F5955"/>
          <cell r="G5955"/>
          <cell r="H5955"/>
          <cell r="I5955"/>
          <cell r="J5955"/>
          <cell r="L5955"/>
        </row>
        <row r="5956">
          <cell r="A5956"/>
          <cell r="D5956"/>
          <cell r="E5956"/>
          <cell r="F5956"/>
          <cell r="G5956"/>
          <cell r="H5956"/>
          <cell r="I5956"/>
          <cell r="J5956"/>
          <cell r="L5956"/>
        </row>
        <row r="5957">
          <cell r="A5957"/>
          <cell r="D5957"/>
          <cell r="E5957"/>
          <cell r="F5957"/>
          <cell r="G5957"/>
          <cell r="H5957"/>
          <cell r="I5957"/>
          <cell r="J5957"/>
          <cell r="L5957"/>
        </row>
        <row r="5958">
          <cell r="A5958"/>
          <cell r="D5958"/>
          <cell r="E5958"/>
          <cell r="F5958"/>
          <cell r="G5958"/>
          <cell r="H5958"/>
          <cell r="I5958"/>
          <cell r="J5958"/>
          <cell r="L5958"/>
        </row>
        <row r="5959">
          <cell r="A5959"/>
          <cell r="D5959"/>
          <cell r="E5959"/>
          <cell r="F5959"/>
          <cell r="G5959"/>
          <cell r="H5959"/>
          <cell r="I5959"/>
          <cell r="J5959"/>
          <cell r="L5959"/>
        </row>
        <row r="5960">
          <cell r="A5960"/>
          <cell r="D5960"/>
          <cell r="E5960"/>
          <cell r="F5960"/>
          <cell r="G5960"/>
          <cell r="H5960"/>
          <cell r="I5960"/>
          <cell r="J5960"/>
          <cell r="L5960"/>
        </row>
        <row r="5961">
          <cell r="A5961"/>
          <cell r="D5961"/>
          <cell r="E5961"/>
          <cell r="F5961"/>
          <cell r="G5961"/>
          <cell r="H5961"/>
          <cell r="I5961"/>
          <cell r="J5961"/>
          <cell r="L5961"/>
        </row>
        <row r="5962">
          <cell r="A5962"/>
          <cell r="D5962"/>
          <cell r="E5962"/>
          <cell r="F5962"/>
          <cell r="G5962"/>
          <cell r="H5962"/>
          <cell r="I5962"/>
          <cell r="J5962"/>
          <cell r="L5962"/>
        </row>
        <row r="5963">
          <cell r="A5963"/>
          <cell r="D5963"/>
          <cell r="E5963"/>
          <cell r="F5963"/>
          <cell r="G5963"/>
          <cell r="H5963"/>
          <cell r="I5963"/>
          <cell r="J5963"/>
          <cell r="L5963"/>
        </row>
        <row r="5964">
          <cell r="A5964"/>
          <cell r="D5964"/>
          <cell r="E5964"/>
          <cell r="F5964"/>
          <cell r="G5964"/>
          <cell r="H5964"/>
          <cell r="I5964"/>
          <cell r="J5964"/>
          <cell r="L5964"/>
        </row>
        <row r="5965">
          <cell r="A5965"/>
          <cell r="D5965"/>
          <cell r="E5965"/>
          <cell r="F5965"/>
          <cell r="G5965"/>
          <cell r="H5965"/>
          <cell r="I5965"/>
          <cell r="J5965"/>
          <cell r="L5965"/>
        </row>
        <row r="5966">
          <cell r="A5966"/>
          <cell r="D5966"/>
          <cell r="E5966"/>
          <cell r="F5966"/>
          <cell r="G5966"/>
          <cell r="H5966"/>
          <cell r="I5966"/>
          <cell r="J5966"/>
          <cell r="L5966"/>
        </row>
        <row r="5967">
          <cell r="A5967"/>
          <cell r="D5967"/>
          <cell r="E5967"/>
          <cell r="F5967"/>
          <cell r="G5967"/>
          <cell r="H5967"/>
          <cell r="I5967"/>
          <cell r="J5967"/>
          <cell r="L5967"/>
        </row>
        <row r="5968">
          <cell r="A5968"/>
          <cell r="D5968"/>
          <cell r="E5968"/>
          <cell r="F5968"/>
          <cell r="G5968"/>
          <cell r="H5968"/>
          <cell r="I5968"/>
          <cell r="J5968"/>
          <cell r="L5968"/>
        </row>
        <row r="5969">
          <cell r="A5969"/>
          <cell r="D5969"/>
          <cell r="E5969"/>
          <cell r="F5969"/>
          <cell r="G5969"/>
          <cell r="H5969"/>
          <cell r="I5969"/>
          <cell r="J5969"/>
          <cell r="L5969"/>
        </row>
        <row r="5970">
          <cell r="A5970"/>
          <cell r="D5970"/>
          <cell r="E5970"/>
          <cell r="F5970"/>
          <cell r="G5970"/>
          <cell r="H5970"/>
          <cell r="I5970"/>
          <cell r="J5970"/>
          <cell r="L5970"/>
        </row>
        <row r="5971">
          <cell r="A5971"/>
          <cell r="D5971"/>
          <cell r="E5971"/>
          <cell r="F5971"/>
          <cell r="G5971"/>
          <cell r="H5971"/>
          <cell r="I5971"/>
          <cell r="J5971"/>
          <cell r="L5971"/>
        </row>
        <row r="5972">
          <cell r="A5972"/>
          <cell r="D5972"/>
          <cell r="E5972"/>
          <cell r="F5972"/>
          <cell r="G5972"/>
          <cell r="H5972"/>
          <cell r="I5972"/>
          <cell r="J5972"/>
          <cell r="L5972"/>
        </row>
        <row r="5973">
          <cell r="A5973"/>
          <cell r="D5973"/>
          <cell r="E5973"/>
          <cell r="F5973"/>
          <cell r="G5973"/>
          <cell r="H5973"/>
          <cell r="I5973"/>
          <cell r="J5973"/>
          <cell r="L5973"/>
        </row>
        <row r="5974">
          <cell r="A5974"/>
          <cell r="D5974"/>
          <cell r="E5974"/>
          <cell r="F5974"/>
          <cell r="G5974"/>
          <cell r="H5974"/>
          <cell r="I5974"/>
          <cell r="J5974"/>
          <cell r="L5974"/>
        </row>
        <row r="5975">
          <cell r="A5975"/>
          <cell r="D5975"/>
          <cell r="E5975"/>
          <cell r="F5975"/>
          <cell r="G5975"/>
          <cell r="H5975"/>
          <cell r="I5975"/>
          <cell r="J5975"/>
          <cell r="L5975"/>
        </row>
        <row r="5976">
          <cell r="A5976"/>
          <cell r="D5976"/>
          <cell r="E5976"/>
          <cell r="F5976"/>
          <cell r="G5976"/>
          <cell r="H5976"/>
          <cell r="I5976"/>
          <cell r="J5976"/>
          <cell r="L5976"/>
        </row>
        <row r="5977">
          <cell r="A5977"/>
          <cell r="D5977"/>
          <cell r="E5977"/>
          <cell r="F5977"/>
          <cell r="G5977"/>
          <cell r="H5977"/>
          <cell r="I5977"/>
          <cell r="J5977"/>
          <cell r="L5977"/>
        </row>
        <row r="5978">
          <cell r="A5978"/>
          <cell r="D5978"/>
          <cell r="E5978"/>
          <cell r="F5978"/>
          <cell r="G5978"/>
          <cell r="H5978"/>
          <cell r="I5978"/>
          <cell r="J5978"/>
          <cell r="L5978"/>
        </row>
        <row r="5979">
          <cell r="A5979"/>
          <cell r="D5979"/>
          <cell r="E5979"/>
          <cell r="F5979"/>
          <cell r="G5979"/>
          <cell r="H5979"/>
          <cell r="I5979"/>
          <cell r="J5979"/>
          <cell r="L5979"/>
        </row>
        <row r="5980">
          <cell r="A5980"/>
          <cell r="D5980"/>
          <cell r="E5980"/>
          <cell r="F5980"/>
          <cell r="G5980"/>
          <cell r="H5980"/>
          <cell r="I5980"/>
          <cell r="J5980"/>
          <cell r="L5980"/>
        </row>
        <row r="5981">
          <cell r="A5981"/>
          <cell r="D5981"/>
          <cell r="E5981"/>
          <cell r="F5981"/>
          <cell r="G5981"/>
          <cell r="H5981"/>
          <cell r="I5981"/>
          <cell r="J5981"/>
          <cell r="L5981"/>
        </row>
        <row r="5982">
          <cell r="A5982"/>
          <cell r="D5982"/>
          <cell r="E5982"/>
          <cell r="F5982"/>
          <cell r="G5982"/>
          <cell r="H5982"/>
          <cell r="I5982"/>
          <cell r="J5982"/>
          <cell r="L5982"/>
        </row>
        <row r="5983">
          <cell r="A5983"/>
          <cell r="D5983"/>
          <cell r="E5983"/>
          <cell r="F5983"/>
          <cell r="G5983"/>
          <cell r="H5983"/>
          <cell r="I5983"/>
          <cell r="J5983"/>
          <cell r="L5983"/>
        </row>
        <row r="5984">
          <cell r="A5984"/>
          <cell r="D5984"/>
          <cell r="E5984"/>
          <cell r="F5984"/>
          <cell r="G5984"/>
          <cell r="H5984"/>
          <cell r="I5984"/>
          <cell r="J5984"/>
          <cell r="L5984"/>
        </row>
        <row r="5985">
          <cell r="A5985"/>
          <cell r="D5985"/>
          <cell r="E5985"/>
          <cell r="F5985"/>
          <cell r="G5985"/>
          <cell r="H5985"/>
          <cell r="I5985"/>
          <cell r="J5985"/>
          <cell r="L5985"/>
        </row>
        <row r="5986">
          <cell r="A5986"/>
          <cell r="D5986"/>
          <cell r="E5986"/>
          <cell r="F5986"/>
          <cell r="G5986"/>
          <cell r="H5986"/>
          <cell r="I5986"/>
          <cell r="J5986"/>
          <cell r="L5986"/>
        </row>
        <row r="5987">
          <cell r="A5987"/>
          <cell r="D5987"/>
          <cell r="E5987"/>
          <cell r="F5987"/>
          <cell r="G5987"/>
          <cell r="H5987"/>
          <cell r="I5987"/>
          <cell r="J5987"/>
          <cell r="L5987"/>
        </row>
        <row r="5988">
          <cell r="A5988"/>
          <cell r="D5988"/>
          <cell r="E5988"/>
          <cell r="F5988"/>
          <cell r="G5988"/>
          <cell r="H5988"/>
          <cell r="I5988"/>
          <cell r="J5988"/>
          <cell r="L5988"/>
        </row>
        <row r="5989">
          <cell r="A5989"/>
          <cell r="D5989"/>
          <cell r="E5989"/>
          <cell r="F5989"/>
          <cell r="G5989"/>
          <cell r="H5989"/>
          <cell r="I5989"/>
          <cell r="J5989"/>
          <cell r="L5989"/>
        </row>
        <row r="5990">
          <cell r="A5990"/>
          <cell r="D5990"/>
          <cell r="E5990"/>
          <cell r="F5990"/>
          <cell r="G5990"/>
          <cell r="H5990"/>
          <cell r="I5990"/>
          <cell r="J5990"/>
          <cell r="L5990"/>
        </row>
        <row r="5991">
          <cell r="A5991"/>
          <cell r="D5991"/>
          <cell r="E5991"/>
          <cell r="F5991"/>
          <cell r="G5991"/>
          <cell r="H5991"/>
          <cell r="I5991"/>
          <cell r="J5991"/>
          <cell r="L5991"/>
        </row>
        <row r="5992">
          <cell r="A5992"/>
          <cell r="D5992"/>
          <cell r="E5992"/>
          <cell r="F5992"/>
          <cell r="G5992"/>
          <cell r="H5992"/>
          <cell r="I5992"/>
          <cell r="J5992"/>
          <cell r="L5992"/>
        </row>
        <row r="5993">
          <cell r="A5993"/>
          <cell r="D5993"/>
          <cell r="E5993"/>
          <cell r="F5993"/>
          <cell r="G5993"/>
          <cell r="H5993"/>
          <cell r="I5993"/>
          <cell r="J5993"/>
          <cell r="L5993"/>
        </row>
        <row r="5994">
          <cell r="A5994"/>
          <cell r="D5994"/>
          <cell r="E5994"/>
          <cell r="F5994"/>
          <cell r="G5994"/>
          <cell r="H5994"/>
          <cell r="I5994"/>
          <cell r="J5994"/>
          <cell r="L5994"/>
        </row>
        <row r="5995">
          <cell r="A5995"/>
          <cell r="D5995"/>
          <cell r="E5995"/>
          <cell r="F5995"/>
          <cell r="G5995"/>
          <cell r="H5995"/>
          <cell r="I5995"/>
          <cell r="J5995"/>
          <cell r="L5995"/>
        </row>
        <row r="5996">
          <cell r="A5996"/>
          <cell r="D5996"/>
          <cell r="E5996"/>
          <cell r="F5996"/>
          <cell r="G5996"/>
          <cell r="H5996"/>
          <cell r="I5996"/>
          <cell r="J5996"/>
          <cell r="L5996"/>
        </row>
        <row r="5997">
          <cell r="A5997"/>
          <cell r="D5997"/>
          <cell r="E5997"/>
          <cell r="F5997"/>
          <cell r="G5997"/>
          <cell r="H5997"/>
          <cell r="I5997"/>
          <cell r="J5997"/>
          <cell r="L5997"/>
        </row>
        <row r="5998">
          <cell r="A5998"/>
          <cell r="D5998"/>
          <cell r="E5998"/>
          <cell r="F5998"/>
          <cell r="G5998"/>
          <cell r="H5998"/>
          <cell r="I5998"/>
          <cell r="J5998"/>
          <cell r="L5998"/>
        </row>
        <row r="5999">
          <cell r="A5999"/>
          <cell r="D5999"/>
          <cell r="E5999"/>
          <cell r="F5999"/>
          <cell r="G5999"/>
          <cell r="H5999"/>
          <cell r="I5999"/>
          <cell r="J5999"/>
          <cell r="L5999"/>
        </row>
        <row r="6000">
          <cell r="A6000"/>
          <cell r="D6000"/>
          <cell r="E6000"/>
          <cell r="F6000"/>
          <cell r="G6000"/>
          <cell r="H6000"/>
          <cell r="I6000"/>
          <cell r="J6000"/>
          <cell r="L6000"/>
        </row>
        <row r="6001">
          <cell r="A6001"/>
          <cell r="D6001"/>
          <cell r="E6001"/>
          <cell r="F6001"/>
          <cell r="G6001"/>
          <cell r="H6001"/>
          <cell r="I6001"/>
          <cell r="J6001"/>
          <cell r="L6001"/>
        </row>
        <row r="6002">
          <cell r="A6002"/>
          <cell r="D6002"/>
          <cell r="E6002"/>
          <cell r="F6002"/>
          <cell r="G6002"/>
          <cell r="H6002"/>
          <cell r="I6002"/>
          <cell r="J6002"/>
          <cell r="L6002"/>
        </row>
        <row r="6003">
          <cell r="A6003"/>
          <cell r="D6003"/>
          <cell r="E6003"/>
          <cell r="F6003"/>
          <cell r="G6003"/>
          <cell r="H6003"/>
          <cell r="I6003"/>
          <cell r="J6003"/>
          <cell r="L6003"/>
        </row>
        <row r="6004">
          <cell r="A6004"/>
          <cell r="D6004"/>
          <cell r="E6004"/>
          <cell r="F6004"/>
          <cell r="G6004"/>
          <cell r="H6004"/>
          <cell r="I6004"/>
          <cell r="J6004"/>
          <cell r="L6004"/>
        </row>
        <row r="6005">
          <cell r="A6005"/>
          <cell r="D6005"/>
          <cell r="E6005"/>
          <cell r="F6005"/>
          <cell r="G6005"/>
          <cell r="H6005"/>
          <cell r="I6005"/>
          <cell r="J6005"/>
          <cell r="L6005"/>
        </row>
        <row r="6006">
          <cell r="A6006"/>
          <cell r="D6006"/>
          <cell r="E6006"/>
          <cell r="F6006"/>
          <cell r="G6006"/>
          <cell r="H6006"/>
          <cell r="I6006"/>
          <cell r="J6006"/>
          <cell r="L6006"/>
        </row>
        <row r="6007">
          <cell r="A6007"/>
          <cell r="D6007"/>
          <cell r="E6007"/>
          <cell r="F6007"/>
          <cell r="G6007"/>
          <cell r="H6007"/>
          <cell r="I6007"/>
          <cell r="J6007"/>
          <cell r="L6007"/>
        </row>
        <row r="6008">
          <cell r="A6008"/>
          <cell r="D6008"/>
          <cell r="E6008"/>
          <cell r="F6008"/>
          <cell r="G6008"/>
          <cell r="H6008"/>
          <cell r="I6008"/>
          <cell r="J6008"/>
          <cell r="L6008"/>
        </row>
        <row r="6009">
          <cell r="A6009"/>
          <cell r="D6009"/>
          <cell r="E6009"/>
          <cell r="F6009"/>
          <cell r="G6009"/>
          <cell r="H6009"/>
          <cell r="I6009"/>
          <cell r="J6009"/>
          <cell r="L6009"/>
        </row>
        <row r="6010">
          <cell r="A6010"/>
          <cell r="D6010"/>
          <cell r="E6010"/>
          <cell r="F6010"/>
          <cell r="G6010"/>
          <cell r="H6010"/>
          <cell r="I6010"/>
          <cell r="J6010"/>
          <cell r="L6010"/>
        </row>
        <row r="6011">
          <cell r="A6011"/>
          <cell r="D6011"/>
          <cell r="E6011"/>
          <cell r="F6011"/>
          <cell r="G6011"/>
          <cell r="H6011"/>
          <cell r="I6011"/>
          <cell r="J6011"/>
          <cell r="L6011"/>
        </row>
        <row r="6012">
          <cell r="A6012"/>
          <cell r="D6012"/>
          <cell r="E6012"/>
          <cell r="F6012"/>
          <cell r="G6012"/>
          <cell r="H6012"/>
          <cell r="I6012"/>
          <cell r="J6012"/>
          <cell r="L6012"/>
        </row>
        <row r="6013">
          <cell r="A6013"/>
          <cell r="D6013"/>
          <cell r="E6013"/>
          <cell r="F6013"/>
          <cell r="G6013"/>
          <cell r="H6013"/>
          <cell r="I6013"/>
          <cell r="J6013"/>
          <cell r="L6013"/>
        </row>
        <row r="6014">
          <cell r="A6014"/>
          <cell r="D6014"/>
          <cell r="E6014"/>
          <cell r="F6014"/>
          <cell r="G6014"/>
          <cell r="H6014"/>
          <cell r="I6014"/>
          <cell r="J6014"/>
          <cell r="L6014"/>
        </row>
        <row r="6015">
          <cell r="A6015"/>
          <cell r="D6015"/>
          <cell r="E6015"/>
          <cell r="F6015"/>
          <cell r="G6015"/>
          <cell r="H6015"/>
          <cell r="I6015"/>
          <cell r="J6015"/>
          <cell r="L6015"/>
        </row>
        <row r="6016">
          <cell r="A6016"/>
          <cell r="D6016"/>
          <cell r="E6016"/>
          <cell r="F6016"/>
          <cell r="G6016"/>
          <cell r="H6016"/>
          <cell r="I6016"/>
          <cell r="J6016"/>
          <cell r="L6016"/>
        </row>
        <row r="6017">
          <cell r="A6017"/>
          <cell r="D6017"/>
          <cell r="E6017"/>
          <cell r="F6017"/>
          <cell r="G6017"/>
          <cell r="H6017"/>
          <cell r="I6017"/>
          <cell r="J6017"/>
          <cell r="L6017"/>
        </row>
        <row r="6018">
          <cell r="A6018"/>
          <cell r="D6018"/>
          <cell r="E6018"/>
          <cell r="F6018"/>
          <cell r="G6018"/>
          <cell r="H6018"/>
          <cell r="I6018"/>
          <cell r="J6018"/>
          <cell r="L6018"/>
        </row>
        <row r="6019">
          <cell r="A6019"/>
          <cell r="D6019"/>
          <cell r="E6019"/>
          <cell r="F6019"/>
          <cell r="G6019"/>
          <cell r="H6019"/>
          <cell r="I6019"/>
          <cell r="J6019"/>
          <cell r="L6019"/>
        </row>
        <row r="6020">
          <cell r="A6020"/>
          <cell r="D6020"/>
          <cell r="E6020"/>
          <cell r="F6020"/>
          <cell r="G6020"/>
          <cell r="H6020"/>
          <cell r="I6020"/>
          <cell r="J6020"/>
          <cell r="L6020"/>
        </row>
        <row r="6021">
          <cell r="A6021"/>
          <cell r="D6021"/>
          <cell r="E6021"/>
          <cell r="F6021"/>
          <cell r="G6021"/>
          <cell r="H6021"/>
          <cell r="I6021"/>
          <cell r="J6021"/>
          <cell r="L6021"/>
        </row>
        <row r="6022">
          <cell r="A6022"/>
          <cell r="D6022"/>
          <cell r="E6022"/>
          <cell r="F6022"/>
          <cell r="G6022"/>
          <cell r="H6022"/>
          <cell r="I6022"/>
          <cell r="J6022"/>
          <cell r="L6022"/>
        </row>
        <row r="6023">
          <cell r="A6023"/>
          <cell r="D6023"/>
          <cell r="E6023"/>
          <cell r="F6023"/>
          <cell r="G6023"/>
          <cell r="H6023"/>
          <cell r="I6023"/>
          <cell r="J6023"/>
          <cell r="L6023"/>
        </row>
        <row r="6024">
          <cell r="A6024"/>
          <cell r="D6024"/>
          <cell r="E6024"/>
          <cell r="F6024"/>
          <cell r="G6024"/>
          <cell r="H6024"/>
          <cell r="I6024"/>
          <cell r="J6024"/>
          <cell r="L6024"/>
        </row>
        <row r="6025">
          <cell r="A6025"/>
          <cell r="D6025"/>
          <cell r="E6025"/>
          <cell r="F6025"/>
          <cell r="G6025"/>
          <cell r="H6025"/>
          <cell r="I6025"/>
          <cell r="J6025"/>
          <cell r="L6025"/>
        </row>
        <row r="6026">
          <cell r="A6026"/>
          <cell r="D6026"/>
          <cell r="E6026"/>
          <cell r="F6026"/>
          <cell r="G6026"/>
          <cell r="H6026"/>
          <cell r="I6026"/>
          <cell r="J6026"/>
          <cell r="L6026"/>
        </row>
        <row r="6027">
          <cell r="A6027"/>
          <cell r="D6027"/>
          <cell r="E6027"/>
          <cell r="F6027"/>
          <cell r="G6027"/>
          <cell r="H6027"/>
          <cell r="I6027"/>
          <cell r="J6027"/>
          <cell r="L6027"/>
        </row>
        <row r="6028">
          <cell r="A6028"/>
          <cell r="D6028"/>
          <cell r="E6028"/>
          <cell r="F6028"/>
          <cell r="G6028"/>
          <cell r="H6028"/>
          <cell r="I6028"/>
          <cell r="J6028"/>
          <cell r="L6028"/>
        </row>
        <row r="6029">
          <cell r="A6029"/>
          <cell r="D6029"/>
          <cell r="E6029"/>
          <cell r="F6029"/>
          <cell r="G6029"/>
          <cell r="H6029"/>
          <cell r="I6029"/>
          <cell r="J6029"/>
          <cell r="L6029"/>
        </row>
        <row r="6030">
          <cell r="A6030"/>
          <cell r="D6030"/>
          <cell r="E6030"/>
          <cell r="F6030"/>
          <cell r="G6030"/>
          <cell r="H6030"/>
          <cell r="I6030"/>
          <cell r="J6030"/>
          <cell r="L6030"/>
        </row>
        <row r="6031">
          <cell r="A6031"/>
          <cell r="D6031"/>
          <cell r="E6031"/>
          <cell r="F6031"/>
          <cell r="G6031"/>
          <cell r="H6031"/>
          <cell r="I6031"/>
          <cell r="J6031"/>
          <cell r="L6031"/>
        </row>
        <row r="6032">
          <cell r="A6032"/>
          <cell r="D6032"/>
          <cell r="E6032"/>
          <cell r="F6032"/>
          <cell r="G6032"/>
          <cell r="H6032"/>
          <cell r="I6032"/>
          <cell r="J6032"/>
          <cell r="L6032"/>
        </row>
        <row r="6033">
          <cell r="A6033"/>
          <cell r="D6033"/>
          <cell r="E6033"/>
          <cell r="F6033"/>
          <cell r="G6033"/>
          <cell r="H6033"/>
          <cell r="I6033"/>
          <cell r="J6033"/>
          <cell r="L6033"/>
        </row>
        <row r="6034">
          <cell r="A6034"/>
          <cell r="D6034"/>
          <cell r="E6034"/>
          <cell r="F6034"/>
          <cell r="G6034"/>
          <cell r="H6034"/>
          <cell r="I6034"/>
          <cell r="J6034"/>
          <cell r="L6034"/>
        </row>
        <row r="6035">
          <cell r="A6035"/>
          <cell r="D6035"/>
          <cell r="E6035"/>
          <cell r="F6035"/>
          <cell r="G6035"/>
          <cell r="H6035"/>
          <cell r="I6035"/>
          <cell r="J6035"/>
          <cell r="L6035"/>
        </row>
        <row r="6036">
          <cell r="A6036"/>
          <cell r="D6036"/>
          <cell r="E6036"/>
          <cell r="F6036"/>
          <cell r="G6036"/>
          <cell r="H6036"/>
          <cell r="I6036"/>
          <cell r="J6036"/>
          <cell r="L6036"/>
        </row>
        <row r="6037">
          <cell r="A6037"/>
          <cell r="D6037"/>
          <cell r="E6037"/>
          <cell r="F6037"/>
          <cell r="G6037"/>
          <cell r="H6037"/>
          <cell r="I6037"/>
          <cell r="J6037"/>
          <cell r="L6037"/>
        </row>
        <row r="6038">
          <cell r="A6038"/>
          <cell r="D6038"/>
          <cell r="E6038"/>
          <cell r="F6038"/>
          <cell r="G6038"/>
          <cell r="H6038"/>
          <cell r="I6038"/>
          <cell r="J6038"/>
          <cell r="L6038"/>
        </row>
        <row r="6039">
          <cell r="A6039"/>
          <cell r="D6039"/>
          <cell r="E6039"/>
          <cell r="F6039"/>
          <cell r="G6039"/>
          <cell r="H6039"/>
          <cell r="I6039"/>
          <cell r="J6039"/>
          <cell r="L6039"/>
        </row>
        <row r="6040">
          <cell r="A6040"/>
          <cell r="D6040"/>
          <cell r="E6040"/>
          <cell r="F6040"/>
          <cell r="G6040"/>
          <cell r="H6040"/>
          <cell r="I6040"/>
          <cell r="J6040"/>
          <cell r="L6040"/>
        </row>
        <row r="6041">
          <cell r="A6041"/>
          <cell r="D6041"/>
          <cell r="E6041"/>
          <cell r="F6041"/>
          <cell r="G6041"/>
          <cell r="H6041"/>
          <cell r="I6041"/>
          <cell r="J6041"/>
          <cell r="L6041"/>
        </row>
        <row r="6042">
          <cell r="A6042"/>
          <cell r="D6042"/>
          <cell r="E6042"/>
          <cell r="F6042"/>
          <cell r="G6042"/>
          <cell r="H6042"/>
          <cell r="I6042"/>
          <cell r="J6042"/>
          <cell r="L6042"/>
        </row>
        <row r="6043">
          <cell r="A6043"/>
          <cell r="D6043"/>
          <cell r="E6043"/>
          <cell r="F6043"/>
          <cell r="G6043"/>
          <cell r="H6043"/>
          <cell r="I6043"/>
          <cell r="J6043"/>
          <cell r="L6043"/>
        </row>
        <row r="6044">
          <cell r="A6044"/>
          <cell r="D6044"/>
          <cell r="E6044"/>
          <cell r="F6044"/>
          <cell r="G6044"/>
          <cell r="H6044"/>
          <cell r="I6044"/>
          <cell r="J6044"/>
          <cell r="L6044"/>
        </row>
        <row r="6045">
          <cell r="A6045"/>
          <cell r="D6045"/>
          <cell r="E6045"/>
          <cell r="F6045"/>
          <cell r="G6045"/>
          <cell r="H6045"/>
          <cell r="I6045"/>
          <cell r="J6045"/>
          <cell r="L6045"/>
        </row>
        <row r="6046">
          <cell r="A6046"/>
          <cell r="D6046"/>
          <cell r="E6046"/>
          <cell r="F6046"/>
          <cell r="G6046"/>
          <cell r="H6046"/>
          <cell r="I6046"/>
          <cell r="J6046"/>
          <cell r="L6046"/>
        </row>
        <row r="6047">
          <cell r="A6047"/>
          <cell r="D6047"/>
          <cell r="E6047"/>
          <cell r="F6047"/>
          <cell r="G6047"/>
          <cell r="H6047"/>
          <cell r="I6047"/>
          <cell r="J6047"/>
          <cell r="L6047"/>
        </row>
        <row r="6048">
          <cell r="A6048"/>
          <cell r="D6048"/>
          <cell r="E6048"/>
          <cell r="F6048"/>
          <cell r="G6048"/>
          <cell r="H6048"/>
          <cell r="I6048"/>
          <cell r="J6048"/>
          <cell r="L6048"/>
        </row>
        <row r="6049">
          <cell r="A6049"/>
          <cell r="D6049"/>
          <cell r="E6049"/>
          <cell r="F6049"/>
          <cell r="G6049"/>
          <cell r="H6049"/>
          <cell r="I6049"/>
          <cell r="J6049"/>
          <cell r="L6049"/>
        </row>
        <row r="6050">
          <cell r="A6050"/>
          <cell r="D6050"/>
          <cell r="E6050"/>
          <cell r="F6050"/>
          <cell r="G6050"/>
          <cell r="H6050"/>
          <cell r="I6050"/>
          <cell r="J6050"/>
          <cell r="L6050"/>
        </row>
        <row r="6051">
          <cell r="A6051"/>
          <cell r="D6051"/>
          <cell r="E6051"/>
          <cell r="F6051"/>
          <cell r="G6051"/>
          <cell r="H6051"/>
          <cell r="I6051"/>
          <cell r="J6051"/>
          <cell r="L6051"/>
        </row>
        <row r="6052">
          <cell r="A6052"/>
          <cell r="D6052"/>
          <cell r="E6052"/>
          <cell r="F6052"/>
          <cell r="G6052"/>
          <cell r="H6052"/>
          <cell r="I6052"/>
          <cell r="J6052"/>
          <cell r="L6052"/>
        </row>
        <row r="6053">
          <cell r="A6053"/>
          <cell r="D6053"/>
          <cell r="E6053"/>
          <cell r="F6053"/>
          <cell r="G6053"/>
          <cell r="H6053"/>
          <cell r="I6053"/>
          <cell r="J6053"/>
          <cell r="L6053"/>
        </row>
        <row r="6054">
          <cell r="A6054"/>
          <cell r="D6054"/>
          <cell r="E6054"/>
          <cell r="F6054"/>
          <cell r="G6054"/>
          <cell r="H6054"/>
          <cell r="I6054"/>
          <cell r="J6054"/>
          <cell r="L6054"/>
        </row>
        <row r="6055">
          <cell r="A6055"/>
          <cell r="D6055"/>
          <cell r="E6055"/>
          <cell r="F6055"/>
          <cell r="G6055"/>
          <cell r="H6055"/>
          <cell r="I6055"/>
          <cell r="J6055"/>
          <cell r="L6055"/>
        </row>
        <row r="6056">
          <cell r="A6056"/>
          <cell r="D6056"/>
          <cell r="E6056"/>
          <cell r="F6056"/>
          <cell r="G6056"/>
          <cell r="H6056"/>
          <cell r="I6056"/>
          <cell r="J6056"/>
          <cell r="L6056"/>
        </row>
        <row r="6057">
          <cell r="A6057"/>
          <cell r="D6057"/>
          <cell r="E6057"/>
          <cell r="F6057"/>
          <cell r="G6057"/>
          <cell r="H6057"/>
          <cell r="I6057"/>
          <cell r="J6057"/>
          <cell r="L6057"/>
        </row>
        <row r="6058">
          <cell r="A6058"/>
          <cell r="D6058"/>
          <cell r="E6058"/>
          <cell r="F6058"/>
          <cell r="G6058"/>
          <cell r="H6058"/>
          <cell r="I6058"/>
          <cell r="J6058"/>
          <cell r="L6058"/>
        </row>
        <row r="6059">
          <cell r="A6059"/>
          <cell r="D6059"/>
          <cell r="E6059"/>
          <cell r="F6059"/>
          <cell r="G6059"/>
          <cell r="H6059"/>
          <cell r="I6059"/>
          <cell r="J6059"/>
          <cell r="L6059"/>
        </row>
        <row r="6060">
          <cell r="A6060"/>
          <cell r="D6060"/>
          <cell r="E6060"/>
          <cell r="F6060"/>
          <cell r="G6060"/>
          <cell r="H6060"/>
          <cell r="I6060"/>
          <cell r="J6060"/>
          <cell r="L6060"/>
        </row>
        <row r="6061">
          <cell r="A6061"/>
          <cell r="D6061"/>
          <cell r="E6061"/>
          <cell r="F6061"/>
          <cell r="G6061"/>
          <cell r="H6061"/>
          <cell r="I6061"/>
          <cell r="J6061"/>
          <cell r="L6061"/>
        </row>
        <row r="6062">
          <cell r="A6062"/>
          <cell r="D6062"/>
          <cell r="E6062"/>
          <cell r="F6062"/>
          <cell r="G6062"/>
          <cell r="H6062"/>
          <cell r="I6062"/>
          <cell r="J6062"/>
          <cell r="L6062"/>
        </row>
        <row r="6063">
          <cell r="A6063"/>
          <cell r="D6063"/>
          <cell r="E6063"/>
          <cell r="F6063"/>
          <cell r="G6063"/>
          <cell r="H6063"/>
          <cell r="I6063"/>
          <cell r="J6063"/>
          <cell r="L6063"/>
        </row>
        <row r="6064">
          <cell r="A6064"/>
          <cell r="D6064"/>
          <cell r="E6064"/>
          <cell r="F6064"/>
          <cell r="G6064"/>
          <cell r="H6064"/>
          <cell r="I6064"/>
          <cell r="J6064"/>
          <cell r="L6064"/>
        </row>
        <row r="6065">
          <cell r="A6065"/>
          <cell r="D6065"/>
          <cell r="E6065"/>
          <cell r="F6065"/>
          <cell r="G6065"/>
          <cell r="H6065"/>
          <cell r="I6065"/>
          <cell r="J6065"/>
          <cell r="L6065"/>
        </row>
        <row r="6066">
          <cell r="A6066"/>
          <cell r="D6066"/>
          <cell r="E6066"/>
          <cell r="F6066"/>
          <cell r="G6066"/>
          <cell r="H6066"/>
          <cell r="I6066"/>
          <cell r="J6066"/>
          <cell r="L6066"/>
        </row>
        <row r="6067">
          <cell r="A6067"/>
          <cell r="D6067"/>
          <cell r="E6067"/>
          <cell r="F6067"/>
          <cell r="G6067"/>
          <cell r="H6067"/>
          <cell r="I6067"/>
          <cell r="J6067"/>
          <cell r="L6067"/>
        </row>
        <row r="6068">
          <cell r="A6068"/>
          <cell r="D6068"/>
          <cell r="E6068"/>
          <cell r="F6068"/>
          <cell r="G6068"/>
          <cell r="H6068"/>
          <cell r="I6068"/>
          <cell r="J6068"/>
          <cell r="L6068"/>
        </row>
        <row r="6069">
          <cell r="A6069"/>
          <cell r="D6069"/>
          <cell r="E6069"/>
          <cell r="F6069"/>
          <cell r="G6069"/>
          <cell r="H6069"/>
          <cell r="I6069"/>
          <cell r="J6069"/>
          <cell r="L6069"/>
        </row>
        <row r="6070">
          <cell r="A6070"/>
          <cell r="D6070"/>
          <cell r="E6070"/>
          <cell r="F6070"/>
          <cell r="G6070"/>
          <cell r="H6070"/>
          <cell r="I6070"/>
          <cell r="J6070"/>
          <cell r="L6070"/>
        </row>
        <row r="6071">
          <cell r="A6071"/>
          <cell r="D6071"/>
          <cell r="E6071"/>
          <cell r="F6071"/>
          <cell r="G6071"/>
          <cell r="H6071"/>
          <cell r="I6071"/>
          <cell r="J6071"/>
          <cell r="L6071"/>
        </row>
        <row r="6072">
          <cell r="A6072"/>
          <cell r="D6072"/>
          <cell r="E6072"/>
          <cell r="F6072"/>
          <cell r="G6072"/>
          <cell r="H6072"/>
          <cell r="I6072"/>
          <cell r="J6072"/>
          <cell r="L6072"/>
        </row>
        <row r="6073">
          <cell r="A6073"/>
          <cell r="D6073"/>
          <cell r="E6073"/>
          <cell r="F6073"/>
          <cell r="G6073"/>
          <cell r="H6073"/>
          <cell r="I6073"/>
          <cell r="J6073"/>
          <cell r="L6073"/>
        </row>
        <row r="6074">
          <cell r="A6074"/>
          <cell r="D6074"/>
          <cell r="E6074"/>
          <cell r="F6074"/>
          <cell r="G6074"/>
          <cell r="H6074"/>
          <cell r="I6074"/>
          <cell r="J6074"/>
          <cell r="L6074"/>
        </row>
        <row r="6075">
          <cell r="A6075"/>
          <cell r="D6075"/>
          <cell r="E6075"/>
          <cell r="F6075"/>
          <cell r="G6075"/>
          <cell r="H6075"/>
          <cell r="I6075"/>
          <cell r="J6075"/>
          <cell r="L6075"/>
        </row>
        <row r="6076">
          <cell r="A6076"/>
          <cell r="D6076"/>
          <cell r="E6076"/>
          <cell r="F6076"/>
          <cell r="G6076"/>
          <cell r="H6076"/>
          <cell r="I6076"/>
          <cell r="J6076"/>
          <cell r="L6076"/>
        </row>
        <row r="6077">
          <cell r="A6077"/>
          <cell r="D6077"/>
          <cell r="E6077"/>
          <cell r="F6077"/>
          <cell r="G6077"/>
          <cell r="H6077"/>
          <cell r="I6077"/>
          <cell r="J6077"/>
          <cell r="L6077"/>
        </row>
        <row r="6078">
          <cell r="A6078"/>
          <cell r="D6078"/>
          <cell r="E6078"/>
          <cell r="F6078"/>
          <cell r="G6078"/>
          <cell r="H6078"/>
          <cell r="I6078"/>
          <cell r="J6078"/>
          <cell r="L6078"/>
        </row>
        <row r="6079">
          <cell r="A6079"/>
          <cell r="D6079"/>
          <cell r="E6079"/>
          <cell r="F6079"/>
          <cell r="G6079"/>
          <cell r="H6079"/>
          <cell r="I6079"/>
          <cell r="J6079"/>
          <cell r="L6079"/>
        </row>
        <row r="6080">
          <cell r="A6080"/>
          <cell r="D6080"/>
          <cell r="E6080"/>
          <cell r="F6080"/>
          <cell r="G6080"/>
          <cell r="H6080"/>
          <cell r="I6080"/>
          <cell r="J6080"/>
          <cell r="L6080"/>
        </row>
        <row r="6081">
          <cell r="A6081"/>
          <cell r="D6081"/>
          <cell r="E6081"/>
          <cell r="F6081"/>
          <cell r="G6081"/>
          <cell r="H6081"/>
          <cell r="I6081"/>
          <cell r="J6081"/>
          <cell r="L6081"/>
        </row>
        <row r="6082">
          <cell r="A6082"/>
          <cell r="D6082"/>
          <cell r="E6082"/>
          <cell r="F6082"/>
          <cell r="G6082"/>
          <cell r="H6082"/>
          <cell r="I6082"/>
          <cell r="J6082"/>
          <cell r="L6082"/>
        </row>
        <row r="6083">
          <cell r="A6083"/>
          <cell r="D6083"/>
          <cell r="E6083"/>
          <cell r="F6083"/>
          <cell r="G6083"/>
          <cell r="H6083"/>
          <cell r="I6083"/>
          <cell r="J6083"/>
          <cell r="L6083"/>
        </row>
        <row r="6084">
          <cell r="A6084"/>
          <cell r="D6084"/>
          <cell r="E6084"/>
          <cell r="F6084"/>
          <cell r="G6084"/>
          <cell r="H6084"/>
          <cell r="I6084"/>
          <cell r="J6084"/>
          <cell r="L6084"/>
        </row>
        <row r="6085">
          <cell r="A6085"/>
          <cell r="D6085"/>
          <cell r="E6085"/>
          <cell r="F6085"/>
          <cell r="G6085"/>
          <cell r="H6085"/>
          <cell r="I6085"/>
          <cell r="J6085"/>
          <cell r="L6085"/>
        </row>
        <row r="6086">
          <cell r="A6086"/>
          <cell r="D6086"/>
          <cell r="E6086"/>
          <cell r="F6086"/>
          <cell r="G6086"/>
          <cell r="H6086"/>
          <cell r="I6086"/>
          <cell r="J6086"/>
          <cell r="L6086"/>
        </row>
        <row r="6087">
          <cell r="A6087"/>
          <cell r="D6087"/>
          <cell r="E6087"/>
          <cell r="F6087"/>
          <cell r="G6087"/>
          <cell r="H6087"/>
          <cell r="I6087"/>
          <cell r="J6087"/>
          <cell r="L6087"/>
        </row>
        <row r="6088">
          <cell r="A6088"/>
          <cell r="D6088"/>
          <cell r="E6088"/>
          <cell r="F6088"/>
          <cell r="G6088"/>
          <cell r="H6088"/>
          <cell r="I6088"/>
          <cell r="J6088"/>
          <cell r="L6088"/>
        </row>
        <row r="6089">
          <cell r="A6089"/>
          <cell r="D6089"/>
          <cell r="E6089"/>
          <cell r="F6089"/>
          <cell r="G6089"/>
          <cell r="H6089"/>
          <cell r="I6089"/>
          <cell r="J6089"/>
          <cell r="L6089"/>
        </row>
        <row r="6090">
          <cell r="A6090"/>
          <cell r="D6090"/>
          <cell r="E6090"/>
          <cell r="F6090"/>
          <cell r="G6090"/>
          <cell r="H6090"/>
          <cell r="I6090"/>
          <cell r="J6090"/>
          <cell r="L6090"/>
        </row>
        <row r="6091">
          <cell r="A6091"/>
          <cell r="D6091"/>
          <cell r="E6091"/>
          <cell r="F6091"/>
          <cell r="G6091"/>
          <cell r="H6091"/>
          <cell r="I6091"/>
          <cell r="J6091"/>
          <cell r="L6091"/>
        </row>
        <row r="6092">
          <cell r="A6092"/>
          <cell r="D6092"/>
          <cell r="E6092"/>
          <cell r="F6092"/>
          <cell r="G6092"/>
          <cell r="H6092"/>
          <cell r="I6092"/>
          <cell r="J6092"/>
          <cell r="L6092"/>
        </row>
        <row r="6093">
          <cell r="A6093"/>
          <cell r="D6093"/>
          <cell r="E6093"/>
          <cell r="F6093"/>
          <cell r="G6093"/>
          <cell r="H6093"/>
          <cell r="I6093"/>
          <cell r="J6093"/>
          <cell r="L6093"/>
        </row>
        <row r="6094">
          <cell r="A6094"/>
          <cell r="D6094"/>
          <cell r="E6094"/>
          <cell r="F6094"/>
          <cell r="G6094"/>
          <cell r="H6094"/>
          <cell r="I6094"/>
          <cell r="J6094"/>
          <cell r="L6094"/>
        </row>
        <row r="6095">
          <cell r="A6095"/>
          <cell r="D6095"/>
          <cell r="E6095"/>
          <cell r="F6095"/>
          <cell r="G6095"/>
          <cell r="H6095"/>
          <cell r="I6095"/>
          <cell r="J6095"/>
          <cell r="L6095"/>
        </row>
        <row r="6096">
          <cell r="A6096"/>
          <cell r="D6096"/>
          <cell r="E6096"/>
          <cell r="F6096"/>
          <cell r="G6096"/>
          <cell r="H6096"/>
          <cell r="I6096"/>
          <cell r="J6096"/>
          <cell r="L6096"/>
        </row>
        <row r="6097">
          <cell r="A6097"/>
          <cell r="D6097"/>
          <cell r="E6097"/>
          <cell r="F6097"/>
          <cell r="G6097"/>
          <cell r="H6097"/>
          <cell r="I6097"/>
          <cell r="J6097"/>
          <cell r="L6097"/>
        </row>
        <row r="6098">
          <cell r="A6098"/>
          <cell r="D6098"/>
          <cell r="E6098"/>
          <cell r="F6098"/>
          <cell r="G6098"/>
          <cell r="H6098"/>
          <cell r="I6098"/>
          <cell r="J6098"/>
          <cell r="L6098"/>
        </row>
        <row r="6099">
          <cell r="A6099"/>
          <cell r="D6099"/>
          <cell r="E6099"/>
          <cell r="F6099"/>
          <cell r="G6099"/>
          <cell r="H6099"/>
          <cell r="I6099"/>
          <cell r="J6099"/>
          <cell r="L6099"/>
        </row>
        <row r="6100">
          <cell r="A6100"/>
          <cell r="D6100"/>
          <cell r="E6100"/>
          <cell r="F6100"/>
          <cell r="G6100"/>
          <cell r="H6100"/>
          <cell r="I6100"/>
          <cell r="J6100"/>
          <cell r="L6100"/>
        </row>
        <row r="6101">
          <cell r="A6101"/>
          <cell r="D6101"/>
          <cell r="E6101"/>
          <cell r="F6101"/>
          <cell r="G6101"/>
          <cell r="H6101"/>
          <cell r="I6101"/>
          <cell r="J6101"/>
          <cell r="L6101"/>
        </row>
        <row r="6102">
          <cell r="A6102"/>
          <cell r="D6102"/>
          <cell r="E6102"/>
          <cell r="F6102"/>
          <cell r="G6102"/>
          <cell r="H6102"/>
          <cell r="I6102"/>
          <cell r="J6102"/>
          <cell r="L6102"/>
        </row>
        <row r="6103">
          <cell r="A6103"/>
          <cell r="D6103"/>
          <cell r="E6103"/>
          <cell r="F6103"/>
          <cell r="G6103"/>
          <cell r="H6103"/>
          <cell r="I6103"/>
          <cell r="J6103"/>
          <cell r="L6103"/>
        </row>
        <row r="6104">
          <cell r="A6104"/>
          <cell r="D6104"/>
          <cell r="E6104"/>
          <cell r="F6104"/>
          <cell r="G6104"/>
          <cell r="H6104"/>
          <cell r="I6104"/>
          <cell r="J6104"/>
          <cell r="L6104"/>
        </row>
        <row r="6105">
          <cell r="A6105"/>
          <cell r="D6105"/>
          <cell r="E6105"/>
          <cell r="F6105"/>
          <cell r="G6105"/>
          <cell r="H6105"/>
          <cell r="I6105"/>
          <cell r="J6105"/>
          <cell r="L6105"/>
        </row>
        <row r="6106">
          <cell r="A6106"/>
          <cell r="D6106"/>
          <cell r="E6106"/>
          <cell r="F6106"/>
          <cell r="G6106"/>
          <cell r="H6106"/>
          <cell r="I6106"/>
          <cell r="J6106"/>
          <cell r="L6106"/>
        </row>
        <row r="6107">
          <cell r="A6107"/>
          <cell r="D6107"/>
          <cell r="E6107"/>
          <cell r="F6107"/>
          <cell r="G6107"/>
          <cell r="H6107"/>
          <cell r="I6107"/>
          <cell r="J6107"/>
          <cell r="L6107"/>
        </row>
        <row r="6108">
          <cell r="A6108"/>
          <cell r="D6108"/>
          <cell r="E6108"/>
          <cell r="F6108"/>
          <cell r="G6108"/>
          <cell r="H6108"/>
          <cell r="I6108"/>
          <cell r="J6108"/>
          <cell r="L6108"/>
        </row>
        <row r="6109">
          <cell r="A6109"/>
          <cell r="D6109"/>
          <cell r="E6109"/>
          <cell r="F6109"/>
          <cell r="G6109"/>
          <cell r="H6109"/>
          <cell r="I6109"/>
          <cell r="J6109"/>
          <cell r="L6109"/>
        </row>
        <row r="6110">
          <cell r="A6110"/>
          <cell r="D6110"/>
          <cell r="E6110"/>
          <cell r="F6110"/>
          <cell r="G6110"/>
          <cell r="H6110"/>
          <cell r="I6110"/>
          <cell r="J6110"/>
          <cell r="L6110"/>
        </row>
        <row r="6111">
          <cell r="A6111"/>
          <cell r="D6111"/>
          <cell r="E6111"/>
          <cell r="F6111"/>
          <cell r="G6111"/>
          <cell r="H6111"/>
          <cell r="I6111"/>
          <cell r="J6111"/>
          <cell r="L6111"/>
        </row>
        <row r="6112">
          <cell r="A6112"/>
          <cell r="D6112"/>
          <cell r="E6112"/>
          <cell r="F6112"/>
          <cell r="G6112"/>
          <cell r="H6112"/>
          <cell r="I6112"/>
          <cell r="J6112"/>
          <cell r="L6112"/>
        </row>
        <row r="6113">
          <cell r="A6113"/>
          <cell r="D6113"/>
          <cell r="E6113"/>
          <cell r="F6113"/>
          <cell r="G6113"/>
          <cell r="H6113"/>
          <cell r="I6113"/>
          <cell r="J6113"/>
          <cell r="L6113"/>
        </row>
        <row r="6114">
          <cell r="A6114"/>
          <cell r="D6114"/>
          <cell r="E6114"/>
          <cell r="F6114"/>
          <cell r="G6114"/>
          <cell r="H6114"/>
          <cell r="I6114"/>
          <cell r="J6114"/>
          <cell r="L6114"/>
        </row>
        <row r="6115">
          <cell r="A6115"/>
          <cell r="D6115"/>
          <cell r="E6115"/>
          <cell r="F6115"/>
          <cell r="G6115"/>
          <cell r="H6115"/>
          <cell r="I6115"/>
          <cell r="J6115"/>
          <cell r="L6115"/>
        </row>
        <row r="6116">
          <cell r="A6116"/>
          <cell r="D6116"/>
          <cell r="E6116"/>
          <cell r="F6116"/>
          <cell r="G6116"/>
          <cell r="H6116"/>
          <cell r="I6116"/>
          <cell r="J6116"/>
          <cell r="L6116"/>
        </row>
        <row r="6117">
          <cell r="A6117"/>
          <cell r="D6117"/>
          <cell r="E6117"/>
          <cell r="F6117"/>
          <cell r="G6117"/>
          <cell r="H6117"/>
          <cell r="I6117"/>
          <cell r="J6117"/>
          <cell r="L6117"/>
        </row>
        <row r="6118">
          <cell r="A6118"/>
          <cell r="D6118"/>
          <cell r="E6118"/>
          <cell r="F6118"/>
          <cell r="G6118"/>
          <cell r="H6118"/>
          <cell r="I6118"/>
          <cell r="J6118"/>
          <cell r="L6118"/>
        </row>
        <row r="6119">
          <cell r="A6119"/>
          <cell r="D6119"/>
          <cell r="E6119"/>
          <cell r="F6119"/>
          <cell r="G6119"/>
          <cell r="H6119"/>
          <cell r="I6119"/>
          <cell r="J6119"/>
          <cell r="L6119"/>
        </row>
        <row r="6120">
          <cell r="A6120"/>
          <cell r="D6120"/>
          <cell r="E6120"/>
          <cell r="F6120"/>
          <cell r="G6120"/>
          <cell r="H6120"/>
          <cell r="I6120"/>
          <cell r="J6120"/>
          <cell r="L6120"/>
        </row>
        <row r="6121">
          <cell r="A6121"/>
          <cell r="D6121"/>
          <cell r="E6121"/>
          <cell r="F6121"/>
          <cell r="G6121"/>
          <cell r="H6121"/>
          <cell r="I6121"/>
          <cell r="J6121"/>
          <cell r="L6121"/>
        </row>
        <row r="6122">
          <cell r="A6122"/>
          <cell r="D6122"/>
          <cell r="E6122"/>
          <cell r="F6122"/>
          <cell r="G6122"/>
          <cell r="H6122"/>
          <cell r="I6122"/>
          <cell r="J6122"/>
          <cell r="L6122"/>
        </row>
        <row r="6123">
          <cell r="A6123"/>
          <cell r="D6123"/>
          <cell r="E6123"/>
          <cell r="F6123"/>
          <cell r="G6123"/>
          <cell r="H6123"/>
          <cell r="I6123"/>
          <cell r="J6123"/>
          <cell r="L6123"/>
        </row>
        <row r="6124">
          <cell r="A6124"/>
          <cell r="D6124"/>
          <cell r="E6124"/>
          <cell r="F6124"/>
          <cell r="G6124"/>
          <cell r="H6124"/>
          <cell r="I6124"/>
          <cell r="J6124"/>
          <cell r="L6124"/>
        </row>
        <row r="6125">
          <cell r="A6125"/>
          <cell r="D6125"/>
          <cell r="E6125"/>
          <cell r="F6125"/>
          <cell r="G6125"/>
          <cell r="H6125"/>
          <cell r="I6125"/>
          <cell r="J6125"/>
          <cell r="L6125"/>
        </row>
        <row r="6126">
          <cell r="A6126"/>
          <cell r="D6126"/>
          <cell r="E6126"/>
          <cell r="F6126"/>
          <cell r="G6126"/>
          <cell r="H6126"/>
          <cell r="I6126"/>
          <cell r="J6126"/>
          <cell r="L6126"/>
        </row>
        <row r="6127">
          <cell r="A6127"/>
          <cell r="D6127"/>
          <cell r="E6127"/>
          <cell r="F6127"/>
          <cell r="G6127"/>
          <cell r="H6127"/>
          <cell r="I6127"/>
          <cell r="J6127"/>
          <cell r="L6127"/>
        </row>
        <row r="6128">
          <cell r="A6128"/>
          <cell r="D6128"/>
          <cell r="E6128"/>
          <cell r="F6128"/>
          <cell r="G6128"/>
          <cell r="H6128"/>
          <cell r="I6128"/>
          <cell r="J6128"/>
          <cell r="L6128"/>
        </row>
        <row r="6129">
          <cell r="A6129"/>
          <cell r="D6129"/>
          <cell r="E6129"/>
          <cell r="F6129"/>
          <cell r="G6129"/>
          <cell r="H6129"/>
          <cell r="I6129"/>
          <cell r="J6129"/>
          <cell r="L6129"/>
        </row>
        <row r="6130">
          <cell r="A6130"/>
          <cell r="D6130"/>
          <cell r="E6130"/>
          <cell r="F6130"/>
          <cell r="G6130"/>
          <cell r="H6130"/>
          <cell r="I6130"/>
          <cell r="J6130"/>
          <cell r="L6130"/>
        </row>
        <row r="6131">
          <cell r="A6131"/>
          <cell r="D6131"/>
          <cell r="E6131"/>
          <cell r="F6131"/>
          <cell r="G6131"/>
          <cell r="H6131"/>
          <cell r="I6131"/>
          <cell r="J6131"/>
          <cell r="L6131"/>
        </row>
        <row r="6132">
          <cell r="A6132"/>
          <cell r="D6132"/>
          <cell r="E6132"/>
          <cell r="F6132"/>
          <cell r="G6132"/>
          <cell r="H6132"/>
          <cell r="I6132"/>
          <cell r="J6132"/>
          <cell r="L6132"/>
        </row>
        <row r="6133">
          <cell r="A6133"/>
          <cell r="D6133"/>
          <cell r="E6133"/>
          <cell r="F6133"/>
          <cell r="G6133"/>
          <cell r="H6133"/>
          <cell r="I6133"/>
          <cell r="J6133"/>
          <cell r="L6133"/>
        </row>
        <row r="6134">
          <cell r="A6134"/>
          <cell r="D6134"/>
          <cell r="E6134"/>
          <cell r="F6134"/>
          <cell r="G6134"/>
          <cell r="H6134"/>
          <cell r="I6134"/>
          <cell r="J6134"/>
          <cell r="L6134"/>
        </row>
        <row r="6135">
          <cell r="A6135"/>
          <cell r="D6135"/>
          <cell r="E6135"/>
          <cell r="F6135"/>
          <cell r="G6135"/>
          <cell r="H6135"/>
          <cell r="I6135"/>
          <cell r="J6135"/>
          <cell r="L6135"/>
        </row>
        <row r="6136">
          <cell r="A6136"/>
          <cell r="D6136"/>
          <cell r="E6136"/>
          <cell r="F6136"/>
          <cell r="G6136"/>
          <cell r="H6136"/>
          <cell r="I6136"/>
          <cell r="J6136"/>
          <cell r="L6136"/>
        </row>
        <row r="6137">
          <cell r="A6137"/>
          <cell r="D6137"/>
          <cell r="E6137"/>
          <cell r="F6137"/>
          <cell r="G6137"/>
          <cell r="H6137"/>
          <cell r="I6137"/>
          <cell r="J6137"/>
          <cell r="L6137"/>
        </row>
        <row r="6138">
          <cell r="A6138"/>
          <cell r="D6138"/>
          <cell r="E6138"/>
          <cell r="F6138"/>
          <cell r="G6138"/>
          <cell r="H6138"/>
          <cell r="I6138"/>
          <cell r="J6138"/>
          <cell r="L6138"/>
        </row>
        <row r="6139">
          <cell r="A6139"/>
          <cell r="D6139"/>
          <cell r="E6139"/>
          <cell r="F6139"/>
          <cell r="G6139"/>
          <cell r="H6139"/>
          <cell r="I6139"/>
          <cell r="J6139"/>
          <cell r="L6139"/>
        </row>
        <row r="6140">
          <cell r="A6140"/>
          <cell r="D6140"/>
          <cell r="E6140"/>
          <cell r="F6140"/>
          <cell r="G6140"/>
          <cell r="H6140"/>
          <cell r="I6140"/>
          <cell r="J6140"/>
          <cell r="L6140"/>
        </row>
        <row r="6141">
          <cell r="A6141"/>
          <cell r="D6141"/>
          <cell r="E6141"/>
          <cell r="F6141"/>
          <cell r="G6141"/>
          <cell r="H6141"/>
          <cell r="I6141"/>
          <cell r="J6141"/>
          <cell r="L6141"/>
        </row>
        <row r="6142">
          <cell r="A6142"/>
          <cell r="D6142"/>
          <cell r="E6142"/>
          <cell r="F6142"/>
          <cell r="G6142"/>
          <cell r="H6142"/>
          <cell r="I6142"/>
          <cell r="J6142"/>
          <cell r="L6142"/>
        </row>
        <row r="6143">
          <cell r="A6143"/>
          <cell r="D6143"/>
          <cell r="E6143"/>
          <cell r="F6143"/>
          <cell r="G6143"/>
          <cell r="H6143"/>
          <cell r="I6143"/>
          <cell r="J6143"/>
          <cell r="L6143"/>
        </row>
        <row r="6144">
          <cell r="A6144"/>
          <cell r="D6144"/>
          <cell r="E6144"/>
          <cell r="F6144"/>
          <cell r="G6144"/>
          <cell r="H6144"/>
          <cell r="I6144"/>
          <cell r="J6144"/>
          <cell r="L6144"/>
        </row>
        <row r="6145">
          <cell r="A6145"/>
          <cell r="D6145"/>
          <cell r="E6145"/>
          <cell r="F6145"/>
          <cell r="G6145"/>
          <cell r="H6145"/>
          <cell r="I6145"/>
          <cell r="J6145"/>
          <cell r="L6145"/>
        </row>
        <row r="6146">
          <cell r="A6146"/>
          <cell r="D6146"/>
          <cell r="E6146"/>
          <cell r="F6146"/>
          <cell r="G6146"/>
          <cell r="H6146"/>
          <cell r="I6146"/>
          <cell r="J6146"/>
          <cell r="L6146"/>
        </row>
        <row r="6147">
          <cell r="A6147"/>
          <cell r="D6147"/>
          <cell r="E6147"/>
          <cell r="F6147"/>
          <cell r="G6147"/>
          <cell r="H6147"/>
          <cell r="I6147"/>
          <cell r="J6147"/>
          <cell r="L6147"/>
        </row>
        <row r="6148">
          <cell r="A6148"/>
          <cell r="D6148"/>
          <cell r="E6148"/>
          <cell r="F6148"/>
          <cell r="G6148"/>
          <cell r="H6148"/>
          <cell r="I6148"/>
          <cell r="J6148"/>
          <cell r="L6148"/>
        </row>
        <row r="6149">
          <cell r="A6149"/>
          <cell r="D6149"/>
          <cell r="E6149"/>
          <cell r="F6149"/>
          <cell r="G6149"/>
          <cell r="H6149"/>
          <cell r="I6149"/>
          <cell r="J6149"/>
          <cell r="L6149"/>
        </row>
        <row r="6150">
          <cell r="A6150"/>
          <cell r="D6150"/>
          <cell r="E6150"/>
          <cell r="F6150"/>
          <cell r="G6150"/>
          <cell r="H6150"/>
          <cell r="I6150"/>
          <cell r="J6150"/>
          <cell r="L6150"/>
        </row>
        <row r="6151">
          <cell r="A6151"/>
          <cell r="D6151"/>
          <cell r="E6151"/>
          <cell r="F6151"/>
          <cell r="G6151"/>
          <cell r="H6151"/>
          <cell r="I6151"/>
          <cell r="J6151"/>
          <cell r="L6151"/>
        </row>
        <row r="6152">
          <cell r="A6152"/>
          <cell r="D6152"/>
          <cell r="E6152"/>
          <cell r="F6152"/>
          <cell r="G6152"/>
          <cell r="H6152"/>
          <cell r="I6152"/>
          <cell r="J6152"/>
          <cell r="L6152"/>
        </row>
        <row r="6153">
          <cell r="A6153"/>
          <cell r="D6153"/>
          <cell r="E6153"/>
          <cell r="F6153"/>
          <cell r="G6153"/>
          <cell r="H6153"/>
          <cell r="I6153"/>
          <cell r="J6153"/>
          <cell r="L6153"/>
        </row>
        <row r="6154">
          <cell r="A6154"/>
          <cell r="D6154"/>
          <cell r="E6154"/>
          <cell r="F6154"/>
          <cell r="G6154"/>
          <cell r="H6154"/>
          <cell r="I6154"/>
          <cell r="J6154"/>
          <cell r="L6154"/>
        </row>
        <row r="6155">
          <cell r="A6155"/>
          <cell r="D6155"/>
          <cell r="E6155"/>
          <cell r="F6155"/>
          <cell r="G6155"/>
          <cell r="H6155"/>
          <cell r="I6155"/>
          <cell r="J6155"/>
          <cell r="L6155"/>
        </row>
        <row r="6156">
          <cell r="A6156"/>
          <cell r="D6156"/>
          <cell r="E6156"/>
          <cell r="F6156"/>
          <cell r="G6156"/>
          <cell r="H6156"/>
          <cell r="I6156"/>
          <cell r="J6156"/>
          <cell r="L6156"/>
        </row>
        <row r="6157">
          <cell r="A6157"/>
          <cell r="D6157"/>
          <cell r="E6157"/>
          <cell r="F6157"/>
          <cell r="G6157"/>
          <cell r="H6157"/>
          <cell r="I6157"/>
          <cell r="J6157"/>
          <cell r="L6157"/>
        </row>
        <row r="6158">
          <cell r="A6158"/>
          <cell r="D6158"/>
          <cell r="E6158"/>
          <cell r="F6158"/>
          <cell r="G6158"/>
          <cell r="H6158"/>
          <cell r="I6158"/>
          <cell r="J6158"/>
          <cell r="L6158"/>
        </row>
        <row r="6159">
          <cell r="A6159"/>
          <cell r="D6159"/>
          <cell r="E6159"/>
          <cell r="F6159"/>
          <cell r="G6159"/>
          <cell r="H6159"/>
          <cell r="I6159"/>
          <cell r="J6159"/>
          <cell r="L6159"/>
        </row>
        <row r="6160">
          <cell r="A6160"/>
          <cell r="D6160"/>
          <cell r="E6160"/>
          <cell r="F6160"/>
          <cell r="G6160"/>
          <cell r="H6160"/>
          <cell r="I6160"/>
          <cell r="J6160"/>
          <cell r="L6160"/>
        </row>
        <row r="6161">
          <cell r="A6161"/>
          <cell r="D6161"/>
          <cell r="E6161"/>
          <cell r="F6161"/>
          <cell r="G6161"/>
          <cell r="H6161"/>
          <cell r="I6161"/>
          <cell r="J6161"/>
          <cell r="L6161"/>
        </row>
        <row r="6162">
          <cell r="A6162"/>
          <cell r="D6162"/>
          <cell r="E6162"/>
          <cell r="F6162"/>
          <cell r="G6162"/>
          <cell r="H6162"/>
          <cell r="I6162"/>
          <cell r="J6162"/>
          <cell r="L6162"/>
        </row>
        <row r="6163">
          <cell r="A6163"/>
          <cell r="D6163"/>
          <cell r="E6163"/>
          <cell r="F6163"/>
          <cell r="G6163"/>
          <cell r="H6163"/>
          <cell r="I6163"/>
          <cell r="J6163"/>
          <cell r="L6163"/>
        </row>
        <row r="6164">
          <cell r="A6164"/>
          <cell r="D6164"/>
          <cell r="E6164"/>
          <cell r="F6164"/>
          <cell r="G6164"/>
          <cell r="H6164"/>
          <cell r="I6164"/>
          <cell r="J6164"/>
          <cell r="L6164"/>
        </row>
        <row r="6165">
          <cell r="A6165"/>
          <cell r="D6165"/>
          <cell r="E6165"/>
          <cell r="F6165"/>
          <cell r="G6165"/>
          <cell r="H6165"/>
          <cell r="I6165"/>
          <cell r="J6165"/>
          <cell r="L6165"/>
        </row>
        <row r="6166">
          <cell r="A6166"/>
          <cell r="D6166"/>
          <cell r="E6166"/>
          <cell r="F6166"/>
          <cell r="G6166"/>
          <cell r="H6166"/>
          <cell r="I6166"/>
          <cell r="J6166"/>
          <cell r="L6166"/>
        </row>
        <row r="6167">
          <cell r="A6167"/>
          <cell r="D6167"/>
          <cell r="E6167"/>
          <cell r="F6167"/>
          <cell r="G6167"/>
          <cell r="H6167"/>
          <cell r="I6167"/>
          <cell r="J6167"/>
          <cell r="L6167"/>
        </row>
        <row r="6168">
          <cell r="A6168"/>
          <cell r="D6168"/>
          <cell r="E6168"/>
          <cell r="F6168"/>
          <cell r="G6168"/>
          <cell r="H6168"/>
          <cell r="I6168"/>
          <cell r="J6168"/>
          <cell r="L6168"/>
        </row>
        <row r="6169">
          <cell r="A6169"/>
          <cell r="D6169"/>
          <cell r="E6169"/>
          <cell r="F6169"/>
          <cell r="G6169"/>
          <cell r="H6169"/>
          <cell r="I6169"/>
          <cell r="J6169"/>
          <cell r="L6169"/>
        </row>
        <row r="6170">
          <cell r="A6170"/>
          <cell r="D6170"/>
          <cell r="E6170"/>
          <cell r="F6170"/>
          <cell r="G6170"/>
          <cell r="H6170"/>
          <cell r="I6170"/>
          <cell r="J6170"/>
          <cell r="L6170"/>
        </row>
        <row r="6171">
          <cell r="A6171"/>
          <cell r="D6171"/>
          <cell r="E6171"/>
          <cell r="F6171"/>
          <cell r="G6171"/>
          <cell r="H6171"/>
          <cell r="I6171"/>
          <cell r="J6171"/>
          <cell r="L6171"/>
        </row>
        <row r="6172">
          <cell r="A6172"/>
          <cell r="D6172"/>
          <cell r="E6172"/>
          <cell r="F6172"/>
          <cell r="G6172"/>
          <cell r="H6172"/>
          <cell r="I6172"/>
          <cell r="J6172"/>
          <cell r="L6172"/>
        </row>
        <row r="6173">
          <cell r="A6173"/>
          <cell r="D6173"/>
          <cell r="E6173"/>
          <cell r="F6173"/>
          <cell r="G6173"/>
          <cell r="H6173"/>
          <cell r="I6173"/>
          <cell r="J6173"/>
          <cell r="L6173"/>
        </row>
        <row r="6174">
          <cell r="A6174"/>
          <cell r="D6174"/>
          <cell r="E6174"/>
          <cell r="F6174"/>
          <cell r="G6174"/>
          <cell r="H6174"/>
          <cell r="I6174"/>
          <cell r="J6174"/>
          <cell r="L6174"/>
        </row>
        <row r="6175">
          <cell r="A6175"/>
          <cell r="D6175"/>
          <cell r="E6175"/>
          <cell r="F6175"/>
          <cell r="G6175"/>
          <cell r="H6175"/>
          <cell r="I6175"/>
          <cell r="J6175"/>
          <cell r="L6175"/>
        </row>
        <row r="6176">
          <cell r="A6176"/>
          <cell r="D6176"/>
          <cell r="E6176"/>
          <cell r="F6176"/>
          <cell r="G6176"/>
          <cell r="H6176"/>
          <cell r="I6176"/>
          <cell r="J6176"/>
          <cell r="L6176"/>
        </row>
        <row r="6177">
          <cell r="A6177"/>
          <cell r="D6177"/>
          <cell r="E6177"/>
          <cell r="F6177"/>
          <cell r="G6177"/>
          <cell r="H6177"/>
          <cell r="I6177"/>
          <cell r="J6177"/>
          <cell r="L6177"/>
        </row>
        <row r="6178">
          <cell r="A6178"/>
          <cell r="D6178"/>
          <cell r="E6178"/>
          <cell r="F6178"/>
          <cell r="G6178"/>
          <cell r="H6178"/>
          <cell r="I6178"/>
          <cell r="J6178"/>
          <cell r="L6178"/>
        </row>
        <row r="6179">
          <cell r="A6179"/>
          <cell r="D6179"/>
          <cell r="E6179"/>
          <cell r="F6179"/>
          <cell r="G6179"/>
          <cell r="H6179"/>
          <cell r="I6179"/>
          <cell r="J6179"/>
          <cell r="L6179"/>
        </row>
        <row r="6180">
          <cell r="A6180"/>
          <cell r="D6180"/>
          <cell r="E6180"/>
          <cell r="F6180"/>
          <cell r="G6180"/>
          <cell r="H6180"/>
          <cell r="I6180"/>
          <cell r="J6180"/>
          <cell r="L6180"/>
        </row>
        <row r="6181">
          <cell r="A6181"/>
          <cell r="D6181"/>
          <cell r="E6181"/>
          <cell r="F6181"/>
          <cell r="G6181"/>
          <cell r="H6181"/>
          <cell r="I6181"/>
          <cell r="J6181"/>
          <cell r="L6181"/>
        </row>
        <row r="6182">
          <cell r="A6182"/>
          <cell r="D6182"/>
          <cell r="E6182"/>
          <cell r="F6182"/>
          <cell r="G6182"/>
          <cell r="H6182"/>
          <cell r="I6182"/>
          <cell r="J6182"/>
          <cell r="L6182"/>
        </row>
        <row r="6183">
          <cell r="A6183"/>
          <cell r="D6183"/>
          <cell r="E6183"/>
          <cell r="F6183"/>
          <cell r="G6183"/>
          <cell r="H6183"/>
          <cell r="I6183"/>
          <cell r="J6183"/>
          <cell r="L6183"/>
        </row>
        <row r="6184">
          <cell r="A6184"/>
          <cell r="D6184"/>
          <cell r="E6184"/>
          <cell r="F6184"/>
          <cell r="G6184"/>
          <cell r="H6184"/>
          <cell r="I6184"/>
          <cell r="J6184"/>
          <cell r="L6184"/>
        </row>
        <row r="6185">
          <cell r="A6185"/>
          <cell r="D6185"/>
          <cell r="E6185"/>
          <cell r="F6185"/>
          <cell r="G6185"/>
          <cell r="H6185"/>
          <cell r="I6185"/>
          <cell r="J6185"/>
          <cell r="L6185"/>
        </row>
        <row r="6186">
          <cell r="A6186"/>
          <cell r="D6186"/>
          <cell r="E6186"/>
          <cell r="F6186"/>
          <cell r="G6186"/>
          <cell r="H6186"/>
          <cell r="I6186"/>
          <cell r="J6186"/>
          <cell r="L6186"/>
        </row>
        <row r="6187">
          <cell r="A6187"/>
          <cell r="D6187"/>
          <cell r="E6187"/>
          <cell r="F6187"/>
          <cell r="G6187"/>
          <cell r="H6187"/>
          <cell r="I6187"/>
          <cell r="J6187"/>
          <cell r="L6187"/>
        </row>
        <row r="6188">
          <cell r="A6188"/>
          <cell r="D6188"/>
          <cell r="E6188"/>
          <cell r="F6188"/>
          <cell r="G6188"/>
          <cell r="H6188"/>
          <cell r="I6188"/>
          <cell r="J6188"/>
          <cell r="L6188"/>
        </row>
        <row r="6189">
          <cell r="A6189"/>
          <cell r="D6189"/>
          <cell r="E6189"/>
          <cell r="F6189"/>
          <cell r="G6189"/>
          <cell r="H6189"/>
          <cell r="I6189"/>
          <cell r="J6189"/>
          <cell r="L6189"/>
        </row>
        <row r="6190">
          <cell r="A6190"/>
          <cell r="D6190"/>
          <cell r="E6190"/>
          <cell r="F6190"/>
          <cell r="G6190"/>
          <cell r="H6190"/>
          <cell r="I6190"/>
          <cell r="J6190"/>
          <cell r="L6190"/>
        </row>
        <row r="6191">
          <cell r="A6191"/>
          <cell r="D6191"/>
          <cell r="E6191"/>
          <cell r="F6191"/>
          <cell r="G6191"/>
          <cell r="H6191"/>
          <cell r="I6191"/>
          <cell r="J6191"/>
          <cell r="L6191"/>
        </row>
        <row r="6192">
          <cell r="A6192"/>
          <cell r="D6192"/>
          <cell r="E6192"/>
          <cell r="F6192"/>
          <cell r="G6192"/>
          <cell r="H6192"/>
          <cell r="I6192"/>
          <cell r="J6192"/>
          <cell r="L6192"/>
        </row>
        <row r="6193">
          <cell r="A6193"/>
          <cell r="D6193"/>
          <cell r="E6193"/>
          <cell r="F6193"/>
          <cell r="G6193"/>
          <cell r="H6193"/>
          <cell r="I6193"/>
          <cell r="J6193"/>
          <cell r="L6193"/>
        </row>
        <row r="6194">
          <cell r="A6194"/>
          <cell r="D6194"/>
          <cell r="E6194"/>
          <cell r="F6194"/>
          <cell r="G6194"/>
          <cell r="H6194"/>
          <cell r="I6194"/>
          <cell r="J6194"/>
          <cell r="L6194"/>
        </row>
        <row r="6195">
          <cell r="A6195"/>
          <cell r="D6195"/>
          <cell r="E6195"/>
          <cell r="F6195"/>
          <cell r="G6195"/>
          <cell r="H6195"/>
          <cell r="I6195"/>
          <cell r="J6195"/>
          <cell r="L6195"/>
        </row>
        <row r="6196">
          <cell r="A6196"/>
          <cell r="D6196"/>
          <cell r="E6196"/>
          <cell r="F6196"/>
          <cell r="G6196"/>
          <cell r="H6196"/>
          <cell r="I6196"/>
          <cell r="J6196"/>
          <cell r="L6196"/>
        </row>
        <row r="6197">
          <cell r="A6197"/>
          <cell r="D6197"/>
          <cell r="E6197"/>
          <cell r="F6197"/>
          <cell r="G6197"/>
          <cell r="H6197"/>
          <cell r="I6197"/>
          <cell r="J6197"/>
          <cell r="L6197"/>
        </row>
        <row r="6198">
          <cell r="A6198"/>
          <cell r="D6198"/>
          <cell r="E6198"/>
          <cell r="F6198"/>
          <cell r="G6198"/>
          <cell r="H6198"/>
          <cell r="I6198"/>
          <cell r="J6198"/>
          <cell r="L6198"/>
        </row>
        <row r="6199">
          <cell r="A6199"/>
          <cell r="D6199"/>
          <cell r="E6199"/>
          <cell r="F6199"/>
          <cell r="G6199"/>
          <cell r="H6199"/>
          <cell r="I6199"/>
          <cell r="J6199"/>
          <cell r="L6199"/>
        </row>
        <row r="6200">
          <cell r="A6200"/>
          <cell r="D6200"/>
          <cell r="E6200"/>
          <cell r="F6200"/>
          <cell r="G6200"/>
          <cell r="H6200"/>
          <cell r="I6200"/>
          <cell r="J6200"/>
          <cell r="L6200"/>
        </row>
        <row r="6201">
          <cell r="A6201"/>
          <cell r="D6201"/>
          <cell r="E6201"/>
          <cell r="F6201"/>
          <cell r="G6201"/>
          <cell r="H6201"/>
          <cell r="I6201"/>
          <cell r="J6201"/>
          <cell r="L6201"/>
        </row>
        <row r="6202">
          <cell r="A6202"/>
          <cell r="D6202"/>
          <cell r="E6202"/>
          <cell r="F6202"/>
          <cell r="G6202"/>
          <cell r="H6202"/>
          <cell r="I6202"/>
          <cell r="J6202"/>
          <cell r="L6202"/>
        </row>
        <row r="6203">
          <cell r="A6203"/>
          <cell r="D6203"/>
          <cell r="E6203"/>
          <cell r="F6203"/>
          <cell r="G6203"/>
          <cell r="H6203"/>
          <cell r="I6203"/>
          <cell r="J6203"/>
          <cell r="L6203"/>
        </row>
        <row r="6204">
          <cell r="A6204"/>
          <cell r="D6204"/>
          <cell r="E6204"/>
          <cell r="F6204"/>
          <cell r="G6204"/>
          <cell r="H6204"/>
          <cell r="I6204"/>
          <cell r="J6204"/>
          <cell r="L6204"/>
        </row>
        <row r="6205">
          <cell r="A6205"/>
          <cell r="D6205"/>
          <cell r="E6205"/>
          <cell r="F6205"/>
          <cell r="G6205"/>
          <cell r="H6205"/>
          <cell r="I6205"/>
          <cell r="J6205"/>
          <cell r="L6205"/>
        </row>
        <row r="6206">
          <cell r="A6206"/>
          <cell r="D6206"/>
          <cell r="E6206"/>
          <cell r="F6206"/>
          <cell r="G6206"/>
          <cell r="H6206"/>
          <cell r="I6206"/>
          <cell r="J6206"/>
          <cell r="L6206"/>
        </row>
        <row r="6207">
          <cell r="A6207"/>
          <cell r="D6207"/>
          <cell r="E6207"/>
          <cell r="F6207"/>
          <cell r="G6207"/>
          <cell r="H6207"/>
          <cell r="I6207"/>
          <cell r="J6207"/>
          <cell r="L6207"/>
        </row>
        <row r="6208">
          <cell r="A6208"/>
          <cell r="D6208"/>
          <cell r="E6208"/>
          <cell r="F6208"/>
          <cell r="G6208"/>
          <cell r="H6208"/>
          <cell r="I6208"/>
          <cell r="J6208"/>
          <cell r="L6208"/>
        </row>
        <row r="6209">
          <cell r="A6209"/>
          <cell r="D6209"/>
          <cell r="E6209"/>
          <cell r="F6209"/>
          <cell r="G6209"/>
          <cell r="H6209"/>
          <cell r="I6209"/>
          <cell r="J6209"/>
          <cell r="L6209"/>
        </row>
        <row r="6210">
          <cell r="A6210"/>
          <cell r="D6210"/>
          <cell r="E6210"/>
          <cell r="F6210"/>
          <cell r="G6210"/>
          <cell r="H6210"/>
          <cell r="I6210"/>
          <cell r="J6210"/>
          <cell r="L6210"/>
        </row>
        <row r="6211">
          <cell r="A6211"/>
          <cell r="D6211"/>
          <cell r="E6211"/>
          <cell r="F6211"/>
          <cell r="G6211"/>
          <cell r="H6211"/>
          <cell r="I6211"/>
          <cell r="J6211"/>
          <cell r="L6211"/>
        </row>
        <row r="6212">
          <cell r="A6212"/>
          <cell r="D6212"/>
          <cell r="E6212"/>
          <cell r="F6212"/>
          <cell r="G6212"/>
          <cell r="H6212"/>
          <cell r="I6212"/>
          <cell r="J6212"/>
          <cell r="L6212"/>
        </row>
        <row r="6213">
          <cell r="A6213"/>
          <cell r="D6213"/>
          <cell r="E6213"/>
          <cell r="F6213"/>
          <cell r="G6213"/>
          <cell r="H6213"/>
          <cell r="I6213"/>
          <cell r="J6213"/>
          <cell r="L6213"/>
        </row>
        <row r="6214">
          <cell r="A6214"/>
          <cell r="D6214"/>
          <cell r="E6214"/>
          <cell r="F6214"/>
          <cell r="G6214"/>
          <cell r="H6214"/>
          <cell r="I6214"/>
          <cell r="J6214"/>
          <cell r="L6214"/>
        </row>
        <row r="6215">
          <cell r="A6215"/>
          <cell r="D6215"/>
          <cell r="E6215"/>
          <cell r="F6215"/>
          <cell r="G6215"/>
          <cell r="H6215"/>
          <cell r="I6215"/>
          <cell r="J6215"/>
          <cell r="L6215"/>
        </row>
        <row r="6216">
          <cell r="A6216"/>
          <cell r="D6216"/>
          <cell r="E6216"/>
          <cell r="F6216"/>
          <cell r="G6216"/>
          <cell r="H6216"/>
          <cell r="I6216"/>
          <cell r="J6216"/>
          <cell r="L6216"/>
        </row>
        <row r="6217">
          <cell r="A6217"/>
          <cell r="D6217"/>
          <cell r="E6217"/>
          <cell r="F6217"/>
          <cell r="G6217"/>
          <cell r="H6217"/>
          <cell r="I6217"/>
          <cell r="J6217"/>
          <cell r="L6217"/>
        </row>
        <row r="6218">
          <cell r="A6218"/>
          <cell r="D6218"/>
          <cell r="E6218"/>
          <cell r="F6218"/>
          <cell r="G6218"/>
          <cell r="H6218"/>
          <cell r="I6218"/>
          <cell r="J6218"/>
          <cell r="L6218"/>
        </row>
        <row r="6219">
          <cell r="A6219"/>
          <cell r="D6219"/>
          <cell r="E6219"/>
          <cell r="F6219"/>
          <cell r="G6219"/>
          <cell r="H6219"/>
          <cell r="I6219"/>
          <cell r="J6219"/>
          <cell r="L6219"/>
        </row>
        <row r="6220">
          <cell r="A6220"/>
          <cell r="D6220"/>
          <cell r="E6220"/>
          <cell r="F6220"/>
          <cell r="G6220"/>
          <cell r="H6220"/>
          <cell r="I6220"/>
          <cell r="J6220"/>
          <cell r="L6220"/>
        </row>
        <row r="6221">
          <cell r="A6221"/>
          <cell r="D6221"/>
          <cell r="E6221"/>
          <cell r="F6221"/>
          <cell r="G6221"/>
          <cell r="H6221"/>
          <cell r="I6221"/>
          <cell r="J6221"/>
          <cell r="L6221"/>
        </row>
        <row r="6222">
          <cell r="A6222"/>
          <cell r="D6222"/>
          <cell r="E6222"/>
          <cell r="F6222"/>
          <cell r="G6222"/>
          <cell r="H6222"/>
          <cell r="I6222"/>
          <cell r="J6222"/>
          <cell r="L6222"/>
        </row>
        <row r="6223">
          <cell r="A6223"/>
          <cell r="D6223"/>
          <cell r="E6223"/>
          <cell r="F6223"/>
          <cell r="G6223"/>
          <cell r="H6223"/>
          <cell r="I6223"/>
          <cell r="J6223"/>
          <cell r="L6223"/>
        </row>
        <row r="6224">
          <cell r="A6224"/>
          <cell r="D6224"/>
          <cell r="E6224"/>
          <cell r="F6224"/>
          <cell r="G6224"/>
          <cell r="H6224"/>
          <cell r="I6224"/>
          <cell r="J6224"/>
          <cell r="L6224"/>
        </row>
        <row r="6225">
          <cell r="A6225"/>
          <cell r="D6225"/>
          <cell r="E6225"/>
          <cell r="F6225"/>
          <cell r="G6225"/>
          <cell r="H6225"/>
          <cell r="I6225"/>
          <cell r="J6225"/>
          <cell r="L6225"/>
        </row>
        <row r="6226">
          <cell r="A6226"/>
          <cell r="D6226"/>
          <cell r="E6226"/>
          <cell r="F6226"/>
          <cell r="G6226"/>
          <cell r="H6226"/>
          <cell r="I6226"/>
          <cell r="J6226"/>
          <cell r="L6226"/>
        </row>
        <row r="6227">
          <cell r="A6227"/>
          <cell r="D6227"/>
          <cell r="E6227"/>
          <cell r="F6227"/>
          <cell r="G6227"/>
          <cell r="H6227"/>
          <cell r="I6227"/>
          <cell r="J6227"/>
          <cell r="L6227"/>
        </row>
        <row r="6228">
          <cell r="A6228"/>
          <cell r="D6228"/>
          <cell r="E6228"/>
          <cell r="F6228"/>
          <cell r="G6228"/>
          <cell r="H6228"/>
          <cell r="I6228"/>
          <cell r="J6228"/>
          <cell r="L6228"/>
        </row>
        <row r="6229">
          <cell r="A6229"/>
          <cell r="D6229"/>
          <cell r="E6229"/>
          <cell r="F6229"/>
          <cell r="G6229"/>
          <cell r="H6229"/>
          <cell r="I6229"/>
          <cell r="J6229"/>
          <cell r="L6229"/>
        </row>
        <row r="6230">
          <cell r="A6230"/>
          <cell r="D6230"/>
          <cell r="E6230"/>
          <cell r="F6230"/>
          <cell r="G6230"/>
          <cell r="H6230"/>
          <cell r="I6230"/>
          <cell r="J6230"/>
          <cell r="L6230"/>
        </row>
        <row r="6231">
          <cell r="A6231"/>
          <cell r="D6231"/>
          <cell r="E6231"/>
          <cell r="F6231"/>
          <cell r="G6231"/>
          <cell r="H6231"/>
          <cell r="I6231"/>
          <cell r="J6231"/>
          <cell r="L6231"/>
        </row>
        <row r="6232">
          <cell r="A6232"/>
          <cell r="D6232"/>
          <cell r="E6232"/>
          <cell r="F6232"/>
          <cell r="G6232"/>
          <cell r="H6232"/>
          <cell r="I6232"/>
          <cell r="J6232"/>
          <cell r="L6232"/>
        </row>
        <row r="6233">
          <cell r="A6233"/>
          <cell r="D6233"/>
          <cell r="E6233"/>
          <cell r="F6233"/>
          <cell r="G6233"/>
          <cell r="H6233"/>
          <cell r="I6233"/>
          <cell r="J6233"/>
          <cell r="L6233"/>
        </row>
        <row r="6234">
          <cell r="A6234"/>
          <cell r="D6234"/>
          <cell r="E6234"/>
          <cell r="F6234"/>
          <cell r="G6234"/>
          <cell r="H6234"/>
          <cell r="I6234"/>
          <cell r="J6234"/>
          <cell r="L6234"/>
        </row>
        <row r="6235">
          <cell r="A6235"/>
          <cell r="D6235"/>
          <cell r="E6235"/>
          <cell r="F6235"/>
          <cell r="G6235"/>
          <cell r="H6235"/>
          <cell r="I6235"/>
          <cell r="J6235"/>
          <cell r="L6235"/>
        </row>
        <row r="6236">
          <cell r="A6236"/>
          <cell r="D6236"/>
          <cell r="E6236"/>
          <cell r="F6236"/>
          <cell r="G6236"/>
          <cell r="H6236"/>
          <cell r="I6236"/>
          <cell r="J6236"/>
          <cell r="L6236"/>
        </row>
        <row r="6237">
          <cell r="A6237"/>
          <cell r="D6237"/>
          <cell r="E6237"/>
          <cell r="F6237"/>
          <cell r="G6237"/>
          <cell r="H6237"/>
          <cell r="I6237"/>
          <cell r="J6237"/>
          <cell r="L6237"/>
        </row>
        <row r="6238">
          <cell r="A6238"/>
          <cell r="D6238"/>
          <cell r="E6238"/>
          <cell r="F6238"/>
          <cell r="G6238"/>
          <cell r="H6238"/>
          <cell r="I6238"/>
          <cell r="J6238"/>
          <cell r="L6238"/>
        </row>
        <row r="6239">
          <cell r="A6239"/>
          <cell r="D6239"/>
          <cell r="E6239"/>
          <cell r="F6239"/>
          <cell r="G6239"/>
          <cell r="H6239"/>
          <cell r="I6239"/>
          <cell r="J6239"/>
          <cell r="L6239"/>
        </row>
        <row r="6240">
          <cell r="A6240"/>
          <cell r="D6240"/>
          <cell r="E6240"/>
          <cell r="F6240"/>
          <cell r="G6240"/>
          <cell r="H6240"/>
          <cell r="I6240"/>
          <cell r="J6240"/>
          <cell r="L6240"/>
        </row>
        <row r="6241">
          <cell r="A6241"/>
          <cell r="D6241"/>
          <cell r="E6241"/>
          <cell r="F6241"/>
          <cell r="G6241"/>
          <cell r="H6241"/>
          <cell r="I6241"/>
          <cell r="J6241"/>
          <cell r="L6241"/>
        </row>
        <row r="6242">
          <cell r="A6242"/>
          <cell r="D6242"/>
          <cell r="E6242"/>
          <cell r="F6242"/>
          <cell r="G6242"/>
          <cell r="H6242"/>
          <cell r="I6242"/>
          <cell r="J6242"/>
          <cell r="L6242"/>
        </row>
        <row r="6243">
          <cell r="A6243"/>
          <cell r="D6243"/>
          <cell r="E6243"/>
          <cell r="F6243"/>
          <cell r="G6243"/>
          <cell r="H6243"/>
          <cell r="I6243"/>
          <cell r="J6243"/>
          <cell r="L6243"/>
        </row>
        <row r="6244">
          <cell r="A6244"/>
          <cell r="D6244"/>
          <cell r="E6244"/>
          <cell r="F6244"/>
          <cell r="G6244"/>
          <cell r="H6244"/>
          <cell r="I6244"/>
          <cell r="J6244"/>
          <cell r="L6244"/>
        </row>
        <row r="6245">
          <cell r="A6245"/>
          <cell r="D6245"/>
          <cell r="E6245"/>
          <cell r="F6245"/>
          <cell r="G6245"/>
          <cell r="H6245"/>
          <cell r="I6245"/>
          <cell r="J6245"/>
          <cell r="L6245"/>
        </row>
        <row r="6246">
          <cell r="A6246"/>
          <cell r="D6246"/>
          <cell r="E6246"/>
          <cell r="F6246"/>
          <cell r="G6246"/>
          <cell r="H6246"/>
          <cell r="I6246"/>
          <cell r="J6246"/>
          <cell r="L6246"/>
        </row>
        <row r="6247">
          <cell r="A6247"/>
          <cell r="D6247"/>
          <cell r="E6247"/>
          <cell r="F6247"/>
          <cell r="G6247"/>
          <cell r="H6247"/>
          <cell r="I6247"/>
          <cell r="J6247"/>
          <cell r="L6247"/>
        </row>
        <row r="6248">
          <cell r="A6248"/>
          <cell r="D6248"/>
          <cell r="E6248"/>
          <cell r="F6248"/>
          <cell r="G6248"/>
          <cell r="H6248"/>
          <cell r="I6248"/>
          <cell r="J6248"/>
          <cell r="L6248"/>
        </row>
        <row r="6249">
          <cell r="A6249"/>
          <cell r="D6249"/>
          <cell r="E6249"/>
          <cell r="F6249"/>
          <cell r="G6249"/>
          <cell r="H6249"/>
          <cell r="I6249"/>
          <cell r="J6249"/>
          <cell r="L6249"/>
        </row>
        <row r="6250">
          <cell r="A6250"/>
          <cell r="D6250"/>
          <cell r="E6250"/>
          <cell r="F6250"/>
          <cell r="G6250"/>
          <cell r="H6250"/>
          <cell r="I6250"/>
          <cell r="J6250"/>
          <cell r="L6250"/>
        </row>
        <row r="6251">
          <cell r="A6251"/>
          <cell r="D6251"/>
          <cell r="E6251"/>
          <cell r="F6251"/>
          <cell r="G6251"/>
          <cell r="H6251"/>
          <cell r="I6251"/>
          <cell r="J6251"/>
          <cell r="L6251"/>
        </row>
        <row r="6252">
          <cell r="A6252"/>
          <cell r="D6252"/>
          <cell r="E6252"/>
          <cell r="F6252"/>
          <cell r="G6252"/>
          <cell r="H6252"/>
          <cell r="I6252"/>
          <cell r="J6252"/>
          <cell r="L6252"/>
        </row>
        <row r="6253">
          <cell r="A6253"/>
          <cell r="D6253"/>
          <cell r="E6253"/>
          <cell r="F6253"/>
          <cell r="G6253"/>
          <cell r="H6253"/>
          <cell r="I6253"/>
          <cell r="J6253"/>
          <cell r="L6253"/>
        </row>
        <row r="6254">
          <cell r="A6254"/>
          <cell r="D6254"/>
          <cell r="E6254"/>
          <cell r="F6254"/>
          <cell r="G6254"/>
          <cell r="H6254"/>
          <cell r="I6254"/>
          <cell r="J6254"/>
          <cell r="L6254"/>
        </row>
        <row r="6255">
          <cell r="A6255"/>
          <cell r="D6255"/>
          <cell r="E6255"/>
          <cell r="F6255"/>
          <cell r="G6255"/>
          <cell r="H6255"/>
          <cell r="I6255"/>
          <cell r="J6255"/>
          <cell r="L6255"/>
        </row>
        <row r="6256">
          <cell r="A6256"/>
          <cell r="D6256"/>
          <cell r="E6256"/>
          <cell r="F6256"/>
          <cell r="G6256"/>
          <cell r="H6256"/>
          <cell r="I6256"/>
          <cell r="J6256"/>
          <cell r="L6256"/>
        </row>
        <row r="6257">
          <cell r="A6257"/>
          <cell r="D6257"/>
          <cell r="E6257"/>
          <cell r="F6257"/>
          <cell r="G6257"/>
          <cell r="H6257"/>
          <cell r="I6257"/>
          <cell r="J6257"/>
          <cell r="L6257"/>
        </row>
        <row r="6258">
          <cell r="A6258"/>
          <cell r="D6258"/>
          <cell r="E6258"/>
          <cell r="F6258"/>
          <cell r="G6258"/>
          <cell r="H6258"/>
          <cell r="I6258"/>
          <cell r="J6258"/>
          <cell r="L6258"/>
        </row>
        <row r="6259">
          <cell r="A6259"/>
          <cell r="D6259"/>
          <cell r="E6259"/>
          <cell r="F6259"/>
          <cell r="G6259"/>
          <cell r="H6259"/>
          <cell r="I6259"/>
          <cell r="J6259"/>
          <cell r="L6259"/>
        </row>
        <row r="6260">
          <cell r="A6260"/>
          <cell r="D6260"/>
          <cell r="E6260"/>
          <cell r="F6260"/>
          <cell r="G6260"/>
          <cell r="H6260"/>
          <cell r="I6260"/>
          <cell r="J6260"/>
          <cell r="L6260"/>
        </row>
        <row r="6261">
          <cell r="A6261"/>
          <cell r="D6261"/>
          <cell r="E6261"/>
          <cell r="F6261"/>
          <cell r="G6261"/>
          <cell r="H6261"/>
          <cell r="I6261"/>
          <cell r="J6261"/>
          <cell r="L6261"/>
        </row>
        <row r="6262">
          <cell r="A6262"/>
          <cell r="D6262"/>
          <cell r="E6262"/>
          <cell r="F6262"/>
          <cell r="G6262"/>
          <cell r="H6262"/>
          <cell r="I6262"/>
          <cell r="J6262"/>
          <cell r="L6262"/>
        </row>
        <row r="6263">
          <cell r="A6263"/>
          <cell r="D6263"/>
          <cell r="E6263"/>
          <cell r="F6263"/>
          <cell r="G6263"/>
          <cell r="H6263"/>
          <cell r="I6263"/>
          <cell r="J6263"/>
          <cell r="L6263"/>
        </row>
        <row r="6264">
          <cell r="A6264"/>
          <cell r="D6264"/>
          <cell r="E6264"/>
          <cell r="F6264"/>
          <cell r="G6264"/>
          <cell r="H6264"/>
          <cell r="I6264"/>
          <cell r="J6264"/>
          <cell r="L6264"/>
        </row>
        <row r="6265">
          <cell r="A6265"/>
          <cell r="D6265"/>
          <cell r="E6265"/>
          <cell r="F6265"/>
          <cell r="G6265"/>
          <cell r="H6265"/>
          <cell r="I6265"/>
          <cell r="J6265"/>
          <cell r="L6265"/>
        </row>
        <row r="6266">
          <cell r="A6266"/>
          <cell r="D6266"/>
          <cell r="E6266"/>
          <cell r="F6266"/>
          <cell r="G6266"/>
          <cell r="H6266"/>
          <cell r="I6266"/>
          <cell r="J6266"/>
          <cell r="L6266"/>
        </row>
        <row r="6267">
          <cell r="A6267"/>
          <cell r="D6267"/>
          <cell r="E6267"/>
          <cell r="F6267"/>
          <cell r="G6267"/>
          <cell r="H6267"/>
          <cell r="I6267"/>
          <cell r="J6267"/>
          <cell r="L6267"/>
        </row>
        <row r="6268">
          <cell r="A6268"/>
          <cell r="D6268"/>
          <cell r="E6268"/>
          <cell r="F6268"/>
          <cell r="G6268"/>
          <cell r="H6268"/>
          <cell r="I6268"/>
          <cell r="J6268"/>
          <cell r="L6268"/>
        </row>
        <row r="6269">
          <cell r="A6269"/>
          <cell r="D6269"/>
          <cell r="E6269"/>
          <cell r="F6269"/>
          <cell r="G6269"/>
          <cell r="H6269"/>
          <cell r="I6269"/>
          <cell r="J6269"/>
          <cell r="L6269"/>
        </row>
        <row r="6270">
          <cell r="A6270"/>
          <cell r="D6270"/>
          <cell r="E6270"/>
          <cell r="F6270"/>
          <cell r="G6270"/>
          <cell r="H6270"/>
          <cell r="I6270"/>
          <cell r="J6270"/>
          <cell r="L6270"/>
        </row>
        <row r="6271">
          <cell r="A6271"/>
          <cell r="D6271"/>
          <cell r="E6271"/>
          <cell r="F6271"/>
          <cell r="G6271"/>
          <cell r="H6271"/>
          <cell r="I6271"/>
          <cell r="J6271"/>
          <cell r="L6271"/>
        </row>
        <row r="6272">
          <cell r="A6272"/>
          <cell r="D6272"/>
          <cell r="E6272"/>
          <cell r="F6272"/>
          <cell r="G6272"/>
          <cell r="H6272"/>
          <cell r="I6272"/>
          <cell r="J6272"/>
          <cell r="L6272"/>
        </row>
        <row r="6273">
          <cell r="A6273"/>
          <cell r="D6273"/>
          <cell r="E6273"/>
          <cell r="F6273"/>
          <cell r="G6273"/>
          <cell r="H6273"/>
          <cell r="I6273"/>
          <cell r="J6273"/>
          <cell r="L6273"/>
        </row>
        <row r="6274">
          <cell r="A6274"/>
          <cell r="D6274"/>
          <cell r="E6274"/>
          <cell r="F6274"/>
          <cell r="G6274"/>
          <cell r="H6274"/>
          <cell r="I6274"/>
          <cell r="J6274"/>
          <cell r="L6274"/>
        </row>
        <row r="6275">
          <cell r="A6275"/>
          <cell r="D6275"/>
          <cell r="E6275"/>
          <cell r="F6275"/>
          <cell r="G6275"/>
          <cell r="H6275"/>
          <cell r="I6275"/>
          <cell r="J6275"/>
          <cell r="L6275"/>
        </row>
        <row r="6276">
          <cell r="A6276"/>
          <cell r="D6276"/>
          <cell r="E6276"/>
          <cell r="F6276"/>
          <cell r="G6276"/>
          <cell r="H6276"/>
          <cell r="I6276"/>
          <cell r="J6276"/>
          <cell r="L6276"/>
        </row>
        <row r="6277">
          <cell r="A6277"/>
          <cell r="D6277"/>
          <cell r="E6277"/>
          <cell r="F6277"/>
          <cell r="G6277"/>
          <cell r="H6277"/>
          <cell r="I6277"/>
          <cell r="J6277"/>
          <cell r="L6277"/>
        </row>
        <row r="6278">
          <cell r="A6278"/>
          <cell r="D6278"/>
          <cell r="E6278"/>
          <cell r="F6278"/>
          <cell r="G6278"/>
          <cell r="H6278"/>
          <cell r="I6278"/>
          <cell r="J6278"/>
          <cell r="L6278"/>
        </row>
        <row r="6279">
          <cell r="A6279"/>
          <cell r="D6279"/>
          <cell r="E6279"/>
          <cell r="F6279"/>
          <cell r="G6279"/>
          <cell r="H6279"/>
          <cell r="I6279"/>
          <cell r="J6279"/>
          <cell r="L6279"/>
        </row>
        <row r="6280">
          <cell r="A6280"/>
          <cell r="D6280"/>
          <cell r="E6280"/>
          <cell r="F6280"/>
          <cell r="G6280"/>
          <cell r="H6280"/>
          <cell r="I6280"/>
          <cell r="J6280"/>
          <cell r="L6280"/>
        </row>
        <row r="6281">
          <cell r="A6281"/>
          <cell r="D6281"/>
          <cell r="E6281"/>
          <cell r="F6281"/>
          <cell r="G6281"/>
          <cell r="H6281"/>
          <cell r="I6281"/>
          <cell r="J6281"/>
          <cell r="L6281"/>
        </row>
        <row r="6282">
          <cell r="A6282"/>
          <cell r="D6282"/>
          <cell r="E6282"/>
          <cell r="F6282"/>
          <cell r="G6282"/>
          <cell r="H6282"/>
          <cell r="I6282"/>
          <cell r="J6282"/>
          <cell r="L6282"/>
        </row>
        <row r="6283">
          <cell r="A6283"/>
          <cell r="D6283"/>
          <cell r="E6283"/>
          <cell r="F6283"/>
          <cell r="G6283"/>
          <cell r="H6283"/>
          <cell r="I6283"/>
          <cell r="J6283"/>
          <cell r="L6283"/>
        </row>
        <row r="6284">
          <cell r="A6284"/>
          <cell r="D6284"/>
          <cell r="E6284"/>
          <cell r="F6284"/>
          <cell r="G6284"/>
          <cell r="H6284"/>
          <cell r="I6284"/>
          <cell r="J6284"/>
          <cell r="L6284"/>
        </row>
        <row r="6285">
          <cell r="A6285"/>
          <cell r="D6285"/>
          <cell r="E6285"/>
          <cell r="F6285"/>
          <cell r="G6285"/>
          <cell r="H6285"/>
          <cell r="I6285"/>
          <cell r="J6285"/>
          <cell r="L6285"/>
        </row>
        <row r="6286">
          <cell r="A6286"/>
          <cell r="D6286"/>
          <cell r="E6286"/>
          <cell r="F6286"/>
          <cell r="G6286"/>
          <cell r="H6286"/>
          <cell r="I6286"/>
          <cell r="J6286"/>
          <cell r="L6286"/>
        </row>
        <row r="6287">
          <cell r="A6287"/>
          <cell r="D6287"/>
          <cell r="E6287"/>
          <cell r="F6287"/>
          <cell r="G6287"/>
          <cell r="H6287"/>
          <cell r="I6287"/>
          <cell r="J6287"/>
          <cell r="L6287"/>
        </row>
        <row r="6288">
          <cell r="A6288"/>
          <cell r="D6288"/>
          <cell r="E6288"/>
          <cell r="F6288"/>
          <cell r="G6288"/>
          <cell r="H6288"/>
          <cell r="I6288"/>
          <cell r="J6288"/>
          <cell r="L6288"/>
        </row>
        <row r="6289">
          <cell r="A6289"/>
          <cell r="D6289"/>
          <cell r="E6289"/>
          <cell r="F6289"/>
          <cell r="G6289"/>
          <cell r="H6289"/>
          <cell r="I6289"/>
          <cell r="J6289"/>
          <cell r="L6289"/>
        </row>
        <row r="6290">
          <cell r="A6290"/>
          <cell r="D6290"/>
          <cell r="E6290"/>
          <cell r="F6290"/>
          <cell r="G6290"/>
          <cell r="H6290"/>
          <cell r="I6290"/>
          <cell r="J6290"/>
          <cell r="L6290"/>
        </row>
        <row r="6291">
          <cell r="A6291"/>
          <cell r="D6291"/>
          <cell r="E6291"/>
          <cell r="F6291"/>
          <cell r="G6291"/>
          <cell r="H6291"/>
          <cell r="I6291"/>
          <cell r="J6291"/>
          <cell r="L6291"/>
        </row>
        <row r="6292">
          <cell r="A6292"/>
          <cell r="D6292"/>
          <cell r="E6292"/>
          <cell r="F6292"/>
          <cell r="G6292"/>
          <cell r="H6292"/>
          <cell r="I6292"/>
          <cell r="J6292"/>
          <cell r="L6292"/>
        </row>
        <row r="6293">
          <cell r="A6293"/>
          <cell r="D6293"/>
          <cell r="E6293"/>
          <cell r="F6293"/>
          <cell r="G6293"/>
          <cell r="H6293"/>
          <cell r="I6293"/>
          <cell r="J6293"/>
          <cell r="L6293"/>
        </row>
        <row r="6294">
          <cell r="A6294"/>
          <cell r="D6294"/>
          <cell r="E6294"/>
          <cell r="F6294"/>
          <cell r="G6294"/>
          <cell r="H6294"/>
          <cell r="I6294"/>
          <cell r="J6294"/>
          <cell r="L6294"/>
        </row>
        <row r="6295">
          <cell r="A6295"/>
          <cell r="D6295"/>
          <cell r="E6295"/>
          <cell r="F6295"/>
          <cell r="G6295"/>
          <cell r="H6295"/>
          <cell r="I6295"/>
          <cell r="J6295"/>
          <cell r="L6295"/>
        </row>
        <row r="6296">
          <cell r="A6296"/>
          <cell r="D6296"/>
          <cell r="E6296"/>
          <cell r="F6296"/>
          <cell r="G6296"/>
          <cell r="H6296"/>
          <cell r="I6296"/>
          <cell r="J6296"/>
          <cell r="L6296"/>
        </row>
        <row r="6297">
          <cell r="A6297"/>
          <cell r="D6297"/>
          <cell r="E6297"/>
          <cell r="F6297"/>
          <cell r="G6297"/>
          <cell r="H6297"/>
          <cell r="I6297"/>
          <cell r="J6297"/>
          <cell r="L6297"/>
        </row>
        <row r="6298">
          <cell r="A6298"/>
          <cell r="D6298"/>
          <cell r="E6298"/>
          <cell r="F6298"/>
          <cell r="G6298"/>
          <cell r="H6298"/>
          <cell r="I6298"/>
          <cell r="J6298"/>
          <cell r="L6298"/>
        </row>
        <row r="6299">
          <cell r="A6299"/>
          <cell r="D6299"/>
          <cell r="E6299"/>
          <cell r="F6299"/>
          <cell r="G6299"/>
          <cell r="H6299"/>
          <cell r="I6299"/>
          <cell r="J6299"/>
          <cell r="L6299"/>
        </row>
        <row r="6300">
          <cell r="A6300"/>
          <cell r="D6300"/>
          <cell r="E6300"/>
          <cell r="F6300"/>
          <cell r="G6300"/>
          <cell r="H6300"/>
          <cell r="I6300"/>
          <cell r="J6300"/>
          <cell r="L6300"/>
        </row>
        <row r="6301">
          <cell r="A6301"/>
          <cell r="D6301"/>
          <cell r="E6301"/>
          <cell r="F6301"/>
          <cell r="G6301"/>
          <cell r="H6301"/>
          <cell r="I6301"/>
          <cell r="J6301"/>
          <cell r="L6301"/>
        </row>
        <row r="6302">
          <cell r="A6302"/>
          <cell r="D6302"/>
          <cell r="E6302"/>
          <cell r="F6302"/>
          <cell r="G6302"/>
          <cell r="H6302"/>
          <cell r="I6302"/>
          <cell r="J6302"/>
          <cell r="L6302"/>
        </row>
        <row r="6303">
          <cell r="A6303"/>
          <cell r="D6303"/>
          <cell r="E6303"/>
          <cell r="F6303"/>
          <cell r="G6303"/>
          <cell r="H6303"/>
          <cell r="I6303"/>
          <cell r="J6303"/>
          <cell r="L6303"/>
        </row>
        <row r="6304">
          <cell r="A6304"/>
          <cell r="D6304"/>
          <cell r="E6304"/>
          <cell r="F6304"/>
          <cell r="G6304"/>
          <cell r="H6304"/>
          <cell r="I6304"/>
          <cell r="J6304"/>
          <cell r="L6304"/>
        </row>
        <row r="6305">
          <cell r="A6305"/>
          <cell r="D6305"/>
          <cell r="E6305"/>
          <cell r="F6305"/>
          <cell r="G6305"/>
          <cell r="H6305"/>
          <cell r="I6305"/>
          <cell r="J6305"/>
          <cell r="L6305"/>
        </row>
        <row r="6306">
          <cell r="A6306"/>
          <cell r="D6306"/>
          <cell r="E6306"/>
          <cell r="F6306"/>
          <cell r="G6306"/>
          <cell r="H6306"/>
          <cell r="I6306"/>
          <cell r="J6306"/>
          <cell r="L6306"/>
        </row>
        <row r="6307">
          <cell r="A6307"/>
          <cell r="D6307"/>
          <cell r="E6307"/>
          <cell r="F6307"/>
          <cell r="G6307"/>
          <cell r="H6307"/>
          <cell r="I6307"/>
          <cell r="J6307"/>
          <cell r="L6307"/>
        </row>
        <row r="6308">
          <cell r="A6308"/>
          <cell r="D6308"/>
          <cell r="E6308"/>
          <cell r="F6308"/>
          <cell r="G6308"/>
          <cell r="H6308"/>
          <cell r="I6308"/>
          <cell r="J6308"/>
          <cell r="L6308"/>
        </row>
        <row r="6309">
          <cell r="A6309"/>
          <cell r="D6309"/>
          <cell r="E6309"/>
          <cell r="F6309"/>
          <cell r="G6309"/>
          <cell r="H6309"/>
          <cell r="I6309"/>
          <cell r="J6309"/>
          <cell r="L6309"/>
        </row>
        <row r="6310">
          <cell r="A6310"/>
          <cell r="D6310"/>
          <cell r="E6310"/>
          <cell r="F6310"/>
          <cell r="G6310"/>
          <cell r="H6310"/>
          <cell r="I6310"/>
          <cell r="J6310"/>
          <cell r="L6310"/>
        </row>
        <row r="6311">
          <cell r="A6311"/>
          <cell r="D6311"/>
          <cell r="E6311"/>
          <cell r="F6311"/>
          <cell r="G6311"/>
          <cell r="H6311"/>
          <cell r="I6311"/>
          <cell r="J6311"/>
          <cell r="L6311"/>
        </row>
        <row r="6312">
          <cell r="A6312"/>
          <cell r="D6312"/>
          <cell r="E6312"/>
          <cell r="F6312"/>
          <cell r="G6312"/>
          <cell r="H6312"/>
          <cell r="I6312"/>
          <cell r="J6312"/>
          <cell r="L6312"/>
        </row>
        <row r="6313">
          <cell r="A6313"/>
          <cell r="D6313"/>
          <cell r="E6313"/>
          <cell r="F6313"/>
          <cell r="G6313"/>
          <cell r="H6313"/>
          <cell r="I6313"/>
          <cell r="J6313"/>
          <cell r="L6313"/>
        </row>
        <row r="6314">
          <cell r="A6314"/>
          <cell r="D6314"/>
          <cell r="E6314"/>
          <cell r="F6314"/>
          <cell r="G6314"/>
          <cell r="H6314"/>
          <cell r="I6314"/>
          <cell r="J6314"/>
          <cell r="L6314"/>
        </row>
        <row r="6315">
          <cell r="A6315"/>
          <cell r="D6315"/>
          <cell r="E6315"/>
          <cell r="F6315"/>
          <cell r="G6315"/>
          <cell r="H6315"/>
          <cell r="I6315"/>
          <cell r="J6315"/>
          <cell r="L6315"/>
        </row>
        <row r="6316">
          <cell r="A6316"/>
          <cell r="D6316"/>
          <cell r="E6316"/>
          <cell r="F6316"/>
          <cell r="G6316"/>
          <cell r="H6316"/>
          <cell r="I6316"/>
          <cell r="J6316"/>
          <cell r="L6316"/>
        </row>
        <row r="6317">
          <cell r="A6317"/>
          <cell r="D6317"/>
          <cell r="E6317"/>
          <cell r="F6317"/>
          <cell r="G6317"/>
          <cell r="H6317"/>
          <cell r="I6317"/>
          <cell r="J6317"/>
          <cell r="L6317"/>
        </row>
        <row r="6318">
          <cell r="A6318"/>
          <cell r="D6318"/>
          <cell r="E6318"/>
          <cell r="F6318"/>
          <cell r="G6318"/>
          <cell r="H6318"/>
          <cell r="I6318"/>
          <cell r="J6318"/>
          <cell r="L6318"/>
        </row>
        <row r="6319">
          <cell r="A6319"/>
          <cell r="D6319"/>
          <cell r="E6319"/>
          <cell r="F6319"/>
          <cell r="G6319"/>
          <cell r="H6319"/>
          <cell r="I6319"/>
          <cell r="J6319"/>
          <cell r="L6319"/>
        </row>
        <row r="6320">
          <cell r="A6320"/>
          <cell r="D6320"/>
          <cell r="E6320"/>
          <cell r="F6320"/>
          <cell r="G6320"/>
          <cell r="H6320"/>
          <cell r="I6320"/>
          <cell r="J6320"/>
          <cell r="L6320"/>
        </row>
        <row r="6321">
          <cell r="A6321"/>
          <cell r="D6321"/>
          <cell r="E6321"/>
          <cell r="F6321"/>
          <cell r="G6321"/>
          <cell r="H6321"/>
          <cell r="I6321"/>
          <cell r="J6321"/>
          <cell r="L6321"/>
        </row>
        <row r="6322">
          <cell r="A6322"/>
          <cell r="D6322"/>
          <cell r="E6322"/>
          <cell r="F6322"/>
          <cell r="G6322"/>
          <cell r="H6322"/>
          <cell r="I6322"/>
          <cell r="J6322"/>
          <cell r="L6322"/>
        </row>
        <row r="6323">
          <cell r="A6323"/>
          <cell r="D6323"/>
          <cell r="E6323"/>
          <cell r="F6323"/>
          <cell r="G6323"/>
          <cell r="H6323"/>
          <cell r="I6323"/>
          <cell r="J6323"/>
          <cell r="L6323"/>
        </row>
        <row r="6324">
          <cell r="A6324"/>
          <cell r="D6324"/>
          <cell r="E6324"/>
          <cell r="F6324"/>
          <cell r="G6324"/>
          <cell r="H6324"/>
          <cell r="I6324"/>
          <cell r="J6324"/>
          <cell r="L6324"/>
        </row>
        <row r="6325">
          <cell r="A6325"/>
          <cell r="D6325"/>
          <cell r="E6325"/>
          <cell r="F6325"/>
          <cell r="G6325"/>
          <cell r="H6325"/>
          <cell r="I6325"/>
          <cell r="J6325"/>
          <cell r="L6325"/>
        </row>
        <row r="6326">
          <cell r="A6326"/>
          <cell r="D6326"/>
          <cell r="E6326"/>
          <cell r="F6326"/>
          <cell r="G6326"/>
          <cell r="H6326"/>
          <cell r="I6326"/>
          <cell r="J6326"/>
          <cell r="L6326"/>
        </row>
        <row r="6327">
          <cell r="A6327"/>
          <cell r="D6327"/>
          <cell r="E6327"/>
          <cell r="F6327"/>
          <cell r="G6327"/>
          <cell r="H6327"/>
          <cell r="I6327"/>
          <cell r="J6327"/>
          <cell r="L6327"/>
        </row>
        <row r="6328">
          <cell r="A6328"/>
          <cell r="D6328"/>
          <cell r="E6328"/>
          <cell r="F6328"/>
          <cell r="G6328"/>
          <cell r="H6328"/>
          <cell r="I6328"/>
          <cell r="J6328"/>
          <cell r="L6328"/>
        </row>
        <row r="6329">
          <cell r="A6329"/>
          <cell r="D6329"/>
          <cell r="E6329"/>
          <cell r="F6329"/>
          <cell r="G6329"/>
          <cell r="H6329"/>
          <cell r="I6329"/>
          <cell r="J6329"/>
          <cell r="L6329"/>
        </row>
        <row r="6330">
          <cell r="A6330"/>
          <cell r="D6330"/>
          <cell r="E6330"/>
          <cell r="F6330"/>
          <cell r="G6330"/>
          <cell r="H6330"/>
          <cell r="I6330"/>
          <cell r="J6330"/>
          <cell r="L6330"/>
        </row>
        <row r="6331">
          <cell r="A6331"/>
          <cell r="D6331"/>
          <cell r="E6331"/>
          <cell r="F6331"/>
          <cell r="G6331"/>
          <cell r="H6331"/>
          <cell r="I6331"/>
          <cell r="J6331"/>
          <cell r="L6331"/>
        </row>
        <row r="6332">
          <cell r="A6332"/>
          <cell r="D6332"/>
          <cell r="E6332"/>
          <cell r="F6332"/>
          <cell r="G6332"/>
          <cell r="H6332"/>
          <cell r="I6332"/>
          <cell r="J6332"/>
          <cell r="L6332"/>
        </row>
        <row r="6333">
          <cell r="A6333"/>
          <cell r="D6333"/>
          <cell r="E6333"/>
          <cell r="F6333"/>
          <cell r="G6333"/>
          <cell r="H6333"/>
          <cell r="I6333"/>
          <cell r="J6333"/>
          <cell r="L6333"/>
        </row>
        <row r="6334">
          <cell r="A6334"/>
          <cell r="D6334"/>
          <cell r="E6334"/>
          <cell r="F6334"/>
          <cell r="G6334"/>
          <cell r="H6334"/>
          <cell r="I6334"/>
          <cell r="J6334"/>
          <cell r="L6334"/>
        </row>
        <row r="6335">
          <cell r="A6335"/>
          <cell r="D6335"/>
          <cell r="E6335"/>
          <cell r="F6335"/>
          <cell r="G6335"/>
          <cell r="H6335"/>
          <cell r="I6335"/>
          <cell r="J6335"/>
          <cell r="L6335"/>
        </row>
        <row r="6336">
          <cell r="A6336"/>
          <cell r="D6336"/>
          <cell r="E6336"/>
          <cell r="F6336"/>
          <cell r="G6336"/>
          <cell r="H6336"/>
          <cell r="I6336"/>
          <cell r="J6336"/>
          <cell r="L6336"/>
        </row>
        <row r="6337">
          <cell r="A6337"/>
          <cell r="D6337"/>
          <cell r="E6337"/>
          <cell r="F6337"/>
          <cell r="G6337"/>
          <cell r="H6337"/>
          <cell r="I6337"/>
          <cell r="J6337"/>
          <cell r="L6337"/>
        </row>
        <row r="6338">
          <cell r="A6338"/>
          <cell r="D6338"/>
          <cell r="E6338"/>
          <cell r="F6338"/>
          <cell r="G6338"/>
          <cell r="H6338"/>
          <cell r="I6338"/>
          <cell r="J6338"/>
          <cell r="L6338"/>
        </row>
        <row r="6339">
          <cell r="A6339"/>
          <cell r="D6339"/>
          <cell r="E6339"/>
          <cell r="F6339"/>
          <cell r="G6339"/>
          <cell r="H6339"/>
          <cell r="I6339"/>
          <cell r="J6339"/>
          <cell r="L6339"/>
        </row>
        <row r="6340">
          <cell r="A6340"/>
          <cell r="D6340"/>
          <cell r="E6340"/>
          <cell r="F6340"/>
          <cell r="G6340"/>
          <cell r="H6340"/>
          <cell r="I6340"/>
          <cell r="J6340"/>
          <cell r="L6340"/>
        </row>
        <row r="6341">
          <cell r="A6341"/>
          <cell r="D6341"/>
          <cell r="E6341"/>
          <cell r="F6341"/>
          <cell r="G6341"/>
          <cell r="H6341"/>
          <cell r="I6341"/>
          <cell r="J6341"/>
          <cell r="L6341"/>
        </row>
        <row r="6342">
          <cell r="A6342"/>
          <cell r="D6342"/>
          <cell r="E6342"/>
          <cell r="F6342"/>
          <cell r="G6342"/>
          <cell r="H6342"/>
          <cell r="I6342"/>
          <cell r="J6342"/>
          <cell r="L6342"/>
        </row>
        <row r="6343">
          <cell r="A6343"/>
          <cell r="D6343"/>
          <cell r="E6343"/>
          <cell r="F6343"/>
          <cell r="G6343"/>
          <cell r="H6343"/>
          <cell r="I6343"/>
          <cell r="J6343"/>
          <cell r="L6343"/>
        </row>
        <row r="6344">
          <cell r="A6344"/>
          <cell r="D6344"/>
          <cell r="E6344"/>
          <cell r="F6344"/>
          <cell r="G6344"/>
          <cell r="H6344"/>
          <cell r="I6344"/>
          <cell r="J6344"/>
          <cell r="L6344"/>
        </row>
        <row r="6345">
          <cell r="A6345"/>
          <cell r="D6345"/>
          <cell r="E6345"/>
          <cell r="F6345"/>
          <cell r="G6345"/>
          <cell r="H6345"/>
          <cell r="I6345"/>
          <cell r="J6345"/>
          <cell r="L6345"/>
        </row>
        <row r="6346">
          <cell r="A6346"/>
          <cell r="D6346"/>
          <cell r="E6346"/>
          <cell r="F6346"/>
          <cell r="G6346"/>
          <cell r="H6346"/>
          <cell r="I6346"/>
          <cell r="J6346"/>
          <cell r="L6346"/>
        </row>
        <row r="6347">
          <cell r="A6347"/>
          <cell r="D6347"/>
          <cell r="E6347"/>
          <cell r="F6347"/>
          <cell r="G6347"/>
          <cell r="H6347"/>
          <cell r="I6347"/>
          <cell r="J6347"/>
          <cell r="L6347"/>
        </row>
        <row r="6348">
          <cell r="A6348"/>
          <cell r="D6348"/>
          <cell r="E6348"/>
          <cell r="F6348"/>
          <cell r="G6348"/>
          <cell r="H6348"/>
          <cell r="I6348"/>
          <cell r="J6348"/>
          <cell r="L6348"/>
        </row>
        <row r="6349">
          <cell r="A6349"/>
          <cell r="D6349"/>
          <cell r="E6349"/>
          <cell r="F6349"/>
          <cell r="G6349"/>
          <cell r="H6349"/>
          <cell r="I6349"/>
          <cell r="J6349"/>
          <cell r="L6349"/>
        </row>
        <row r="6350">
          <cell r="A6350"/>
          <cell r="D6350"/>
          <cell r="E6350"/>
          <cell r="F6350"/>
          <cell r="G6350"/>
          <cell r="H6350"/>
          <cell r="I6350"/>
          <cell r="J6350"/>
          <cell r="L6350"/>
        </row>
        <row r="6351">
          <cell r="A6351"/>
          <cell r="D6351"/>
          <cell r="E6351"/>
          <cell r="F6351"/>
          <cell r="G6351"/>
          <cell r="H6351"/>
          <cell r="I6351"/>
          <cell r="J6351"/>
          <cell r="L6351"/>
        </row>
        <row r="6352">
          <cell r="A6352"/>
          <cell r="D6352"/>
          <cell r="E6352"/>
          <cell r="F6352"/>
          <cell r="G6352"/>
          <cell r="H6352"/>
          <cell r="I6352"/>
          <cell r="J6352"/>
          <cell r="L6352"/>
        </row>
        <row r="6353">
          <cell r="A6353"/>
          <cell r="D6353"/>
          <cell r="E6353"/>
          <cell r="F6353"/>
          <cell r="G6353"/>
          <cell r="H6353"/>
          <cell r="I6353"/>
          <cell r="J6353"/>
          <cell r="L6353"/>
        </row>
        <row r="6354">
          <cell r="A6354"/>
          <cell r="D6354"/>
          <cell r="E6354"/>
          <cell r="F6354"/>
          <cell r="G6354"/>
          <cell r="H6354"/>
          <cell r="I6354"/>
          <cell r="J6354"/>
          <cell r="L6354"/>
        </row>
        <row r="6355">
          <cell r="A6355"/>
          <cell r="D6355"/>
          <cell r="E6355"/>
          <cell r="F6355"/>
          <cell r="G6355"/>
          <cell r="H6355"/>
          <cell r="I6355"/>
          <cell r="J6355"/>
          <cell r="L6355"/>
        </row>
        <row r="6356">
          <cell r="A6356"/>
          <cell r="D6356"/>
          <cell r="E6356"/>
          <cell r="F6356"/>
          <cell r="G6356"/>
          <cell r="H6356"/>
          <cell r="I6356"/>
          <cell r="J6356"/>
          <cell r="L6356"/>
        </row>
        <row r="6357">
          <cell r="A6357"/>
          <cell r="D6357"/>
          <cell r="E6357"/>
          <cell r="F6357"/>
          <cell r="G6357"/>
          <cell r="H6357"/>
          <cell r="I6357"/>
          <cell r="J6357"/>
          <cell r="L6357"/>
        </row>
        <row r="6358">
          <cell r="A6358"/>
          <cell r="D6358"/>
          <cell r="E6358"/>
          <cell r="F6358"/>
          <cell r="G6358"/>
          <cell r="H6358"/>
          <cell r="I6358"/>
          <cell r="J6358"/>
          <cell r="L6358"/>
        </row>
        <row r="6359">
          <cell r="A6359"/>
          <cell r="D6359"/>
          <cell r="E6359"/>
          <cell r="F6359"/>
          <cell r="G6359"/>
          <cell r="H6359"/>
          <cell r="I6359"/>
          <cell r="J6359"/>
          <cell r="L6359"/>
        </row>
        <row r="6360">
          <cell r="A6360"/>
          <cell r="D6360"/>
          <cell r="E6360"/>
          <cell r="F6360"/>
          <cell r="G6360"/>
          <cell r="H6360"/>
          <cell r="I6360"/>
          <cell r="J6360"/>
          <cell r="L6360"/>
        </row>
        <row r="6361">
          <cell r="A6361"/>
          <cell r="D6361"/>
          <cell r="E6361"/>
          <cell r="F6361"/>
          <cell r="G6361"/>
          <cell r="H6361"/>
          <cell r="I6361"/>
          <cell r="J6361"/>
          <cell r="L6361"/>
        </row>
        <row r="6362">
          <cell r="A6362"/>
          <cell r="D6362"/>
          <cell r="E6362"/>
          <cell r="F6362"/>
          <cell r="G6362"/>
          <cell r="H6362"/>
          <cell r="I6362"/>
          <cell r="J6362"/>
          <cell r="L6362"/>
        </row>
        <row r="6363">
          <cell r="A6363"/>
          <cell r="D6363"/>
          <cell r="E6363"/>
          <cell r="F6363"/>
          <cell r="G6363"/>
          <cell r="H6363"/>
          <cell r="I6363"/>
          <cell r="J6363"/>
          <cell r="L6363"/>
        </row>
        <row r="6364">
          <cell r="A6364"/>
          <cell r="D6364"/>
          <cell r="E6364"/>
          <cell r="F6364"/>
          <cell r="G6364"/>
          <cell r="H6364"/>
          <cell r="I6364"/>
          <cell r="J6364"/>
          <cell r="L6364"/>
        </row>
        <row r="6365">
          <cell r="A6365"/>
          <cell r="D6365"/>
          <cell r="E6365"/>
          <cell r="F6365"/>
          <cell r="G6365"/>
          <cell r="H6365"/>
          <cell r="I6365"/>
          <cell r="J6365"/>
          <cell r="L6365"/>
        </row>
        <row r="6366">
          <cell r="A6366"/>
          <cell r="D6366"/>
          <cell r="E6366"/>
          <cell r="F6366"/>
          <cell r="G6366"/>
          <cell r="H6366"/>
          <cell r="I6366"/>
          <cell r="J6366"/>
          <cell r="L6366"/>
        </row>
        <row r="6367">
          <cell r="A6367"/>
          <cell r="D6367"/>
          <cell r="E6367"/>
          <cell r="F6367"/>
          <cell r="G6367"/>
          <cell r="H6367"/>
          <cell r="I6367"/>
          <cell r="J6367"/>
          <cell r="L6367"/>
        </row>
        <row r="6368">
          <cell r="A6368"/>
          <cell r="D6368"/>
          <cell r="E6368"/>
          <cell r="F6368"/>
          <cell r="G6368"/>
          <cell r="H6368"/>
          <cell r="I6368"/>
          <cell r="J6368"/>
          <cell r="L6368"/>
        </row>
        <row r="6369">
          <cell r="A6369"/>
          <cell r="D6369"/>
          <cell r="E6369"/>
          <cell r="F6369"/>
          <cell r="G6369"/>
          <cell r="H6369"/>
          <cell r="I6369"/>
          <cell r="J6369"/>
          <cell r="L6369"/>
        </row>
        <row r="6370">
          <cell r="A6370"/>
          <cell r="D6370"/>
          <cell r="E6370"/>
          <cell r="F6370"/>
          <cell r="G6370"/>
          <cell r="H6370"/>
          <cell r="I6370"/>
          <cell r="J6370"/>
          <cell r="L6370"/>
        </row>
        <row r="6371">
          <cell r="A6371"/>
          <cell r="D6371"/>
          <cell r="E6371"/>
          <cell r="F6371"/>
          <cell r="G6371"/>
          <cell r="H6371"/>
          <cell r="I6371"/>
          <cell r="J6371"/>
          <cell r="L6371"/>
        </row>
        <row r="6372">
          <cell r="A6372"/>
          <cell r="D6372"/>
          <cell r="E6372"/>
          <cell r="F6372"/>
          <cell r="G6372"/>
          <cell r="H6372"/>
          <cell r="I6372"/>
          <cell r="J6372"/>
          <cell r="L6372"/>
        </row>
        <row r="6373">
          <cell r="A6373"/>
          <cell r="D6373"/>
          <cell r="E6373"/>
          <cell r="F6373"/>
          <cell r="G6373"/>
          <cell r="H6373"/>
          <cell r="I6373"/>
          <cell r="J6373"/>
          <cell r="L6373"/>
        </row>
        <row r="6374">
          <cell r="A6374"/>
          <cell r="D6374"/>
          <cell r="E6374"/>
          <cell r="F6374"/>
          <cell r="G6374"/>
          <cell r="H6374"/>
          <cell r="I6374"/>
          <cell r="J6374"/>
          <cell r="L6374"/>
        </row>
        <row r="6375">
          <cell r="A6375"/>
          <cell r="D6375"/>
          <cell r="E6375"/>
          <cell r="F6375"/>
          <cell r="G6375"/>
          <cell r="H6375"/>
          <cell r="I6375"/>
          <cell r="J6375"/>
          <cell r="L6375"/>
        </row>
        <row r="6376">
          <cell r="A6376"/>
          <cell r="D6376"/>
          <cell r="E6376"/>
          <cell r="F6376"/>
          <cell r="G6376"/>
          <cell r="H6376"/>
          <cell r="I6376"/>
          <cell r="J6376"/>
          <cell r="L6376"/>
        </row>
        <row r="6377">
          <cell r="A6377"/>
          <cell r="D6377"/>
          <cell r="E6377"/>
          <cell r="F6377"/>
          <cell r="G6377"/>
          <cell r="H6377"/>
          <cell r="I6377"/>
          <cell r="J6377"/>
          <cell r="L6377"/>
        </row>
        <row r="6378">
          <cell r="A6378"/>
          <cell r="D6378"/>
          <cell r="E6378"/>
          <cell r="F6378"/>
          <cell r="G6378"/>
          <cell r="H6378"/>
          <cell r="I6378"/>
          <cell r="J6378"/>
          <cell r="L6378"/>
        </row>
        <row r="6379">
          <cell r="A6379"/>
          <cell r="D6379"/>
          <cell r="E6379"/>
          <cell r="F6379"/>
          <cell r="G6379"/>
          <cell r="H6379"/>
          <cell r="I6379"/>
          <cell r="J6379"/>
          <cell r="L6379"/>
        </row>
        <row r="6380">
          <cell r="A6380"/>
          <cell r="D6380"/>
          <cell r="E6380"/>
          <cell r="F6380"/>
          <cell r="G6380"/>
          <cell r="H6380"/>
          <cell r="I6380"/>
          <cell r="J6380"/>
          <cell r="L6380"/>
        </row>
        <row r="6381">
          <cell r="A6381"/>
          <cell r="D6381"/>
          <cell r="E6381"/>
          <cell r="F6381"/>
          <cell r="G6381"/>
          <cell r="H6381"/>
          <cell r="I6381"/>
          <cell r="J6381"/>
          <cell r="L6381"/>
        </row>
        <row r="6382">
          <cell r="A6382"/>
          <cell r="D6382"/>
          <cell r="E6382"/>
          <cell r="F6382"/>
          <cell r="G6382"/>
          <cell r="H6382"/>
          <cell r="I6382"/>
          <cell r="J6382"/>
          <cell r="L6382"/>
        </row>
        <row r="6383">
          <cell r="A6383"/>
          <cell r="D6383"/>
          <cell r="E6383"/>
          <cell r="F6383"/>
          <cell r="G6383"/>
          <cell r="H6383"/>
          <cell r="I6383"/>
          <cell r="J6383"/>
          <cell r="L6383"/>
        </row>
        <row r="6384">
          <cell r="A6384"/>
          <cell r="D6384"/>
          <cell r="E6384"/>
          <cell r="F6384"/>
          <cell r="G6384"/>
          <cell r="H6384"/>
          <cell r="I6384"/>
          <cell r="J6384"/>
          <cell r="L6384"/>
        </row>
        <row r="6385">
          <cell r="A6385"/>
          <cell r="D6385"/>
          <cell r="E6385"/>
          <cell r="F6385"/>
          <cell r="G6385"/>
          <cell r="H6385"/>
          <cell r="I6385"/>
          <cell r="J6385"/>
          <cell r="L6385"/>
        </row>
        <row r="6386">
          <cell r="A6386"/>
          <cell r="D6386"/>
          <cell r="E6386"/>
          <cell r="F6386"/>
          <cell r="G6386"/>
          <cell r="H6386"/>
          <cell r="I6386"/>
          <cell r="J6386"/>
          <cell r="L6386"/>
        </row>
        <row r="6387">
          <cell r="A6387"/>
          <cell r="D6387"/>
          <cell r="E6387"/>
          <cell r="F6387"/>
          <cell r="G6387"/>
          <cell r="H6387"/>
          <cell r="I6387"/>
          <cell r="J6387"/>
          <cell r="L6387"/>
        </row>
        <row r="6388">
          <cell r="A6388"/>
          <cell r="D6388"/>
          <cell r="E6388"/>
          <cell r="F6388"/>
          <cell r="G6388"/>
          <cell r="H6388"/>
          <cell r="I6388"/>
          <cell r="J6388"/>
          <cell r="L6388"/>
        </row>
        <row r="6389">
          <cell r="A6389"/>
          <cell r="D6389"/>
          <cell r="E6389"/>
          <cell r="F6389"/>
          <cell r="G6389"/>
          <cell r="H6389"/>
          <cell r="I6389"/>
          <cell r="J6389"/>
          <cell r="L6389"/>
        </row>
        <row r="6390">
          <cell r="A6390"/>
          <cell r="D6390"/>
          <cell r="E6390"/>
          <cell r="F6390"/>
          <cell r="G6390"/>
          <cell r="H6390"/>
          <cell r="I6390"/>
          <cell r="J6390"/>
          <cell r="L6390"/>
        </row>
        <row r="6391">
          <cell r="A6391"/>
          <cell r="D6391"/>
          <cell r="E6391"/>
          <cell r="F6391"/>
          <cell r="G6391"/>
          <cell r="H6391"/>
          <cell r="I6391"/>
          <cell r="J6391"/>
          <cell r="L6391"/>
        </row>
        <row r="6392">
          <cell r="A6392"/>
          <cell r="D6392"/>
          <cell r="E6392"/>
          <cell r="F6392"/>
          <cell r="G6392"/>
          <cell r="H6392"/>
          <cell r="I6392"/>
          <cell r="J6392"/>
          <cell r="L6392"/>
        </row>
        <row r="6393">
          <cell r="A6393"/>
          <cell r="D6393"/>
          <cell r="E6393"/>
          <cell r="F6393"/>
          <cell r="G6393"/>
          <cell r="H6393"/>
          <cell r="I6393"/>
          <cell r="J6393"/>
          <cell r="L6393"/>
        </row>
        <row r="6394">
          <cell r="A6394"/>
          <cell r="D6394"/>
          <cell r="E6394"/>
          <cell r="F6394"/>
          <cell r="G6394"/>
          <cell r="H6394"/>
          <cell r="I6394"/>
          <cell r="J6394"/>
          <cell r="L6394"/>
        </row>
        <row r="6395">
          <cell r="A6395"/>
          <cell r="D6395"/>
          <cell r="E6395"/>
          <cell r="F6395"/>
          <cell r="G6395"/>
          <cell r="H6395"/>
          <cell r="I6395"/>
          <cell r="J6395"/>
          <cell r="L6395"/>
        </row>
        <row r="6396">
          <cell r="A6396"/>
          <cell r="D6396"/>
          <cell r="E6396"/>
          <cell r="F6396"/>
          <cell r="G6396"/>
          <cell r="H6396"/>
          <cell r="I6396"/>
          <cell r="J6396"/>
          <cell r="L6396"/>
        </row>
        <row r="6397">
          <cell r="A6397"/>
          <cell r="D6397"/>
          <cell r="E6397"/>
          <cell r="F6397"/>
          <cell r="G6397"/>
          <cell r="H6397"/>
          <cell r="I6397"/>
          <cell r="J6397"/>
          <cell r="L6397"/>
        </row>
        <row r="6398">
          <cell r="A6398"/>
          <cell r="D6398"/>
          <cell r="E6398"/>
          <cell r="F6398"/>
          <cell r="G6398"/>
          <cell r="H6398"/>
          <cell r="I6398"/>
          <cell r="J6398"/>
          <cell r="L6398"/>
        </row>
        <row r="6399">
          <cell r="A6399"/>
          <cell r="D6399"/>
          <cell r="E6399"/>
          <cell r="F6399"/>
          <cell r="G6399"/>
          <cell r="H6399"/>
          <cell r="I6399"/>
          <cell r="J6399"/>
          <cell r="L6399"/>
        </row>
        <row r="6400">
          <cell r="A6400"/>
          <cell r="D6400"/>
          <cell r="E6400"/>
          <cell r="F6400"/>
          <cell r="G6400"/>
          <cell r="H6400"/>
          <cell r="I6400"/>
          <cell r="J6400"/>
          <cell r="L6400"/>
        </row>
        <row r="6401">
          <cell r="A6401"/>
          <cell r="D6401"/>
          <cell r="E6401"/>
          <cell r="F6401"/>
          <cell r="G6401"/>
          <cell r="H6401"/>
          <cell r="I6401"/>
          <cell r="J6401"/>
          <cell r="L6401"/>
        </row>
        <row r="6402">
          <cell r="A6402"/>
          <cell r="D6402"/>
          <cell r="E6402"/>
          <cell r="F6402"/>
          <cell r="G6402"/>
          <cell r="H6402"/>
          <cell r="I6402"/>
          <cell r="J6402"/>
          <cell r="L6402"/>
        </row>
        <row r="6403">
          <cell r="A6403"/>
          <cell r="D6403"/>
          <cell r="E6403"/>
          <cell r="F6403"/>
          <cell r="G6403"/>
          <cell r="H6403"/>
          <cell r="I6403"/>
          <cell r="J6403"/>
          <cell r="L6403"/>
        </row>
        <row r="6404">
          <cell r="A6404"/>
          <cell r="D6404"/>
          <cell r="E6404"/>
          <cell r="F6404"/>
          <cell r="G6404"/>
          <cell r="H6404"/>
          <cell r="I6404"/>
          <cell r="J6404"/>
          <cell r="L6404"/>
        </row>
        <row r="6405">
          <cell r="A6405"/>
          <cell r="D6405"/>
          <cell r="E6405"/>
          <cell r="F6405"/>
          <cell r="G6405"/>
          <cell r="H6405"/>
          <cell r="I6405"/>
          <cell r="J6405"/>
          <cell r="L6405"/>
        </row>
        <row r="6406">
          <cell r="A6406"/>
          <cell r="D6406"/>
          <cell r="E6406"/>
          <cell r="F6406"/>
          <cell r="G6406"/>
          <cell r="H6406"/>
          <cell r="I6406"/>
          <cell r="J6406"/>
          <cell r="L6406"/>
        </row>
        <row r="6407">
          <cell r="A6407"/>
          <cell r="D6407"/>
          <cell r="E6407"/>
          <cell r="F6407"/>
          <cell r="G6407"/>
          <cell r="H6407"/>
          <cell r="I6407"/>
          <cell r="J6407"/>
          <cell r="L6407"/>
        </row>
        <row r="6408">
          <cell r="A6408"/>
          <cell r="D6408"/>
          <cell r="E6408"/>
          <cell r="F6408"/>
          <cell r="G6408"/>
          <cell r="H6408"/>
          <cell r="I6408"/>
          <cell r="J6408"/>
          <cell r="L6408"/>
        </row>
        <row r="6409">
          <cell r="A6409"/>
          <cell r="D6409"/>
          <cell r="E6409"/>
          <cell r="F6409"/>
          <cell r="G6409"/>
          <cell r="H6409"/>
          <cell r="I6409"/>
          <cell r="J6409"/>
          <cell r="L6409"/>
        </row>
        <row r="6410">
          <cell r="A6410"/>
          <cell r="D6410"/>
          <cell r="E6410"/>
          <cell r="F6410"/>
          <cell r="G6410"/>
          <cell r="H6410"/>
          <cell r="I6410"/>
          <cell r="J6410"/>
          <cell r="L6410"/>
        </row>
        <row r="6411">
          <cell r="A6411"/>
          <cell r="D6411"/>
          <cell r="E6411"/>
          <cell r="F6411"/>
          <cell r="G6411"/>
          <cell r="H6411"/>
          <cell r="I6411"/>
          <cell r="J6411"/>
          <cell r="L6411"/>
        </row>
        <row r="6412">
          <cell r="A6412"/>
          <cell r="D6412"/>
          <cell r="E6412"/>
          <cell r="F6412"/>
          <cell r="G6412"/>
          <cell r="H6412"/>
          <cell r="I6412"/>
          <cell r="J6412"/>
          <cell r="L6412"/>
        </row>
        <row r="6413">
          <cell r="A6413"/>
          <cell r="D6413"/>
          <cell r="E6413"/>
          <cell r="F6413"/>
          <cell r="G6413"/>
          <cell r="H6413"/>
          <cell r="I6413"/>
          <cell r="J6413"/>
          <cell r="L6413"/>
        </row>
        <row r="6414">
          <cell r="A6414"/>
          <cell r="D6414"/>
          <cell r="E6414"/>
          <cell r="F6414"/>
          <cell r="G6414"/>
          <cell r="H6414"/>
          <cell r="I6414"/>
          <cell r="J6414"/>
          <cell r="L6414"/>
        </row>
        <row r="6415">
          <cell r="A6415"/>
          <cell r="D6415"/>
          <cell r="E6415"/>
          <cell r="F6415"/>
          <cell r="G6415"/>
          <cell r="H6415"/>
          <cell r="I6415"/>
          <cell r="J6415"/>
          <cell r="L6415"/>
        </row>
        <row r="6416">
          <cell r="A6416"/>
          <cell r="D6416"/>
          <cell r="E6416"/>
          <cell r="F6416"/>
          <cell r="G6416"/>
          <cell r="H6416"/>
          <cell r="I6416"/>
          <cell r="J6416"/>
          <cell r="L6416"/>
        </row>
        <row r="6417">
          <cell r="A6417"/>
          <cell r="D6417"/>
          <cell r="E6417"/>
          <cell r="F6417"/>
          <cell r="G6417"/>
          <cell r="H6417"/>
          <cell r="I6417"/>
          <cell r="J6417"/>
          <cell r="L6417"/>
        </row>
        <row r="6418">
          <cell r="A6418"/>
          <cell r="D6418"/>
          <cell r="E6418"/>
          <cell r="F6418"/>
          <cell r="G6418"/>
          <cell r="H6418"/>
          <cell r="I6418"/>
          <cell r="J6418"/>
          <cell r="L6418"/>
        </row>
        <row r="6419">
          <cell r="A6419"/>
          <cell r="D6419"/>
          <cell r="E6419"/>
          <cell r="F6419"/>
          <cell r="G6419"/>
          <cell r="H6419"/>
          <cell r="I6419"/>
          <cell r="J6419"/>
          <cell r="L6419"/>
        </row>
        <row r="6420">
          <cell r="A6420"/>
          <cell r="D6420"/>
          <cell r="E6420"/>
          <cell r="F6420"/>
          <cell r="G6420"/>
          <cell r="H6420"/>
          <cell r="I6420"/>
          <cell r="J6420"/>
          <cell r="L6420"/>
        </row>
        <row r="6421">
          <cell r="A6421"/>
          <cell r="D6421"/>
          <cell r="E6421"/>
          <cell r="F6421"/>
          <cell r="G6421"/>
          <cell r="H6421"/>
          <cell r="I6421"/>
          <cell r="J6421"/>
          <cell r="L6421"/>
        </row>
        <row r="6422">
          <cell r="A6422"/>
          <cell r="D6422"/>
          <cell r="E6422"/>
          <cell r="F6422"/>
          <cell r="G6422"/>
          <cell r="H6422"/>
          <cell r="I6422"/>
          <cell r="J6422"/>
          <cell r="L6422"/>
        </row>
        <row r="6423">
          <cell r="A6423"/>
          <cell r="D6423"/>
          <cell r="E6423"/>
          <cell r="F6423"/>
          <cell r="G6423"/>
          <cell r="H6423"/>
          <cell r="I6423"/>
          <cell r="J6423"/>
          <cell r="L6423"/>
        </row>
        <row r="6424">
          <cell r="A6424"/>
          <cell r="D6424"/>
          <cell r="E6424"/>
          <cell r="F6424"/>
          <cell r="G6424"/>
          <cell r="H6424"/>
          <cell r="I6424"/>
          <cell r="J6424"/>
          <cell r="L6424"/>
        </row>
        <row r="6425">
          <cell r="A6425"/>
          <cell r="D6425"/>
          <cell r="E6425"/>
          <cell r="F6425"/>
          <cell r="G6425"/>
          <cell r="H6425"/>
          <cell r="I6425"/>
          <cell r="J6425"/>
          <cell r="L6425"/>
        </row>
        <row r="6426">
          <cell r="A6426"/>
          <cell r="D6426"/>
          <cell r="E6426"/>
          <cell r="F6426"/>
          <cell r="G6426"/>
          <cell r="H6426"/>
          <cell r="I6426"/>
          <cell r="J6426"/>
          <cell r="L6426"/>
        </row>
        <row r="6427">
          <cell r="A6427"/>
          <cell r="D6427"/>
          <cell r="E6427"/>
          <cell r="F6427"/>
          <cell r="G6427"/>
          <cell r="H6427"/>
          <cell r="I6427"/>
          <cell r="J6427"/>
          <cell r="L6427"/>
        </row>
        <row r="6428">
          <cell r="A6428"/>
          <cell r="D6428"/>
          <cell r="E6428"/>
          <cell r="F6428"/>
          <cell r="G6428"/>
          <cell r="H6428"/>
          <cell r="I6428"/>
          <cell r="J6428"/>
          <cell r="L6428"/>
        </row>
        <row r="6429">
          <cell r="A6429"/>
          <cell r="D6429"/>
          <cell r="E6429"/>
          <cell r="F6429"/>
          <cell r="G6429"/>
          <cell r="H6429"/>
          <cell r="I6429"/>
          <cell r="J6429"/>
          <cell r="L6429"/>
        </row>
        <row r="6430">
          <cell r="A6430"/>
          <cell r="D6430"/>
          <cell r="E6430"/>
          <cell r="F6430"/>
          <cell r="G6430"/>
          <cell r="H6430"/>
          <cell r="I6430"/>
          <cell r="J6430"/>
          <cell r="L6430"/>
        </row>
        <row r="6431">
          <cell r="A6431"/>
          <cell r="D6431"/>
          <cell r="E6431"/>
          <cell r="F6431"/>
          <cell r="G6431"/>
          <cell r="H6431"/>
          <cell r="I6431"/>
          <cell r="J6431"/>
          <cell r="L6431"/>
        </row>
        <row r="6432">
          <cell r="A6432"/>
          <cell r="D6432"/>
          <cell r="E6432"/>
          <cell r="F6432"/>
          <cell r="G6432"/>
          <cell r="H6432"/>
          <cell r="I6432"/>
          <cell r="J6432"/>
          <cell r="L6432"/>
        </row>
        <row r="6433">
          <cell r="A6433"/>
          <cell r="D6433"/>
          <cell r="E6433"/>
          <cell r="F6433"/>
          <cell r="G6433"/>
          <cell r="H6433"/>
          <cell r="I6433"/>
          <cell r="J6433"/>
          <cell r="L6433"/>
        </row>
        <row r="6434">
          <cell r="A6434"/>
          <cell r="D6434"/>
          <cell r="E6434"/>
          <cell r="F6434"/>
          <cell r="G6434"/>
          <cell r="H6434"/>
          <cell r="I6434"/>
          <cell r="J6434"/>
          <cell r="L6434"/>
        </row>
        <row r="6435">
          <cell r="A6435"/>
          <cell r="D6435"/>
          <cell r="E6435"/>
          <cell r="F6435"/>
          <cell r="G6435"/>
          <cell r="H6435"/>
          <cell r="I6435"/>
          <cell r="J6435"/>
          <cell r="L6435"/>
        </row>
        <row r="6436">
          <cell r="A6436"/>
          <cell r="D6436"/>
          <cell r="E6436"/>
          <cell r="F6436"/>
          <cell r="G6436"/>
          <cell r="H6436"/>
          <cell r="I6436"/>
          <cell r="J6436"/>
          <cell r="L6436"/>
        </row>
        <row r="6437">
          <cell r="A6437"/>
          <cell r="D6437"/>
          <cell r="E6437"/>
          <cell r="F6437"/>
          <cell r="G6437"/>
          <cell r="H6437"/>
          <cell r="I6437"/>
          <cell r="J6437"/>
          <cell r="L6437"/>
        </row>
        <row r="6438">
          <cell r="A6438"/>
          <cell r="D6438"/>
          <cell r="E6438"/>
          <cell r="F6438"/>
          <cell r="G6438"/>
          <cell r="H6438"/>
          <cell r="I6438"/>
          <cell r="J6438"/>
          <cell r="L6438"/>
        </row>
        <row r="6439">
          <cell r="A6439"/>
          <cell r="D6439"/>
          <cell r="E6439"/>
          <cell r="F6439"/>
          <cell r="G6439"/>
          <cell r="H6439"/>
          <cell r="I6439"/>
          <cell r="J6439"/>
          <cell r="L6439"/>
        </row>
        <row r="6440">
          <cell r="A6440"/>
          <cell r="D6440"/>
          <cell r="E6440"/>
          <cell r="F6440"/>
          <cell r="G6440"/>
          <cell r="H6440"/>
          <cell r="I6440"/>
          <cell r="J6440"/>
          <cell r="L6440"/>
        </row>
        <row r="6441">
          <cell r="A6441"/>
          <cell r="D6441"/>
          <cell r="E6441"/>
          <cell r="F6441"/>
          <cell r="G6441"/>
          <cell r="H6441"/>
          <cell r="I6441"/>
          <cell r="J6441"/>
          <cell r="L6441"/>
        </row>
        <row r="6442">
          <cell r="A6442"/>
          <cell r="D6442"/>
          <cell r="E6442"/>
          <cell r="F6442"/>
          <cell r="G6442"/>
          <cell r="H6442"/>
          <cell r="I6442"/>
          <cell r="J6442"/>
          <cell r="L6442"/>
        </row>
        <row r="6443">
          <cell r="A6443"/>
          <cell r="D6443"/>
          <cell r="E6443"/>
          <cell r="F6443"/>
          <cell r="G6443"/>
          <cell r="H6443"/>
          <cell r="I6443"/>
          <cell r="J6443"/>
          <cell r="L6443"/>
        </row>
        <row r="6444">
          <cell r="A6444"/>
          <cell r="D6444"/>
          <cell r="E6444"/>
          <cell r="F6444"/>
          <cell r="G6444"/>
          <cell r="H6444"/>
          <cell r="I6444"/>
          <cell r="J6444"/>
          <cell r="L6444"/>
        </row>
        <row r="6445">
          <cell r="A6445"/>
          <cell r="D6445"/>
          <cell r="E6445"/>
          <cell r="F6445"/>
          <cell r="G6445"/>
          <cell r="H6445"/>
          <cell r="I6445"/>
          <cell r="J6445"/>
          <cell r="L6445"/>
        </row>
        <row r="6446">
          <cell r="A6446"/>
          <cell r="D6446"/>
          <cell r="E6446"/>
          <cell r="F6446"/>
          <cell r="G6446"/>
          <cell r="H6446"/>
          <cell r="I6446"/>
          <cell r="J6446"/>
          <cell r="L6446"/>
        </row>
        <row r="6447">
          <cell r="A6447"/>
          <cell r="D6447"/>
          <cell r="E6447"/>
          <cell r="F6447"/>
          <cell r="G6447"/>
          <cell r="H6447"/>
          <cell r="I6447"/>
          <cell r="J6447"/>
          <cell r="L6447"/>
        </row>
        <row r="6448">
          <cell r="A6448"/>
          <cell r="D6448"/>
          <cell r="E6448"/>
          <cell r="F6448"/>
          <cell r="G6448"/>
          <cell r="H6448"/>
          <cell r="I6448"/>
          <cell r="J6448"/>
          <cell r="L6448"/>
        </row>
        <row r="6449">
          <cell r="A6449"/>
          <cell r="D6449"/>
          <cell r="E6449"/>
          <cell r="F6449"/>
          <cell r="G6449"/>
          <cell r="H6449"/>
          <cell r="I6449"/>
          <cell r="J6449"/>
          <cell r="L6449"/>
        </row>
        <row r="6450">
          <cell r="A6450"/>
          <cell r="D6450"/>
          <cell r="E6450"/>
          <cell r="F6450"/>
          <cell r="G6450"/>
          <cell r="H6450"/>
          <cell r="I6450"/>
          <cell r="J6450"/>
          <cell r="L6450"/>
        </row>
        <row r="6451">
          <cell r="A6451"/>
          <cell r="D6451"/>
          <cell r="E6451"/>
          <cell r="F6451"/>
          <cell r="G6451"/>
          <cell r="H6451"/>
          <cell r="I6451"/>
          <cell r="J6451"/>
          <cell r="L6451"/>
        </row>
        <row r="6452">
          <cell r="A6452"/>
          <cell r="D6452"/>
          <cell r="E6452"/>
          <cell r="F6452"/>
          <cell r="G6452"/>
          <cell r="H6452"/>
          <cell r="I6452"/>
          <cell r="J6452"/>
          <cell r="L6452"/>
        </row>
        <row r="6453">
          <cell r="A6453"/>
          <cell r="D6453"/>
          <cell r="E6453"/>
          <cell r="F6453"/>
          <cell r="G6453"/>
          <cell r="H6453"/>
          <cell r="I6453"/>
          <cell r="J6453"/>
          <cell r="L6453"/>
        </row>
        <row r="6454">
          <cell r="A6454"/>
          <cell r="D6454"/>
          <cell r="E6454"/>
          <cell r="F6454"/>
          <cell r="G6454"/>
          <cell r="H6454"/>
          <cell r="I6454"/>
          <cell r="J6454"/>
          <cell r="L6454"/>
        </row>
        <row r="6455">
          <cell r="A6455"/>
          <cell r="D6455"/>
          <cell r="E6455"/>
          <cell r="F6455"/>
          <cell r="G6455"/>
          <cell r="H6455"/>
          <cell r="I6455"/>
          <cell r="J6455"/>
          <cell r="L6455"/>
        </row>
        <row r="6456">
          <cell r="A6456"/>
          <cell r="D6456"/>
          <cell r="E6456"/>
          <cell r="F6456"/>
          <cell r="G6456"/>
          <cell r="H6456"/>
          <cell r="I6456"/>
          <cell r="J6456"/>
          <cell r="L6456"/>
        </row>
        <row r="6457">
          <cell r="A6457"/>
          <cell r="D6457"/>
          <cell r="E6457"/>
          <cell r="F6457"/>
          <cell r="G6457"/>
          <cell r="H6457"/>
          <cell r="I6457"/>
          <cell r="J6457"/>
          <cell r="L6457"/>
        </row>
        <row r="6458">
          <cell r="A6458"/>
          <cell r="D6458"/>
          <cell r="E6458"/>
          <cell r="F6458"/>
          <cell r="G6458"/>
          <cell r="H6458"/>
          <cell r="I6458"/>
          <cell r="J6458"/>
          <cell r="L6458"/>
        </row>
        <row r="6459">
          <cell r="A6459"/>
          <cell r="D6459"/>
          <cell r="E6459"/>
          <cell r="F6459"/>
          <cell r="G6459"/>
          <cell r="H6459"/>
          <cell r="I6459"/>
          <cell r="J6459"/>
          <cell r="L6459"/>
        </row>
        <row r="6460">
          <cell r="A6460"/>
          <cell r="D6460"/>
          <cell r="E6460"/>
          <cell r="F6460"/>
          <cell r="G6460"/>
          <cell r="H6460"/>
          <cell r="I6460"/>
          <cell r="J6460"/>
          <cell r="L6460"/>
        </row>
        <row r="6461">
          <cell r="A6461"/>
          <cell r="D6461"/>
          <cell r="E6461"/>
          <cell r="F6461"/>
          <cell r="G6461"/>
          <cell r="H6461"/>
          <cell r="I6461"/>
          <cell r="J6461"/>
          <cell r="L6461"/>
        </row>
        <row r="6462">
          <cell r="A6462"/>
          <cell r="D6462"/>
          <cell r="E6462"/>
          <cell r="F6462"/>
          <cell r="G6462"/>
          <cell r="H6462"/>
          <cell r="I6462"/>
          <cell r="J6462"/>
          <cell r="L6462"/>
        </row>
        <row r="6463">
          <cell r="A6463"/>
          <cell r="D6463"/>
          <cell r="E6463"/>
          <cell r="F6463"/>
          <cell r="G6463"/>
          <cell r="H6463"/>
          <cell r="I6463"/>
          <cell r="J6463"/>
          <cell r="L6463"/>
        </row>
        <row r="6464">
          <cell r="A6464"/>
          <cell r="D6464"/>
          <cell r="E6464"/>
          <cell r="F6464"/>
          <cell r="G6464"/>
          <cell r="H6464"/>
          <cell r="I6464"/>
          <cell r="J6464"/>
          <cell r="L6464"/>
        </row>
        <row r="6465">
          <cell r="A6465"/>
          <cell r="D6465"/>
          <cell r="E6465"/>
          <cell r="F6465"/>
          <cell r="G6465"/>
          <cell r="H6465"/>
          <cell r="I6465"/>
          <cell r="J6465"/>
          <cell r="L6465"/>
        </row>
        <row r="6466">
          <cell r="A6466"/>
          <cell r="D6466"/>
          <cell r="E6466"/>
          <cell r="F6466"/>
          <cell r="G6466"/>
          <cell r="H6466"/>
          <cell r="I6466"/>
          <cell r="J6466"/>
          <cell r="L6466"/>
        </row>
        <row r="6467">
          <cell r="A6467"/>
          <cell r="D6467"/>
          <cell r="E6467"/>
          <cell r="F6467"/>
          <cell r="G6467"/>
          <cell r="H6467"/>
          <cell r="I6467"/>
          <cell r="J6467"/>
          <cell r="L6467"/>
        </row>
        <row r="6468">
          <cell r="A6468"/>
          <cell r="D6468"/>
          <cell r="E6468"/>
          <cell r="F6468"/>
          <cell r="G6468"/>
          <cell r="H6468"/>
          <cell r="I6468"/>
          <cell r="J6468"/>
          <cell r="L6468"/>
        </row>
        <row r="6469">
          <cell r="A6469"/>
          <cell r="D6469"/>
          <cell r="E6469"/>
          <cell r="F6469"/>
          <cell r="G6469"/>
          <cell r="H6469"/>
          <cell r="I6469"/>
          <cell r="J6469"/>
          <cell r="L6469"/>
        </row>
        <row r="6470">
          <cell r="A6470"/>
          <cell r="D6470"/>
          <cell r="E6470"/>
          <cell r="F6470"/>
          <cell r="G6470"/>
          <cell r="H6470"/>
          <cell r="I6470"/>
          <cell r="J6470"/>
          <cell r="L6470"/>
        </row>
        <row r="6471">
          <cell r="A6471"/>
          <cell r="D6471"/>
          <cell r="E6471"/>
          <cell r="F6471"/>
          <cell r="G6471"/>
          <cell r="H6471"/>
          <cell r="I6471"/>
          <cell r="J6471"/>
          <cell r="L6471"/>
        </row>
        <row r="6472">
          <cell r="A6472"/>
          <cell r="D6472"/>
          <cell r="E6472"/>
          <cell r="F6472"/>
          <cell r="G6472"/>
          <cell r="H6472"/>
          <cell r="I6472"/>
          <cell r="J6472"/>
          <cell r="L6472"/>
        </row>
        <row r="6473">
          <cell r="A6473"/>
          <cell r="D6473"/>
          <cell r="E6473"/>
          <cell r="F6473"/>
          <cell r="G6473"/>
          <cell r="H6473"/>
          <cell r="I6473"/>
          <cell r="J6473"/>
          <cell r="L6473"/>
        </row>
        <row r="6474">
          <cell r="A6474"/>
          <cell r="D6474"/>
          <cell r="E6474"/>
          <cell r="F6474"/>
          <cell r="G6474"/>
          <cell r="H6474"/>
          <cell r="I6474"/>
          <cell r="J6474"/>
          <cell r="L6474"/>
        </row>
        <row r="6475">
          <cell r="A6475"/>
          <cell r="D6475"/>
          <cell r="E6475"/>
          <cell r="F6475"/>
          <cell r="G6475"/>
          <cell r="H6475"/>
          <cell r="I6475"/>
          <cell r="J6475"/>
          <cell r="L6475"/>
        </row>
        <row r="6476">
          <cell r="A6476"/>
          <cell r="D6476"/>
          <cell r="E6476"/>
          <cell r="F6476"/>
          <cell r="G6476"/>
          <cell r="H6476"/>
          <cell r="I6476"/>
          <cell r="J6476"/>
          <cell r="L6476"/>
        </row>
        <row r="6477">
          <cell r="A6477"/>
          <cell r="D6477"/>
          <cell r="E6477"/>
          <cell r="F6477"/>
          <cell r="G6477"/>
          <cell r="H6477"/>
          <cell r="I6477"/>
          <cell r="J6477"/>
          <cell r="L6477"/>
        </row>
        <row r="6478">
          <cell r="A6478"/>
          <cell r="D6478"/>
          <cell r="E6478"/>
          <cell r="F6478"/>
          <cell r="G6478"/>
          <cell r="H6478"/>
          <cell r="I6478"/>
          <cell r="J6478"/>
          <cell r="L6478"/>
        </row>
        <row r="6479">
          <cell r="A6479"/>
          <cell r="D6479"/>
          <cell r="E6479"/>
          <cell r="F6479"/>
          <cell r="G6479"/>
          <cell r="H6479"/>
          <cell r="I6479"/>
          <cell r="J6479"/>
          <cell r="L6479"/>
        </row>
        <row r="6480">
          <cell r="A6480"/>
          <cell r="D6480"/>
          <cell r="E6480"/>
          <cell r="F6480"/>
          <cell r="G6480"/>
          <cell r="H6480"/>
          <cell r="I6480"/>
          <cell r="J6480"/>
          <cell r="L6480"/>
        </row>
        <row r="6481">
          <cell r="A6481"/>
          <cell r="D6481"/>
          <cell r="E6481"/>
          <cell r="F6481"/>
          <cell r="G6481"/>
          <cell r="H6481"/>
          <cell r="I6481"/>
          <cell r="J6481"/>
          <cell r="L6481"/>
        </row>
        <row r="6482">
          <cell r="A6482"/>
          <cell r="D6482"/>
          <cell r="E6482"/>
          <cell r="F6482"/>
          <cell r="G6482"/>
          <cell r="H6482"/>
          <cell r="I6482"/>
          <cell r="J6482"/>
          <cell r="L6482"/>
        </row>
        <row r="6483">
          <cell r="A6483"/>
          <cell r="D6483"/>
          <cell r="E6483"/>
          <cell r="F6483"/>
          <cell r="G6483"/>
          <cell r="H6483"/>
          <cell r="I6483"/>
          <cell r="J6483"/>
          <cell r="L6483"/>
        </row>
        <row r="6484">
          <cell r="A6484"/>
          <cell r="D6484"/>
          <cell r="E6484"/>
          <cell r="F6484"/>
          <cell r="G6484"/>
          <cell r="H6484"/>
          <cell r="I6484"/>
          <cell r="J6484"/>
          <cell r="L6484"/>
        </row>
        <row r="6485">
          <cell r="A6485"/>
          <cell r="D6485"/>
          <cell r="E6485"/>
          <cell r="F6485"/>
          <cell r="G6485"/>
          <cell r="H6485"/>
          <cell r="I6485"/>
          <cell r="J6485"/>
          <cell r="L6485"/>
        </row>
        <row r="6486">
          <cell r="A6486"/>
          <cell r="D6486"/>
          <cell r="E6486"/>
          <cell r="F6486"/>
          <cell r="G6486"/>
          <cell r="H6486"/>
          <cell r="I6486"/>
          <cell r="J6486"/>
          <cell r="L6486"/>
        </row>
        <row r="6487">
          <cell r="A6487"/>
          <cell r="D6487"/>
          <cell r="E6487"/>
          <cell r="F6487"/>
          <cell r="G6487"/>
          <cell r="H6487"/>
          <cell r="I6487"/>
          <cell r="J6487"/>
          <cell r="L6487"/>
        </row>
        <row r="6488">
          <cell r="A6488"/>
          <cell r="D6488"/>
          <cell r="E6488"/>
          <cell r="F6488"/>
          <cell r="G6488"/>
          <cell r="H6488"/>
          <cell r="I6488"/>
          <cell r="J6488"/>
          <cell r="L6488"/>
        </row>
        <row r="6489">
          <cell r="A6489"/>
          <cell r="D6489"/>
          <cell r="E6489"/>
          <cell r="F6489"/>
          <cell r="G6489"/>
          <cell r="H6489"/>
          <cell r="I6489"/>
          <cell r="J6489"/>
          <cell r="L6489"/>
        </row>
        <row r="6490">
          <cell r="A6490"/>
          <cell r="D6490"/>
          <cell r="E6490"/>
          <cell r="F6490"/>
          <cell r="G6490"/>
          <cell r="H6490"/>
          <cell r="I6490"/>
          <cell r="J6490"/>
          <cell r="L6490"/>
        </row>
        <row r="6491">
          <cell r="A6491"/>
          <cell r="D6491"/>
          <cell r="E6491"/>
          <cell r="F6491"/>
          <cell r="G6491"/>
          <cell r="H6491"/>
          <cell r="I6491"/>
          <cell r="J6491"/>
          <cell r="L6491"/>
        </row>
        <row r="6492">
          <cell r="A6492"/>
          <cell r="D6492"/>
          <cell r="E6492"/>
          <cell r="F6492"/>
          <cell r="G6492"/>
          <cell r="H6492"/>
          <cell r="I6492"/>
          <cell r="J6492"/>
          <cell r="L6492"/>
        </row>
        <row r="6493">
          <cell r="A6493"/>
          <cell r="D6493"/>
          <cell r="E6493"/>
          <cell r="F6493"/>
          <cell r="G6493"/>
          <cell r="H6493"/>
          <cell r="I6493"/>
          <cell r="J6493"/>
          <cell r="L6493"/>
        </row>
        <row r="6494">
          <cell r="A6494"/>
          <cell r="D6494"/>
          <cell r="E6494"/>
          <cell r="F6494"/>
          <cell r="G6494"/>
          <cell r="H6494"/>
          <cell r="I6494"/>
          <cell r="J6494"/>
          <cell r="L6494"/>
        </row>
        <row r="6495">
          <cell r="A6495"/>
          <cell r="D6495"/>
          <cell r="E6495"/>
          <cell r="F6495"/>
          <cell r="G6495"/>
          <cell r="H6495"/>
          <cell r="I6495"/>
          <cell r="J6495"/>
          <cell r="L6495"/>
        </row>
        <row r="6496">
          <cell r="A6496"/>
          <cell r="D6496"/>
          <cell r="E6496"/>
          <cell r="F6496"/>
          <cell r="G6496"/>
          <cell r="H6496"/>
          <cell r="I6496"/>
          <cell r="J6496"/>
          <cell r="L6496"/>
        </row>
        <row r="6497">
          <cell r="A6497"/>
          <cell r="D6497"/>
          <cell r="E6497"/>
          <cell r="F6497"/>
          <cell r="G6497"/>
          <cell r="H6497"/>
          <cell r="I6497"/>
          <cell r="J6497"/>
          <cell r="L6497"/>
        </row>
        <row r="6498">
          <cell r="A6498"/>
          <cell r="D6498"/>
          <cell r="E6498"/>
          <cell r="F6498"/>
          <cell r="G6498"/>
          <cell r="H6498"/>
          <cell r="I6498"/>
          <cell r="J6498"/>
          <cell r="L6498"/>
        </row>
        <row r="6499">
          <cell r="A6499"/>
          <cell r="D6499"/>
          <cell r="E6499"/>
          <cell r="F6499"/>
          <cell r="G6499"/>
          <cell r="H6499"/>
          <cell r="I6499"/>
          <cell r="J6499"/>
          <cell r="L6499"/>
        </row>
        <row r="6500">
          <cell r="A6500"/>
          <cell r="D6500"/>
          <cell r="E6500"/>
          <cell r="F6500"/>
          <cell r="G6500"/>
          <cell r="H6500"/>
          <cell r="I6500"/>
          <cell r="J6500"/>
          <cell r="L6500"/>
        </row>
        <row r="6501">
          <cell r="A6501"/>
          <cell r="D6501"/>
          <cell r="E6501"/>
          <cell r="F6501"/>
          <cell r="G6501"/>
          <cell r="H6501"/>
          <cell r="I6501"/>
          <cell r="J6501"/>
          <cell r="L6501"/>
        </row>
        <row r="6502">
          <cell r="A6502"/>
          <cell r="D6502"/>
          <cell r="E6502"/>
          <cell r="F6502"/>
          <cell r="G6502"/>
          <cell r="H6502"/>
          <cell r="I6502"/>
          <cell r="J6502"/>
          <cell r="L6502"/>
        </row>
        <row r="6503">
          <cell r="A6503"/>
          <cell r="D6503"/>
          <cell r="E6503"/>
          <cell r="F6503"/>
          <cell r="G6503"/>
          <cell r="H6503"/>
          <cell r="I6503"/>
          <cell r="J6503"/>
          <cell r="L6503"/>
        </row>
        <row r="6504">
          <cell r="A6504"/>
          <cell r="D6504"/>
          <cell r="E6504"/>
          <cell r="F6504"/>
          <cell r="G6504"/>
          <cell r="H6504"/>
          <cell r="I6504"/>
          <cell r="J6504"/>
          <cell r="L6504"/>
        </row>
        <row r="6505">
          <cell r="A6505"/>
          <cell r="D6505"/>
          <cell r="E6505"/>
          <cell r="F6505"/>
          <cell r="G6505"/>
          <cell r="H6505"/>
          <cell r="I6505"/>
          <cell r="J6505"/>
          <cell r="L6505"/>
        </row>
        <row r="6506">
          <cell r="A6506"/>
          <cell r="D6506"/>
          <cell r="E6506"/>
          <cell r="F6506"/>
          <cell r="G6506"/>
          <cell r="H6506"/>
          <cell r="I6506"/>
          <cell r="J6506"/>
          <cell r="L6506"/>
        </row>
        <row r="6507">
          <cell r="A6507"/>
          <cell r="D6507"/>
          <cell r="E6507"/>
          <cell r="F6507"/>
          <cell r="G6507"/>
          <cell r="H6507"/>
          <cell r="I6507"/>
          <cell r="J6507"/>
          <cell r="L6507"/>
        </row>
        <row r="6508">
          <cell r="A6508"/>
          <cell r="D6508"/>
          <cell r="E6508"/>
          <cell r="F6508"/>
          <cell r="G6508"/>
          <cell r="H6508"/>
          <cell r="I6508"/>
          <cell r="J6508"/>
          <cell r="L6508"/>
        </row>
        <row r="6509">
          <cell r="A6509"/>
          <cell r="D6509"/>
          <cell r="E6509"/>
          <cell r="F6509"/>
          <cell r="G6509"/>
          <cell r="H6509"/>
          <cell r="I6509"/>
          <cell r="J6509"/>
          <cell r="L6509"/>
        </row>
        <row r="6510">
          <cell r="A6510"/>
          <cell r="D6510"/>
          <cell r="E6510"/>
          <cell r="F6510"/>
          <cell r="G6510"/>
          <cell r="H6510"/>
          <cell r="I6510"/>
          <cell r="J6510"/>
          <cell r="L6510"/>
        </row>
        <row r="6511">
          <cell r="A6511"/>
          <cell r="D6511"/>
          <cell r="E6511"/>
          <cell r="F6511"/>
          <cell r="G6511"/>
          <cell r="H6511"/>
          <cell r="I6511"/>
          <cell r="J6511"/>
          <cell r="L6511"/>
        </row>
        <row r="6512">
          <cell r="A6512"/>
          <cell r="D6512"/>
          <cell r="E6512"/>
          <cell r="F6512"/>
          <cell r="G6512"/>
          <cell r="H6512"/>
          <cell r="I6512"/>
          <cell r="J6512"/>
          <cell r="L6512"/>
        </row>
        <row r="6513">
          <cell r="A6513"/>
          <cell r="D6513"/>
          <cell r="E6513"/>
          <cell r="F6513"/>
          <cell r="G6513"/>
          <cell r="H6513"/>
          <cell r="I6513"/>
          <cell r="J6513"/>
          <cell r="L6513"/>
        </row>
        <row r="6514">
          <cell r="A6514"/>
          <cell r="D6514"/>
          <cell r="E6514"/>
          <cell r="F6514"/>
          <cell r="G6514"/>
          <cell r="H6514"/>
          <cell r="I6514"/>
          <cell r="J6514"/>
          <cell r="L6514"/>
        </row>
        <row r="6515">
          <cell r="A6515"/>
          <cell r="D6515"/>
          <cell r="E6515"/>
          <cell r="F6515"/>
          <cell r="G6515"/>
          <cell r="H6515"/>
          <cell r="I6515"/>
          <cell r="J6515"/>
          <cell r="L6515"/>
        </row>
        <row r="6516">
          <cell r="A6516"/>
          <cell r="D6516"/>
          <cell r="E6516"/>
          <cell r="F6516"/>
          <cell r="G6516"/>
          <cell r="H6516"/>
          <cell r="I6516"/>
          <cell r="J6516"/>
          <cell r="L6516"/>
        </row>
        <row r="6517">
          <cell r="A6517"/>
          <cell r="D6517"/>
          <cell r="E6517"/>
          <cell r="F6517"/>
          <cell r="G6517"/>
          <cell r="H6517"/>
          <cell r="I6517"/>
          <cell r="J6517"/>
          <cell r="L6517"/>
        </row>
        <row r="6518">
          <cell r="A6518"/>
          <cell r="D6518"/>
          <cell r="E6518"/>
          <cell r="F6518"/>
          <cell r="G6518"/>
          <cell r="H6518"/>
          <cell r="I6518"/>
          <cell r="J6518"/>
          <cell r="L6518"/>
        </row>
        <row r="6519">
          <cell r="A6519"/>
          <cell r="D6519"/>
          <cell r="E6519"/>
          <cell r="F6519"/>
          <cell r="G6519"/>
          <cell r="H6519"/>
          <cell r="I6519"/>
          <cell r="J6519"/>
          <cell r="L6519"/>
        </row>
        <row r="6520">
          <cell r="A6520"/>
          <cell r="D6520"/>
          <cell r="E6520"/>
          <cell r="F6520"/>
          <cell r="G6520"/>
          <cell r="H6520"/>
          <cell r="I6520"/>
          <cell r="J6520"/>
          <cell r="L6520"/>
        </row>
        <row r="6521">
          <cell r="A6521"/>
          <cell r="D6521"/>
          <cell r="E6521"/>
          <cell r="F6521"/>
          <cell r="G6521"/>
          <cell r="H6521"/>
          <cell r="I6521"/>
          <cell r="J6521"/>
          <cell r="L6521"/>
        </row>
        <row r="6522">
          <cell r="A6522"/>
          <cell r="D6522"/>
          <cell r="E6522"/>
          <cell r="F6522"/>
          <cell r="G6522"/>
          <cell r="H6522"/>
          <cell r="I6522"/>
          <cell r="J6522"/>
          <cell r="L6522"/>
        </row>
        <row r="6523">
          <cell r="A6523"/>
          <cell r="D6523"/>
          <cell r="E6523"/>
          <cell r="F6523"/>
          <cell r="G6523"/>
          <cell r="H6523"/>
          <cell r="I6523"/>
          <cell r="J6523"/>
          <cell r="L6523"/>
        </row>
        <row r="6524">
          <cell r="A6524"/>
          <cell r="D6524"/>
          <cell r="E6524"/>
          <cell r="F6524"/>
          <cell r="G6524"/>
          <cell r="H6524"/>
          <cell r="I6524"/>
          <cell r="J6524"/>
          <cell r="L6524"/>
        </row>
        <row r="6525">
          <cell r="A6525"/>
          <cell r="D6525"/>
          <cell r="E6525"/>
          <cell r="F6525"/>
          <cell r="G6525"/>
          <cell r="H6525"/>
          <cell r="I6525"/>
          <cell r="J6525"/>
          <cell r="L6525"/>
        </row>
        <row r="6526">
          <cell r="A6526"/>
          <cell r="D6526"/>
          <cell r="E6526"/>
          <cell r="F6526"/>
          <cell r="G6526"/>
          <cell r="H6526"/>
          <cell r="I6526"/>
          <cell r="J6526"/>
          <cell r="L6526"/>
        </row>
        <row r="6527">
          <cell r="A6527"/>
          <cell r="D6527"/>
          <cell r="E6527"/>
          <cell r="F6527"/>
          <cell r="G6527"/>
          <cell r="H6527"/>
          <cell r="I6527"/>
          <cell r="J6527"/>
          <cell r="L6527"/>
        </row>
        <row r="6528">
          <cell r="A6528"/>
          <cell r="D6528"/>
          <cell r="E6528"/>
          <cell r="F6528"/>
          <cell r="G6528"/>
          <cell r="H6528"/>
          <cell r="I6528"/>
          <cell r="J6528"/>
          <cell r="L6528"/>
        </row>
        <row r="6529">
          <cell r="A6529"/>
          <cell r="D6529"/>
          <cell r="E6529"/>
          <cell r="F6529"/>
          <cell r="G6529"/>
          <cell r="H6529"/>
          <cell r="I6529"/>
          <cell r="J6529"/>
          <cell r="L6529"/>
        </row>
        <row r="6530">
          <cell r="A6530"/>
          <cell r="D6530"/>
          <cell r="E6530"/>
          <cell r="F6530"/>
          <cell r="G6530"/>
          <cell r="H6530"/>
          <cell r="I6530"/>
          <cell r="J6530"/>
          <cell r="L6530"/>
        </row>
        <row r="6531">
          <cell r="A6531"/>
          <cell r="D6531"/>
          <cell r="E6531"/>
          <cell r="F6531"/>
          <cell r="G6531"/>
          <cell r="H6531"/>
          <cell r="I6531"/>
          <cell r="J6531"/>
          <cell r="L6531"/>
        </row>
        <row r="6532">
          <cell r="A6532"/>
          <cell r="D6532"/>
          <cell r="E6532"/>
          <cell r="F6532"/>
          <cell r="G6532"/>
          <cell r="H6532"/>
          <cell r="I6532"/>
          <cell r="J6532"/>
          <cell r="L6532"/>
        </row>
        <row r="6533">
          <cell r="A6533"/>
          <cell r="D6533"/>
          <cell r="E6533"/>
          <cell r="F6533"/>
          <cell r="G6533"/>
          <cell r="H6533"/>
          <cell r="I6533"/>
          <cell r="J6533"/>
          <cell r="L6533"/>
        </row>
        <row r="6534">
          <cell r="A6534"/>
          <cell r="D6534"/>
          <cell r="E6534"/>
          <cell r="F6534"/>
          <cell r="G6534"/>
          <cell r="H6534"/>
          <cell r="I6534"/>
          <cell r="J6534"/>
          <cell r="L6534"/>
        </row>
        <row r="6535">
          <cell r="A6535"/>
          <cell r="D6535"/>
          <cell r="E6535"/>
          <cell r="F6535"/>
          <cell r="G6535"/>
          <cell r="H6535"/>
          <cell r="I6535"/>
          <cell r="J6535"/>
          <cell r="L6535"/>
        </row>
        <row r="6536">
          <cell r="A6536"/>
          <cell r="D6536"/>
          <cell r="E6536"/>
          <cell r="F6536"/>
          <cell r="G6536"/>
          <cell r="H6536"/>
          <cell r="I6536"/>
          <cell r="J6536"/>
          <cell r="L6536"/>
        </row>
        <row r="6537">
          <cell r="A6537"/>
          <cell r="D6537"/>
          <cell r="E6537"/>
          <cell r="F6537"/>
          <cell r="G6537"/>
          <cell r="H6537"/>
          <cell r="I6537"/>
          <cell r="J6537"/>
          <cell r="L6537"/>
        </row>
        <row r="6538">
          <cell r="A6538"/>
          <cell r="D6538"/>
          <cell r="E6538"/>
          <cell r="F6538"/>
          <cell r="G6538"/>
          <cell r="H6538"/>
          <cell r="I6538"/>
          <cell r="J6538"/>
          <cell r="L6538"/>
        </row>
        <row r="6539">
          <cell r="A6539"/>
          <cell r="D6539"/>
          <cell r="E6539"/>
          <cell r="F6539"/>
          <cell r="G6539"/>
          <cell r="H6539"/>
          <cell r="I6539"/>
          <cell r="J6539"/>
          <cell r="L6539"/>
        </row>
        <row r="6540">
          <cell r="A6540"/>
          <cell r="D6540"/>
          <cell r="E6540"/>
          <cell r="F6540"/>
          <cell r="G6540"/>
          <cell r="H6540"/>
          <cell r="I6540"/>
          <cell r="J6540"/>
          <cell r="L6540"/>
        </row>
        <row r="6541">
          <cell r="A6541"/>
          <cell r="D6541"/>
          <cell r="E6541"/>
          <cell r="F6541"/>
          <cell r="G6541"/>
          <cell r="H6541"/>
          <cell r="I6541"/>
          <cell r="J6541"/>
          <cell r="L6541"/>
        </row>
        <row r="6542">
          <cell r="A6542"/>
          <cell r="D6542"/>
          <cell r="E6542"/>
          <cell r="F6542"/>
          <cell r="G6542"/>
          <cell r="H6542"/>
          <cell r="I6542"/>
          <cell r="J6542"/>
          <cell r="L6542"/>
        </row>
        <row r="6543">
          <cell r="A6543"/>
          <cell r="D6543"/>
          <cell r="E6543"/>
          <cell r="F6543"/>
          <cell r="G6543"/>
          <cell r="H6543"/>
          <cell r="I6543"/>
          <cell r="J6543"/>
          <cell r="L6543"/>
        </row>
        <row r="6544">
          <cell r="A6544"/>
          <cell r="D6544"/>
          <cell r="E6544"/>
          <cell r="F6544"/>
          <cell r="G6544"/>
          <cell r="H6544"/>
          <cell r="I6544"/>
          <cell r="J6544"/>
          <cell r="L6544"/>
        </row>
        <row r="6545">
          <cell r="A6545"/>
          <cell r="D6545"/>
          <cell r="E6545"/>
          <cell r="F6545"/>
          <cell r="G6545"/>
          <cell r="H6545"/>
          <cell r="I6545"/>
          <cell r="J6545"/>
          <cell r="L6545"/>
        </row>
        <row r="6546">
          <cell r="A6546"/>
          <cell r="D6546"/>
          <cell r="E6546"/>
          <cell r="F6546"/>
          <cell r="G6546"/>
          <cell r="H6546"/>
          <cell r="I6546"/>
          <cell r="J6546"/>
          <cell r="L6546"/>
        </row>
        <row r="6547">
          <cell r="A6547"/>
          <cell r="D6547"/>
          <cell r="E6547"/>
          <cell r="F6547"/>
          <cell r="G6547"/>
          <cell r="H6547"/>
          <cell r="I6547"/>
          <cell r="J6547"/>
          <cell r="L6547"/>
        </row>
        <row r="6548">
          <cell r="A6548"/>
          <cell r="D6548"/>
          <cell r="E6548"/>
          <cell r="F6548"/>
          <cell r="G6548"/>
          <cell r="H6548"/>
          <cell r="I6548"/>
          <cell r="J6548"/>
          <cell r="L6548"/>
        </row>
        <row r="6549">
          <cell r="A6549"/>
          <cell r="D6549"/>
          <cell r="E6549"/>
          <cell r="F6549"/>
          <cell r="G6549"/>
          <cell r="H6549"/>
          <cell r="I6549"/>
          <cell r="J6549"/>
          <cell r="L6549"/>
        </row>
        <row r="6550">
          <cell r="A6550"/>
          <cell r="D6550"/>
          <cell r="E6550"/>
          <cell r="F6550"/>
          <cell r="G6550"/>
          <cell r="H6550"/>
          <cell r="I6550"/>
          <cell r="J6550"/>
          <cell r="L6550"/>
        </row>
        <row r="6551">
          <cell r="A6551"/>
          <cell r="D6551"/>
          <cell r="E6551"/>
          <cell r="F6551"/>
          <cell r="G6551"/>
          <cell r="H6551"/>
          <cell r="I6551"/>
          <cell r="J6551"/>
          <cell r="L6551"/>
        </row>
        <row r="6552">
          <cell r="A6552"/>
          <cell r="D6552"/>
          <cell r="E6552"/>
          <cell r="F6552"/>
          <cell r="G6552"/>
          <cell r="H6552"/>
          <cell r="I6552"/>
          <cell r="J6552"/>
          <cell r="L6552"/>
        </row>
        <row r="6553">
          <cell r="A6553"/>
          <cell r="D6553"/>
          <cell r="E6553"/>
          <cell r="F6553"/>
          <cell r="G6553"/>
          <cell r="H6553"/>
          <cell r="I6553"/>
          <cell r="J6553"/>
          <cell r="L6553"/>
        </row>
        <row r="6554">
          <cell r="A6554"/>
          <cell r="D6554"/>
          <cell r="E6554"/>
          <cell r="F6554"/>
          <cell r="G6554"/>
          <cell r="H6554"/>
          <cell r="I6554"/>
          <cell r="J6554"/>
          <cell r="L6554"/>
        </row>
        <row r="6555">
          <cell r="A6555"/>
          <cell r="D6555"/>
          <cell r="E6555"/>
          <cell r="F6555"/>
          <cell r="G6555"/>
          <cell r="H6555"/>
          <cell r="I6555"/>
          <cell r="J6555"/>
          <cell r="L6555"/>
        </row>
        <row r="6556">
          <cell r="A6556"/>
          <cell r="D6556"/>
          <cell r="E6556"/>
          <cell r="F6556"/>
          <cell r="G6556"/>
          <cell r="H6556"/>
          <cell r="I6556"/>
          <cell r="J6556"/>
          <cell r="L6556"/>
        </row>
        <row r="6557">
          <cell r="A6557"/>
          <cell r="D6557"/>
          <cell r="E6557"/>
          <cell r="F6557"/>
          <cell r="G6557"/>
          <cell r="H6557"/>
          <cell r="I6557"/>
          <cell r="J6557"/>
          <cell r="L6557"/>
        </row>
        <row r="6558">
          <cell r="A6558"/>
          <cell r="D6558"/>
          <cell r="E6558"/>
          <cell r="F6558"/>
          <cell r="G6558"/>
          <cell r="H6558"/>
          <cell r="I6558"/>
          <cell r="J6558"/>
          <cell r="L6558"/>
        </row>
        <row r="6559">
          <cell r="A6559"/>
          <cell r="D6559"/>
          <cell r="E6559"/>
          <cell r="F6559"/>
          <cell r="G6559"/>
          <cell r="H6559"/>
          <cell r="I6559"/>
          <cell r="J6559"/>
          <cell r="L6559"/>
        </row>
        <row r="6560">
          <cell r="A6560"/>
          <cell r="D6560"/>
          <cell r="E6560"/>
          <cell r="F6560"/>
          <cell r="G6560"/>
          <cell r="H6560"/>
          <cell r="I6560"/>
          <cell r="J6560"/>
          <cell r="L6560"/>
        </row>
        <row r="6561">
          <cell r="A6561"/>
          <cell r="D6561"/>
          <cell r="E6561"/>
          <cell r="F6561"/>
          <cell r="G6561"/>
          <cell r="H6561"/>
          <cell r="I6561"/>
          <cell r="J6561"/>
          <cell r="L6561"/>
        </row>
        <row r="6562">
          <cell r="A6562"/>
          <cell r="D6562"/>
          <cell r="E6562"/>
          <cell r="F6562"/>
          <cell r="G6562"/>
          <cell r="H6562"/>
          <cell r="I6562"/>
          <cell r="J6562"/>
          <cell r="L6562"/>
        </row>
        <row r="6563">
          <cell r="A6563"/>
          <cell r="D6563"/>
          <cell r="E6563"/>
          <cell r="F6563"/>
          <cell r="G6563"/>
          <cell r="H6563"/>
          <cell r="I6563"/>
          <cell r="J6563"/>
          <cell r="L6563"/>
        </row>
        <row r="6564">
          <cell r="A6564"/>
          <cell r="D6564"/>
          <cell r="E6564"/>
          <cell r="F6564"/>
          <cell r="G6564"/>
          <cell r="H6564"/>
          <cell r="I6564"/>
          <cell r="J6564"/>
          <cell r="L6564"/>
        </row>
        <row r="6565">
          <cell r="A6565"/>
          <cell r="D6565"/>
          <cell r="E6565"/>
          <cell r="F6565"/>
          <cell r="G6565"/>
          <cell r="H6565"/>
          <cell r="I6565"/>
          <cell r="J6565"/>
          <cell r="L6565"/>
        </row>
        <row r="6566">
          <cell r="A6566"/>
          <cell r="D6566"/>
          <cell r="E6566"/>
          <cell r="F6566"/>
          <cell r="G6566"/>
          <cell r="H6566"/>
          <cell r="I6566"/>
          <cell r="J6566"/>
          <cell r="L6566"/>
        </row>
        <row r="6567">
          <cell r="A6567"/>
          <cell r="D6567"/>
          <cell r="E6567"/>
          <cell r="F6567"/>
          <cell r="G6567"/>
          <cell r="H6567"/>
          <cell r="I6567"/>
          <cell r="J6567"/>
          <cell r="L6567"/>
        </row>
        <row r="6568">
          <cell r="A6568"/>
          <cell r="D6568"/>
          <cell r="E6568"/>
          <cell r="F6568"/>
          <cell r="G6568"/>
          <cell r="H6568"/>
          <cell r="I6568"/>
          <cell r="J6568"/>
          <cell r="L6568"/>
        </row>
        <row r="6569">
          <cell r="A6569"/>
          <cell r="D6569"/>
          <cell r="E6569"/>
          <cell r="F6569"/>
          <cell r="G6569"/>
          <cell r="H6569"/>
          <cell r="I6569"/>
          <cell r="J6569"/>
          <cell r="L6569"/>
        </row>
        <row r="6570">
          <cell r="A6570"/>
          <cell r="D6570"/>
          <cell r="E6570"/>
          <cell r="F6570"/>
          <cell r="G6570"/>
          <cell r="H6570"/>
          <cell r="I6570"/>
          <cell r="J6570"/>
          <cell r="L6570"/>
        </row>
        <row r="6571">
          <cell r="A6571"/>
          <cell r="D6571"/>
          <cell r="E6571"/>
          <cell r="F6571"/>
          <cell r="G6571"/>
          <cell r="H6571"/>
          <cell r="I6571"/>
          <cell r="J6571"/>
          <cell r="L6571"/>
        </row>
        <row r="6572">
          <cell r="A6572"/>
          <cell r="D6572"/>
          <cell r="E6572"/>
          <cell r="F6572"/>
          <cell r="G6572"/>
          <cell r="H6572"/>
          <cell r="I6572"/>
          <cell r="J6572"/>
          <cell r="L6572"/>
        </row>
        <row r="6573">
          <cell r="A6573"/>
          <cell r="D6573"/>
          <cell r="E6573"/>
          <cell r="F6573"/>
          <cell r="G6573"/>
          <cell r="H6573"/>
          <cell r="I6573"/>
          <cell r="J6573"/>
          <cell r="L6573"/>
        </row>
        <row r="6574">
          <cell r="A6574"/>
          <cell r="D6574"/>
          <cell r="E6574"/>
          <cell r="F6574"/>
          <cell r="G6574"/>
          <cell r="H6574"/>
          <cell r="I6574"/>
          <cell r="J6574"/>
          <cell r="L6574"/>
        </row>
        <row r="6575">
          <cell r="A6575"/>
          <cell r="D6575"/>
          <cell r="E6575"/>
          <cell r="F6575"/>
          <cell r="G6575"/>
          <cell r="H6575"/>
          <cell r="I6575"/>
          <cell r="J6575"/>
          <cell r="L6575"/>
        </row>
        <row r="6576">
          <cell r="A6576"/>
          <cell r="D6576"/>
          <cell r="E6576"/>
          <cell r="F6576"/>
          <cell r="G6576"/>
          <cell r="H6576"/>
          <cell r="I6576"/>
          <cell r="J6576"/>
          <cell r="L6576"/>
        </row>
        <row r="6577">
          <cell r="A6577"/>
          <cell r="D6577"/>
          <cell r="E6577"/>
          <cell r="F6577"/>
          <cell r="G6577"/>
          <cell r="H6577"/>
          <cell r="I6577"/>
          <cell r="J6577"/>
          <cell r="L6577"/>
        </row>
        <row r="6578">
          <cell r="A6578"/>
          <cell r="D6578"/>
          <cell r="E6578"/>
          <cell r="F6578"/>
          <cell r="G6578"/>
          <cell r="H6578"/>
          <cell r="I6578"/>
          <cell r="J6578"/>
          <cell r="L6578"/>
        </row>
        <row r="6579">
          <cell r="A6579"/>
          <cell r="D6579"/>
          <cell r="E6579"/>
          <cell r="F6579"/>
          <cell r="G6579"/>
          <cell r="H6579"/>
          <cell r="I6579"/>
          <cell r="J6579"/>
          <cell r="L6579"/>
        </row>
        <row r="6580">
          <cell r="A6580"/>
          <cell r="D6580"/>
          <cell r="E6580"/>
          <cell r="F6580"/>
          <cell r="G6580"/>
          <cell r="H6580"/>
          <cell r="I6580"/>
          <cell r="J6580"/>
          <cell r="L6580"/>
        </row>
        <row r="6581">
          <cell r="A6581"/>
          <cell r="D6581"/>
          <cell r="E6581"/>
          <cell r="F6581"/>
          <cell r="G6581"/>
          <cell r="H6581"/>
          <cell r="I6581"/>
          <cell r="J6581"/>
          <cell r="L6581"/>
        </row>
        <row r="6582">
          <cell r="A6582"/>
          <cell r="D6582"/>
          <cell r="E6582"/>
          <cell r="F6582"/>
          <cell r="G6582"/>
          <cell r="H6582"/>
          <cell r="I6582"/>
          <cell r="J6582"/>
          <cell r="L6582"/>
        </row>
        <row r="6583">
          <cell r="A6583"/>
          <cell r="D6583"/>
          <cell r="E6583"/>
          <cell r="F6583"/>
          <cell r="G6583"/>
          <cell r="H6583"/>
          <cell r="I6583"/>
          <cell r="J6583"/>
          <cell r="L6583"/>
        </row>
        <row r="6584">
          <cell r="A6584"/>
          <cell r="D6584"/>
          <cell r="E6584"/>
          <cell r="F6584"/>
          <cell r="G6584"/>
          <cell r="H6584"/>
          <cell r="I6584"/>
          <cell r="J6584"/>
          <cell r="L6584"/>
        </row>
        <row r="6585">
          <cell r="A6585"/>
          <cell r="D6585"/>
          <cell r="E6585"/>
          <cell r="F6585"/>
          <cell r="G6585"/>
          <cell r="H6585"/>
          <cell r="I6585"/>
          <cell r="J6585"/>
          <cell r="L6585"/>
        </row>
        <row r="6586">
          <cell r="A6586"/>
          <cell r="D6586"/>
          <cell r="E6586"/>
          <cell r="F6586"/>
          <cell r="G6586"/>
          <cell r="H6586"/>
          <cell r="I6586"/>
          <cell r="J6586"/>
          <cell r="L6586"/>
        </row>
        <row r="6587">
          <cell r="A6587"/>
          <cell r="D6587"/>
          <cell r="E6587"/>
          <cell r="F6587"/>
          <cell r="G6587"/>
          <cell r="H6587"/>
          <cell r="I6587"/>
          <cell r="J6587"/>
          <cell r="L6587"/>
        </row>
        <row r="6588">
          <cell r="A6588"/>
          <cell r="D6588"/>
          <cell r="E6588"/>
          <cell r="F6588"/>
          <cell r="G6588"/>
          <cell r="H6588"/>
          <cell r="I6588"/>
          <cell r="J6588"/>
          <cell r="L6588"/>
        </row>
        <row r="6589">
          <cell r="A6589"/>
          <cell r="D6589"/>
          <cell r="E6589"/>
          <cell r="F6589"/>
          <cell r="G6589"/>
          <cell r="H6589"/>
          <cell r="I6589"/>
          <cell r="J6589"/>
          <cell r="L6589"/>
        </row>
        <row r="6590">
          <cell r="A6590"/>
          <cell r="D6590"/>
          <cell r="E6590"/>
          <cell r="F6590"/>
          <cell r="G6590"/>
          <cell r="H6590"/>
          <cell r="I6590"/>
          <cell r="J6590"/>
          <cell r="L6590"/>
        </row>
        <row r="6591">
          <cell r="A6591"/>
          <cell r="D6591"/>
          <cell r="E6591"/>
          <cell r="F6591"/>
          <cell r="G6591"/>
          <cell r="H6591"/>
          <cell r="I6591"/>
          <cell r="J6591"/>
          <cell r="L6591"/>
        </row>
        <row r="6592">
          <cell r="A6592"/>
          <cell r="D6592"/>
          <cell r="E6592"/>
          <cell r="F6592"/>
          <cell r="G6592"/>
          <cell r="H6592"/>
          <cell r="I6592"/>
          <cell r="J6592"/>
          <cell r="L6592"/>
        </row>
        <row r="6593">
          <cell r="A6593"/>
          <cell r="D6593"/>
          <cell r="E6593"/>
          <cell r="F6593"/>
          <cell r="G6593"/>
          <cell r="H6593"/>
          <cell r="I6593"/>
          <cell r="J6593"/>
          <cell r="L6593"/>
        </row>
        <row r="6594">
          <cell r="A6594"/>
          <cell r="D6594"/>
          <cell r="E6594"/>
          <cell r="F6594"/>
          <cell r="G6594"/>
          <cell r="H6594"/>
          <cell r="I6594"/>
          <cell r="J6594"/>
          <cell r="L6594"/>
        </row>
        <row r="6595">
          <cell r="A6595"/>
          <cell r="D6595"/>
          <cell r="E6595"/>
          <cell r="F6595"/>
          <cell r="G6595"/>
          <cell r="H6595"/>
          <cell r="I6595"/>
          <cell r="J6595"/>
          <cell r="L6595"/>
        </row>
        <row r="6596">
          <cell r="A6596"/>
          <cell r="D6596"/>
          <cell r="E6596"/>
          <cell r="F6596"/>
          <cell r="G6596"/>
          <cell r="H6596"/>
          <cell r="I6596"/>
          <cell r="J6596"/>
          <cell r="L6596"/>
        </row>
        <row r="6597">
          <cell r="A6597"/>
          <cell r="D6597"/>
          <cell r="E6597"/>
          <cell r="F6597"/>
          <cell r="G6597"/>
          <cell r="H6597"/>
          <cell r="I6597"/>
          <cell r="J6597"/>
          <cell r="L6597"/>
        </row>
        <row r="6598">
          <cell r="A6598"/>
          <cell r="D6598"/>
          <cell r="E6598"/>
          <cell r="F6598"/>
          <cell r="G6598"/>
          <cell r="H6598"/>
          <cell r="I6598"/>
          <cell r="J6598"/>
          <cell r="L6598"/>
        </row>
        <row r="6599">
          <cell r="A6599"/>
          <cell r="D6599"/>
          <cell r="E6599"/>
          <cell r="F6599"/>
          <cell r="G6599"/>
          <cell r="H6599"/>
          <cell r="I6599"/>
          <cell r="J6599"/>
          <cell r="L6599"/>
        </row>
        <row r="6600">
          <cell r="A6600"/>
          <cell r="D6600"/>
          <cell r="E6600"/>
          <cell r="F6600"/>
          <cell r="G6600"/>
          <cell r="H6600"/>
          <cell r="I6600"/>
          <cell r="J6600"/>
          <cell r="L6600"/>
        </row>
        <row r="6601">
          <cell r="A6601"/>
          <cell r="D6601"/>
          <cell r="E6601"/>
          <cell r="F6601"/>
          <cell r="G6601"/>
          <cell r="H6601"/>
          <cell r="I6601"/>
          <cell r="J6601"/>
          <cell r="L6601"/>
        </row>
        <row r="6602">
          <cell r="A6602"/>
          <cell r="D6602"/>
          <cell r="E6602"/>
          <cell r="F6602"/>
          <cell r="G6602"/>
          <cell r="H6602"/>
          <cell r="I6602"/>
          <cell r="J6602"/>
          <cell r="L6602"/>
        </row>
        <row r="6603">
          <cell r="A6603"/>
          <cell r="D6603"/>
          <cell r="E6603"/>
          <cell r="F6603"/>
          <cell r="G6603"/>
          <cell r="H6603"/>
          <cell r="I6603"/>
          <cell r="J6603"/>
          <cell r="L6603"/>
        </row>
        <row r="6604">
          <cell r="A6604"/>
          <cell r="D6604"/>
          <cell r="E6604"/>
          <cell r="F6604"/>
          <cell r="G6604"/>
          <cell r="H6604"/>
          <cell r="I6604"/>
          <cell r="J6604"/>
          <cell r="L6604"/>
        </row>
        <row r="6605">
          <cell r="A6605"/>
          <cell r="D6605"/>
          <cell r="E6605"/>
          <cell r="F6605"/>
          <cell r="G6605"/>
          <cell r="H6605"/>
          <cell r="I6605"/>
          <cell r="J6605"/>
          <cell r="L6605"/>
        </row>
        <row r="6606">
          <cell r="A6606"/>
          <cell r="D6606"/>
          <cell r="E6606"/>
          <cell r="F6606"/>
          <cell r="G6606"/>
          <cell r="H6606"/>
          <cell r="I6606"/>
          <cell r="J6606"/>
          <cell r="L6606"/>
        </row>
        <row r="6607">
          <cell r="A6607"/>
          <cell r="D6607"/>
          <cell r="E6607"/>
          <cell r="F6607"/>
          <cell r="G6607"/>
          <cell r="H6607"/>
          <cell r="I6607"/>
          <cell r="J6607"/>
          <cell r="L6607"/>
        </row>
        <row r="6608">
          <cell r="A6608"/>
          <cell r="D6608"/>
          <cell r="E6608"/>
          <cell r="F6608"/>
          <cell r="G6608"/>
          <cell r="H6608"/>
          <cell r="I6608"/>
          <cell r="J6608"/>
          <cell r="L6608"/>
        </row>
        <row r="6609">
          <cell r="A6609"/>
          <cell r="D6609"/>
          <cell r="E6609"/>
          <cell r="F6609"/>
          <cell r="G6609"/>
          <cell r="H6609"/>
          <cell r="I6609"/>
          <cell r="J6609"/>
          <cell r="L6609"/>
        </row>
        <row r="6610">
          <cell r="A6610"/>
          <cell r="D6610"/>
          <cell r="E6610"/>
          <cell r="F6610"/>
          <cell r="G6610"/>
          <cell r="H6610"/>
          <cell r="I6610"/>
          <cell r="J6610"/>
          <cell r="L6610"/>
        </row>
        <row r="6611">
          <cell r="A6611"/>
          <cell r="D6611"/>
          <cell r="E6611"/>
          <cell r="F6611"/>
          <cell r="G6611"/>
          <cell r="H6611"/>
          <cell r="I6611"/>
          <cell r="J6611"/>
          <cell r="L6611"/>
        </row>
        <row r="6612">
          <cell r="A6612"/>
          <cell r="D6612"/>
          <cell r="E6612"/>
          <cell r="F6612"/>
          <cell r="G6612"/>
          <cell r="H6612"/>
          <cell r="I6612"/>
          <cell r="J6612"/>
          <cell r="L6612"/>
        </row>
        <row r="6613">
          <cell r="A6613"/>
          <cell r="D6613"/>
          <cell r="E6613"/>
          <cell r="F6613"/>
          <cell r="G6613"/>
          <cell r="H6613"/>
          <cell r="I6613"/>
          <cell r="J6613"/>
          <cell r="L6613"/>
        </row>
        <row r="6614">
          <cell r="A6614"/>
          <cell r="D6614"/>
          <cell r="E6614"/>
          <cell r="F6614"/>
          <cell r="G6614"/>
          <cell r="H6614"/>
          <cell r="I6614"/>
          <cell r="J6614"/>
          <cell r="L6614"/>
        </row>
        <row r="6615">
          <cell r="A6615"/>
          <cell r="D6615"/>
          <cell r="E6615"/>
          <cell r="F6615"/>
          <cell r="G6615"/>
          <cell r="H6615"/>
          <cell r="I6615"/>
          <cell r="J6615"/>
          <cell r="L6615"/>
        </row>
        <row r="6616">
          <cell r="A6616"/>
          <cell r="D6616"/>
          <cell r="E6616"/>
          <cell r="F6616"/>
          <cell r="G6616"/>
          <cell r="H6616"/>
          <cell r="I6616"/>
          <cell r="J6616"/>
          <cell r="L6616"/>
        </row>
        <row r="6617">
          <cell r="A6617"/>
          <cell r="D6617"/>
          <cell r="E6617"/>
          <cell r="F6617"/>
          <cell r="G6617"/>
          <cell r="H6617"/>
          <cell r="I6617"/>
          <cell r="J6617"/>
          <cell r="L6617"/>
        </row>
        <row r="6618">
          <cell r="A6618"/>
          <cell r="D6618"/>
          <cell r="E6618"/>
          <cell r="F6618"/>
          <cell r="G6618"/>
          <cell r="H6618"/>
          <cell r="I6618"/>
          <cell r="J6618"/>
          <cell r="L6618"/>
        </row>
        <row r="6619">
          <cell r="A6619"/>
          <cell r="D6619"/>
          <cell r="E6619"/>
          <cell r="F6619"/>
          <cell r="G6619"/>
          <cell r="H6619"/>
          <cell r="I6619"/>
          <cell r="J6619"/>
          <cell r="L6619"/>
        </row>
        <row r="6620">
          <cell r="A6620"/>
          <cell r="D6620"/>
          <cell r="E6620"/>
          <cell r="F6620"/>
          <cell r="G6620"/>
          <cell r="H6620"/>
          <cell r="I6620"/>
          <cell r="J6620"/>
          <cell r="L6620"/>
        </row>
        <row r="6621">
          <cell r="A6621"/>
          <cell r="D6621"/>
          <cell r="E6621"/>
          <cell r="F6621"/>
          <cell r="G6621"/>
          <cell r="H6621"/>
          <cell r="I6621"/>
          <cell r="J6621"/>
          <cell r="L6621"/>
        </row>
        <row r="6622">
          <cell r="A6622"/>
          <cell r="D6622"/>
          <cell r="E6622"/>
          <cell r="F6622"/>
          <cell r="G6622"/>
          <cell r="H6622"/>
          <cell r="I6622"/>
          <cell r="J6622"/>
          <cell r="L6622"/>
        </row>
        <row r="6623">
          <cell r="A6623"/>
          <cell r="D6623"/>
          <cell r="E6623"/>
          <cell r="F6623"/>
          <cell r="G6623"/>
          <cell r="H6623"/>
          <cell r="I6623"/>
          <cell r="J6623"/>
          <cell r="L6623"/>
        </row>
        <row r="6624">
          <cell r="A6624"/>
          <cell r="D6624"/>
          <cell r="E6624"/>
          <cell r="F6624"/>
          <cell r="G6624"/>
          <cell r="H6624"/>
          <cell r="I6624"/>
          <cell r="J6624"/>
          <cell r="L6624"/>
        </row>
        <row r="6625">
          <cell r="A6625"/>
          <cell r="D6625"/>
          <cell r="E6625"/>
          <cell r="F6625"/>
          <cell r="G6625"/>
          <cell r="H6625"/>
          <cell r="I6625"/>
          <cell r="J6625"/>
          <cell r="L6625"/>
        </row>
        <row r="6626">
          <cell r="A6626"/>
          <cell r="D6626"/>
          <cell r="E6626"/>
          <cell r="F6626"/>
          <cell r="G6626"/>
          <cell r="H6626"/>
          <cell r="I6626"/>
          <cell r="J6626"/>
          <cell r="L6626"/>
        </row>
        <row r="6627">
          <cell r="A6627"/>
          <cell r="D6627"/>
          <cell r="E6627"/>
          <cell r="F6627"/>
          <cell r="G6627"/>
          <cell r="H6627"/>
          <cell r="I6627"/>
          <cell r="J6627"/>
          <cell r="L6627"/>
        </row>
        <row r="6628">
          <cell r="A6628"/>
          <cell r="D6628"/>
          <cell r="E6628"/>
          <cell r="F6628"/>
          <cell r="G6628"/>
          <cell r="H6628"/>
          <cell r="I6628"/>
          <cell r="J6628"/>
          <cell r="L6628"/>
        </row>
        <row r="6629">
          <cell r="A6629"/>
          <cell r="D6629"/>
          <cell r="E6629"/>
          <cell r="F6629"/>
          <cell r="G6629"/>
          <cell r="H6629"/>
          <cell r="I6629"/>
          <cell r="J6629"/>
          <cell r="L6629"/>
        </row>
        <row r="6630">
          <cell r="A6630"/>
          <cell r="D6630"/>
          <cell r="E6630"/>
          <cell r="F6630"/>
          <cell r="G6630"/>
          <cell r="H6630"/>
          <cell r="I6630"/>
          <cell r="J6630"/>
          <cell r="L6630"/>
        </row>
        <row r="6631">
          <cell r="A6631"/>
          <cell r="D6631"/>
          <cell r="E6631"/>
          <cell r="F6631"/>
          <cell r="G6631"/>
          <cell r="H6631"/>
          <cell r="I6631"/>
          <cell r="J6631"/>
          <cell r="L6631"/>
        </row>
        <row r="6632">
          <cell r="A6632"/>
          <cell r="D6632"/>
          <cell r="E6632"/>
          <cell r="F6632"/>
          <cell r="G6632"/>
          <cell r="H6632"/>
          <cell r="I6632"/>
          <cell r="J6632"/>
          <cell r="L6632"/>
        </row>
        <row r="6633">
          <cell r="A6633"/>
          <cell r="D6633"/>
          <cell r="E6633"/>
          <cell r="F6633"/>
          <cell r="G6633"/>
          <cell r="H6633"/>
          <cell r="I6633"/>
          <cell r="J6633"/>
          <cell r="L6633"/>
        </row>
        <row r="6634">
          <cell r="A6634"/>
          <cell r="D6634"/>
          <cell r="E6634"/>
          <cell r="F6634"/>
          <cell r="G6634"/>
          <cell r="H6634"/>
          <cell r="I6634"/>
          <cell r="J6634"/>
          <cell r="L6634"/>
        </row>
        <row r="6635">
          <cell r="A6635"/>
          <cell r="D6635"/>
          <cell r="E6635"/>
          <cell r="F6635"/>
          <cell r="G6635"/>
          <cell r="H6635"/>
          <cell r="I6635"/>
          <cell r="J6635"/>
          <cell r="L6635"/>
        </row>
        <row r="6636">
          <cell r="A6636"/>
          <cell r="D6636"/>
          <cell r="E6636"/>
          <cell r="F6636"/>
          <cell r="G6636"/>
          <cell r="H6636"/>
          <cell r="I6636"/>
          <cell r="J6636"/>
          <cell r="L6636"/>
        </row>
        <row r="6637">
          <cell r="A6637"/>
          <cell r="D6637"/>
          <cell r="E6637"/>
          <cell r="F6637"/>
          <cell r="G6637"/>
          <cell r="H6637"/>
          <cell r="I6637"/>
          <cell r="J6637"/>
          <cell r="L6637"/>
        </row>
        <row r="6638">
          <cell r="A6638"/>
          <cell r="D6638"/>
          <cell r="E6638"/>
          <cell r="F6638"/>
          <cell r="G6638"/>
          <cell r="H6638"/>
          <cell r="I6638"/>
          <cell r="J6638"/>
          <cell r="L6638"/>
        </row>
        <row r="6639">
          <cell r="A6639"/>
          <cell r="D6639"/>
          <cell r="E6639"/>
          <cell r="F6639"/>
          <cell r="G6639"/>
          <cell r="H6639"/>
          <cell r="I6639"/>
          <cell r="J6639"/>
          <cell r="L6639"/>
        </row>
        <row r="6640">
          <cell r="A6640"/>
          <cell r="D6640"/>
          <cell r="E6640"/>
          <cell r="F6640"/>
          <cell r="G6640"/>
          <cell r="H6640"/>
          <cell r="I6640"/>
          <cell r="J6640"/>
          <cell r="L6640"/>
        </row>
        <row r="6641">
          <cell r="A6641"/>
          <cell r="D6641"/>
          <cell r="E6641"/>
          <cell r="F6641"/>
          <cell r="G6641"/>
          <cell r="H6641"/>
          <cell r="I6641"/>
          <cell r="J6641"/>
          <cell r="L6641"/>
        </row>
        <row r="6642">
          <cell r="A6642"/>
          <cell r="D6642"/>
          <cell r="E6642"/>
          <cell r="F6642"/>
          <cell r="G6642"/>
          <cell r="H6642"/>
          <cell r="I6642"/>
          <cell r="J6642"/>
          <cell r="L6642"/>
        </row>
        <row r="6643">
          <cell r="A6643"/>
          <cell r="D6643"/>
          <cell r="E6643"/>
          <cell r="F6643"/>
          <cell r="G6643"/>
          <cell r="H6643"/>
          <cell r="I6643"/>
          <cell r="J6643"/>
          <cell r="L6643"/>
        </row>
        <row r="6644">
          <cell r="A6644"/>
          <cell r="D6644"/>
          <cell r="E6644"/>
          <cell r="F6644"/>
          <cell r="G6644"/>
          <cell r="H6644"/>
          <cell r="I6644"/>
          <cell r="J6644"/>
          <cell r="L6644"/>
        </row>
        <row r="6645">
          <cell r="A6645"/>
          <cell r="D6645"/>
          <cell r="E6645"/>
          <cell r="F6645"/>
          <cell r="G6645"/>
          <cell r="H6645"/>
          <cell r="I6645"/>
          <cell r="J6645"/>
          <cell r="L6645"/>
        </row>
        <row r="6646">
          <cell r="A6646"/>
          <cell r="D6646"/>
          <cell r="E6646"/>
          <cell r="F6646"/>
          <cell r="G6646"/>
          <cell r="H6646"/>
          <cell r="I6646"/>
          <cell r="J6646"/>
          <cell r="L6646"/>
        </row>
        <row r="6647">
          <cell r="A6647"/>
          <cell r="D6647"/>
          <cell r="E6647"/>
          <cell r="F6647"/>
          <cell r="G6647"/>
          <cell r="H6647"/>
          <cell r="I6647"/>
          <cell r="J6647"/>
          <cell r="L6647"/>
        </row>
        <row r="6648">
          <cell r="A6648"/>
          <cell r="D6648"/>
          <cell r="E6648"/>
          <cell r="F6648"/>
          <cell r="G6648"/>
          <cell r="H6648"/>
          <cell r="I6648"/>
          <cell r="J6648"/>
          <cell r="L6648"/>
        </row>
        <row r="6649">
          <cell r="A6649"/>
          <cell r="D6649"/>
          <cell r="E6649"/>
          <cell r="F6649"/>
          <cell r="G6649"/>
          <cell r="H6649"/>
          <cell r="I6649"/>
          <cell r="J6649"/>
          <cell r="L6649"/>
        </row>
        <row r="6650">
          <cell r="A6650"/>
          <cell r="D6650"/>
          <cell r="E6650"/>
          <cell r="F6650"/>
          <cell r="G6650"/>
          <cell r="H6650"/>
          <cell r="I6650"/>
          <cell r="J6650"/>
          <cell r="L6650"/>
        </row>
        <row r="6651">
          <cell r="A6651"/>
          <cell r="D6651"/>
          <cell r="E6651"/>
          <cell r="F6651"/>
          <cell r="G6651"/>
          <cell r="H6651"/>
          <cell r="I6651"/>
          <cell r="J6651"/>
          <cell r="L6651"/>
        </row>
        <row r="6652">
          <cell r="A6652"/>
          <cell r="D6652"/>
          <cell r="E6652"/>
          <cell r="F6652"/>
          <cell r="G6652"/>
          <cell r="H6652"/>
          <cell r="I6652"/>
          <cell r="J6652"/>
          <cell r="L6652"/>
        </row>
        <row r="6653">
          <cell r="A6653"/>
          <cell r="D6653"/>
          <cell r="E6653"/>
          <cell r="F6653"/>
          <cell r="G6653"/>
          <cell r="H6653"/>
          <cell r="I6653"/>
          <cell r="J6653"/>
          <cell r="L6653"/>
        </row>
        <row r="6654">
          <cell r="A6654"/>
          <cell r="D6654"/>
          <cell r="E6654"/>
          <cell r="F6654"/>
          <cell r="G6654"/>
          <cell r="H6654"/>
          <cell r="I6654"/>
          <cell r="J6654"/>
          <cell r="L6654"/>
        </row>
        <row r="6655">
          <cell r="A6655"/>
          <cell r="D6655"/>
          <cell r="E6655"/>
          <cell r="F6655"/>
          <cell r="G6655"/>
          <cell r="H6655"/>
          <cell r="I6655"/>
          <cell r="J6655"/>
          <cell r="L6655"/>
        </row>
        <row r="6656">
          <cell r="A6656"/>
          <cell r="D6656"/>
          <cell r="E6656"/>
          <cell r="F6656"/>
          <cell r="G6656"/>
          <cell r="H6656"/>
          <cell r="I6656"/>
          <cell r="J6656"/>
          <cell r="L6656"/>
        </row>
        <row r="6657">
          <cell r="A6657"/>
          <cell r="D6657"/>
          <cell r="E6657"/>
          <cell r="F6657"/>
          <cell r="G6657"/>
          <cell r="H6657"/>
          <cell r="I6657"/>
          <cell r="J6657"/>
          <cell r="L6657"/>
        </row>
        <row r="6658">
          <cell r="A6658"/>
          <cell r="D6658"/>
          <cell r="E6658"/>
          <cell r="F6658"/>
          <cell r="G6658"/>
          <cell r="H6658"/>
          <cell r="I6658"/>
          <cell r="J6658"/>
          <cell r="L6658"/>
        </row>
        <row r="6659">
          <cell r="A6659"/>
          <cell r="D6659"/>
          <cell r="E6659"/>
          <cell r="F6659"/>
          <cell r="G6659"/>
          <cell r="H6659"/>
          <cell r="I6659"/>
          <cell r="J6659"/>
          <cell r="L6659"/>
        </row>
        <row r="6660">
          <cell r="A6660"/>
          <cell r="D6660"/>
          <cell r="E6660"/>
          <cell r="F6660"/>
          <cell r="G6660"/>
          <cell r="H6660"/>
          <cell r="I6660"/>
          <cell r="J6660"/>
          <cell r="L6660"/>
        </row>
        <row r="6661">
          <cell r="A6661"/>
          <cell r="D6661"/>
          <cell r="E6661"/>
          <cell r="F6661"/>
          <cell r="G6661"/>
          <cell r="H6661"/>
          <cell r="I6661"/>
          <cell r="J6661"/>
          <cell r="L6661"/>
        </row>
        <row r="6662">
          <cell r="A6662"/>
          <cell r="D6662"/>
          <cell r="E6662"/>
          <cell r="F6662"/>
          <cell r="G6662"/>
          <cell r="H6662"/>
          <cell r="I6662"/>
          <cell r="J6662"/>
          <cell r="L6662"/>
        </row>
        <row r="6663">
          <cell r="A6663"/>
          <cell r="D6663"/>
          <cell r="E6663"/>
          <cell r="F6663"/>
          <cell r="G6663"/>
          <cell r="H6663"/>
          <cell r="I6663"/>
          <cell r="J6663"/>
          <cell r="L6663"/>
        </row>
        <row r="6664">
          <cell r="A6664"/>
          <cell r="D6664"/>
          <cell r="E6664"/>
          <cell r="F6664"/>
          <cell r="G6664"/>
          <cell r="H6664"/>
          <cell r="I6664"/>
          <cell r="J6664"/>
          <cell r="L6664"/>
        </row>
        <row r="6665">
          <cell r="A6665"/>
          <cell r="D6665"/>
          <cell r="E6665"/>
          <cell r="F6665"/>
          <cell r="G6665"/>
          <cell r="H6665"/>
          <cell r="I6665"/>
          <cell r="J6665"/>
          <cell r="L6665"/>
        </row>
        <row r="6666">
          <cell r="A6666"/>
          <cell r="D6666"/>
          <cell r="E6666"/>
          <cell r="F6666"/>
          <cell r="G6666"/>
          <cell r="H6666"/>
          <cell r="I6666"/>
          <cell r="J6666"/>
          <cell r="L6666"/>
        </row>
        <row r="6667">
          <cell r="A6667"/>
          <cell r="D6667"/>
          <cell r="E6667"/>
          <cell r="F6667"/>
          <cell r="G6667"/>
          <cell r="H6667"/>
          <cell r="I6667"/>
          <cell r="J6667"/>
          <cell r="L6667"/>
        </row>
        <row r="6668">
          <cell r="A6668"/>
          <cell r="D6668"/>
          <cell r="E6668"/>
          <cell r="F6668"/>
          <cell r="G6668"/>
          <cell r="H6668"/>
          <cell r="I6668"/>
          <cell r="J6668"/>
          <cell r="L6668"/>
        </row>
        <row r="6669">
          <cell r="A6669"/>
          <cell r="D6669"/>
          <cell r="E6669"/>
          <cell r="F6669"/>
          <cell r="G6669"/>
          <cell r="H6669"/>
          <cell r="I6669"/>
          <cell r="J6669"/>
          <cell r="L6669"/>
        </row>
        <row r="6670">
          <cell r="A6670"/>
          <cell r="D6670"/>
          <cell r="E6670"/>
          <cell r="F6670"/>
          <cell r="G6670"/>
          <cell r="H6670"/>
          <cell r="I6670"/>
          <cell r="J6670"/>
          <cell r="L6670"/>
        </row>
        <row r="6671">
          <cell r="A6671"/>
          <cell r="D6671"/>
          <cell r="E6671"/>
          <cell r="F6671"/>
          <cell r="G6671"/>
          <cell r="H6671"/>
          <cell r="I6671"/>
          <cell r="J6671"/>
          <cell r="L6671"/>
        </row>
        <row r="6672">
          <cell r="A6672"/>
          <cell r="D6672"/>
          <cell r="E6672"/>
          <cell r="F6672"/>
          <cell r="G6672"/>
          <cell r="H6672"/>
          <cell r="I6672"/>
          <cell r="J6672"/>
          <cell r="L6672"/>
        </row>
        <row r="6673">
          <cell r="A6673"/>
          <cell r="D6673"/>
          <cell r="E6673"/>
          <cell r="F6673"/>
          <cell r="G6673"/>
          <cell r="H6673"/>
          <cell r="I6673"/>
          <cell r="J6673"/>
          <cell r="L6673"/>
        </row>
        <row r="6674">
          <cell r="A6674"/>
          <cell r="D6674"/>
          <cell r="E6674"/>
          <cell r="F6674"/>
          <cell r="G6674"/>
          <cell r="H6674"/>
          <cell r="I6674"/>
          <cell r="J6674"/>
          <cell r="L6674"/>
        </row>
        <row r="6675">
          <cell r="A6675"/>
          <cell r="D6675"/>
          <cell r="E6675"/>
          <cell r="F6675"/>
          <cell r="G6675"/>
          <cell r="H6675"/>
          <cell r="I6675"/>
          <cell r="J6675"/>
          <cell r="L6675"/>
        </row>
        <row r="6676">
          <cell r="A6676"/>
          <cell r="D6676"/>
          <cell r="E6676"/>
          <cell r="F6676"/>
          <cell r="G6676"/>
          <cell r="H6676"/>
          <cell r="I6676"/>
          <cell r="J6676"/>
          <cell r="L6676"/>
        </row>
        <row r="6677">
          <cell r="A6677"/>
          <cell r="D6677"/>
          <cell r="E6677"/>
          <cell r="F6677"/>
          <cell r="G6677"/>
          <cell r="H6677"/>
          <cell r="I6677"/>
          <cell r="J6677"/>
          <cell r="L6677"/>
        </row>
        <row r="6678">
          <cell r="A6678"/>
          <cell r="D6678"/>
          <cell r="E6678"/>
          <cell r="F6678"/>
          <cell r="G6678"/>
          <cell r="H6678"/>
          <cell r="I6678"/>
          <cell r="J6678"/>
          <cell r="L6678"/>
        </row>
        <row r="6679">
          <cell r="A6679"/>
          <cell r="D6679"/>
          <cell r="E6679"/>
          <cell r="F6679"/>
          <cell r="G6679"/>
          <cell r="H6679"/>
          <cell r="I6679"/>
          <cell r="J6679"/>
          <cell r="L6679"/>
        </row>
        <row r="6680">
          <cell r="A6680"/>
          <cell r="D6680"/>
          <cell r="E6680"/>
          <cell r="F6680"/>
          <cell r="G6680"/>
          <cell r="H6680"/>
          <cell r="I6680"/>
          <cell r="J6680"/>
          <cell r="L6680"/>
        </row>
        <row r="6681">
          <cell r="A6681"/>
          <cell r="D6681"/>
          <cell r="E6681"/>
          <cell r="F6681"/>
          <cell r="G6681"/>
          <cell r="H6681"/>
          <cell r="I6681"/>
          <cell r="J6681"/>
          <cell r="L6681"/>
        </row>
        <row r="6682">
          <cell r="A6682"/>
          <cell r="D6682"/>
          <cell r="E6682"/>
          <cell r="F6682"/>
          <cell r="G6682"/>
          <cell r="H6682"/>
          <cell r="I6682"/>
          <cell r="J6682"/>
          <cell r="L6682"/>
        </row>
        <row r="6683">
          <cell r="A6683"/>
          <cell r="D6683"/>
          <cell r="E6683"/>
          <cell r="F6683"/>
          <cell r="G6683"/>
          <cell r="H6683"/>
          <cell r="I6683"/>
          <cell r="J6683"/>
          <cell r="L6683"/>
        </row>
        <row r="6684">
          <cell r="A6684"/>
          <cell r="D6684"/>
          <cell r="E6684"/>
          <cell r="F6684"/>
          <cell r="G6684"/>
          <cell r="H6684"/>
          <cell r="I6684"/>
          <cell r="J6684"/>
          <cell r="L6684"/>
        </row>
        <row r="6685">
          <cell r="A6685"/>
          <cell r="D6685"/>
          <cell r="E6685"/>
          <cell r="F6685"/>
          <cell r="G6685"/>
          <cell r="H6685"/>
          <cell r="I6685"/>
          <cell r="J6685"/>
          <cell r="L6685"/>
        </row>
        <row r="6686">
          <cell r="A6686"/>
          <cell r="D6686"/>
          <cell r="E6686"/>
          <cell r="F6686"/>
          <cell r="G6686"/>
          <cell r="H6686"/>
          <cell r="I6686"/>
          <cell r="J6686"/>
          <cell r="L6686"/>
        </row>
        <row r="6687">
          <cell r="A6687"/>
          <cell r="D6687"/>
          <cell r="E6687"/>
          <cell r="F6687"/>
          <cell r="G6687"/>
          <cell r="H6687"/>
          <cell r="I6687"/>
          <cell r="J6687"/>
          <cell r="L6687"/>
        </row>
        <row r="6688">
          <cell r="A6688"/>
          <cell r="D6688"/>
          <cell r="E6688"/>
          <cell r="F6688"/>
          <cell r="G6688"/>
          <cell r="H6688"/>
          <cell r="I6688"/>
          <cell r="J6688"/>
          <cell r="L6688"/>
        </row>
        <row r="6689">
          <cell r="A6689"/>
          <cell r="D6689"/>
          <cell r="E6689"/>
          <cell r="F6689"/>
          <cell r="G6689"/>
          <cell r="H6689"/>
          <cell r="I6689"/>
          <cell r="J6689"/>
          <cell r="L6689"/>
        </row>
        <row r="6690">
          <cell r="A6690"/>
          <cell r="D6690"/>
          <cell r="E6690"/>
          <cell r="F6690"/>
          <cell r="G6690"/>
          <cell r="H6690"/>
          <cell r="I6690"/>
          <cell r="J6690"/>
          <cell r="L6690"/>
        </row>
        <row r="6691">
          <cell r="A6691"/>
          <cell r="D6691"/>
          <cell r="E6691"/>
          <cell r="F6691"/>
          <cell r="G6691"/>
          <cell r="H6691"/>
          <cell r="I6691"/>
          <cell r="J6691"/>
          <cell r="L6691"/>
        </row>
        <row r="6692">
          <cell r="A6692"/>
          <cell r="D6692"/>
          <cell r="E6692"/>
          <cell r="F6692"/>
          <cell r="G6692"/>
          <cell r="H6692"/>
          <cell r="I6692"/>
          <cell r="J6692"/>
          <cell r="L6692"/>
        </row>
        <row r="6693">
          <cell r="A6693"/>
          <cell r="D6693"/>
          <cell r="E6693"/>
          <cell r="F6693"/>
          <cell r="G6693"/>
          <cell r="H6693"/>
          <cell r="I6693"/>
          <cell r="J6693"/>
          <cell r="L6693"/>
        </row>
        <row r="6694">
          <cell r="A6694"/>
          <cell r="D6694"/>
          <cell r="E6694"/>
          <cell r="F6694"/>
          <cell r="G6694"/>
          <cell r="H6694"/>
          <cell r="I6694"/>
          <cell r="J6694"/>
          <cell r="L6694"/>
        </row>
        <row r="6695">
          <cell r="A6695"/>
          <cell r="D6695"/>
          <cell r="E6695"/>
          <cell r="F6695"/>
          <cell r="G6695"/>
          <cell r="H6695"/>
          <cell r="I6695"/>
          <cell r="J6695"/>
          <cell r="L6695"/>
        </row>
        <row r="6696">
          <cell r="A6696"/>
          <cell r="D6696"/>
          <cell r="E6696"/>
          <cell r="F6696"/>
          <cell r="G6696"/>
          <cell r="H6696"/>
          <cell r="I6696"/>
          <cell r="J6696"/>
          <cell r="L6696"/>
        </row>
        <row r="6697">
          <cell r="A6697"/>
          <cell r="D6697"/>
          <cell r="E6697"/>
          <cell r="F6697"/>
          <cell r="G6697"/>
          <cell r="H6697"/>
          <cell r="I6697"/>
          <cell r="J6697"/>
          <cell r="L6697"/>
        </row>
        <row r="6698">
          <cell r="A6698"/>
          <cell r="D6698"/>
          <cell r="E6698"/>
          <cell r="F6698"/>
          <cell r="G6698"/>
          <cell r="H6698"/>
          <cell r="I6698"/>
          <cell r="J6698"/>
          <cell r="L6698"/>
        </row>
        <row r="6699">
          <cell r="A6699"/>
          <cell r="D6699"/>
          <cell r="E6699"/>
          <cell r="F6699"/>
          <cell r="G6699"/>
          <cell r="H6699"/>
          <cell r="I6699"/>
          <cell r="J6699"/>
          <cell r="L6699"/>
        </row>
        <row r="6700">
          <cell r="A6700"/>
          <cell r="D6700"/>
          <cell r="E6700"/>
          <cell r="F6700"/>
          <cell r="G6700"/>
          <cell r="H6700"/>
          <cell r="I6700"/>
          <cell r="J6700"/>
          <cell r="L6700"/>
        </row>
        <row r="6701">
          <cell r="A6701"/>
          <cell r="D6701"/>
          <cell r="E6701"/>
          <cell r="F6701"/>
          <cell r="G6701"/>
          <cell r="H6701"/>
          <cell r="I6701"/>
          <cell r="J6701"/>
          <cell r="L6701"/>
        </row>
        <row r="6702">
          <cell r="A6702"/>
          <cell r="D6702"/>
          <cell r="E6702"/>
          <cell r="F6702"/>
          <cell r="G6702"/>
          <cell r="H6702"/>
          <cell r="I6702"/>
          <cell r="J6702"/>
          <cell r="L6702"/>
        </row>
        <row r="6703">
          <cell r="A6703"/>
          <cell r="D6703"/>
          <cell r="E6703"/>
          <cell r="F6703"/>
          <cell r="G6703"/>
          <cell r="H6703"/>
          <cell r="I6703"/>
          <cell r="J6703"/>
          <cell r="L6703"/>
        </row>
        <row r="6704">
          <cell r="A6704"/>
          <cell r="D6704"/>
          <cell r="E6704"/>
          <cell r="F6704"/>
          <cell r="G6704"/>
          <cell r="H6704"/>
          <cell r="I6704"/>
          <cell r="J6704"/>
          <cell r="L6704"/>
        </row>
        <row r="6705">
          <cell r="A6705"/>
          <cell r="D6705"/>
          <cell r="E6705"/>
          <cell r="F6705"/>
          <cell r="G6705"/>
          <cell r="H6705"/>
          <cell r="I6705"/>
          <cell r="J6705"/>
          <cell r="L6705"/>
        </row>
        <row r="6706">
          <cell r="A6706"/>
          <cell r="D6706"/>
          <cell r="E6706"/>
          <cell r="F6706"/>
          <cell r="G6706"/>
          <cell r="H6706"/>
          <cell r="I6706"/>
          <cell r="J6706"/>
          <cell r="L6706"/>
        </row>
        <row r="6707">
          <cell r="A6707"/>
          <cell r="D6707"/>
          <cell r="E6707"/>
          <cell r="F6707"/>
          <cell r="G6707"/>
          <cell r="H6707"/>
          <cell r="I6707"/>
          <cell r="J6707"/>
          <cell r="L6707"/>
        </row>
        <row r="6708">
          <cell r="A6708"/>
          <cell r="D6708"/>
          <cell r="E6708"/>
          <cell r="F6708"/>
          <cell r="G6708"/>
          <cell r="H6708"/>
          <cell r="I6708"/>
          <cell r="J6708"/>
          <cell r="L6708"/>
        </row>
        <row r="6709">
          <cell r="A6709"/>
          <cell r="D6709"/>
          <cell r="E6709"/>
          <cell r="F6709"/>
          <cell r="G6709"/>
          <cell r="H6709"/>
          <cell r="I6709"/>
          <cell r="J6709"/>
          <cell r="L6709"/>
        </row>
        <row r="6710">
          <cell r="A6710"/>
          <cell r="D6710"/>
          <cell r="E6710"/>
          <cell r="F6710"/>
          <cell r="G6710"/>
          <cell r="H6710"/>
          <cell r="I6710"/>
          <cell r="J6710"/>
          <cell r="L6710"/>
        </row>
        <row r="6711">
          <cell r="A6711"/>
          <cell r="D6711"/>
          <cell r="E6711"/>
          <cell r="F6711"/>
          <cell r="G6711"/>
          <cell r="H6711"/>
          <cell r="I6711"/>
          <cell r="J6711"/>
          <cell r="L6711"/>
        </row>
        <row r="6712">
          <cell r="A6712"/>
          <cell r="D6712"/>
          <cell r="E6712"/>
          <cell r="F6712"/>
          <cell r="G6712"/>
          <cell r="H6712"/>
          <cell r="I6712"/>
          <cell r="J6712"/>
          <cell r="L6712"/>
        </row>
        <row r="6713">
          <cell r="A6713"/>
          <cell r="D6713"/>
          <cell r="E6713"/>
          <cell r="F6713"/>
          <cell r="G6713"/>
          <cell r="H6713"/>
          <cell r="I6713"/>
          <cell r="J6713"/>
          <cell r="L6713"/>
        </row>
        <row r="6714">
          <cell r="A6714"/>
          <cell r="D6714"/>
          <cell r="E6714"/>
          <cell r="F6714"/>
          <cell r="G6714"/>
          <cell r="H6714"/>
          <cell r="I6714"/>
          <cell r="J6714"/>
          <cell r="L6714"/>
        </row>
        <row r="6715">
          <cell r="A6715"/>
          <cell r="D6715"/>
          <cell r="E6715"/>
          <cell r="F6715"/>
          <cell r="G6715"/>
          <cell r="H6715"/>
          <cell r="I6715"/>
          <cell r="J6715"/>
          <cell r="L6715"/>
        </row>
        <row r="6716">
          <cell r="A6716"/>
          <cell r="D6716"/>
          <cell r="E6716"/>
          <cell r="F6716"/>
          <cell r="G6716"/>
          <cell r="H6716"/>
          <cell r="I6716"/>
          <cell r="J6716"/>
          <cell r="L6716"/>
        </row>
        <row r="6717">
          <cell r="A6717"/>
          <cell r="D6717"/>
          <cell r="E6717"/>
          <cell r="F6717"/>
          <cell r="G6717"/>
          <cell r="H6717"/>
          <cell r="I6717"/>
          <cell r="J6717"/>
          <cell r="L6717"/>
        </row>
        <row r="6718">
          <cell r="A6718"/>
          <cell r="D6718"/>
          <cell r="E6718"/>
          <cell r="F6718"/>
          <cell r="G6718"/>
          <cell r="H6718"/>
          <cell r="I6718"/>
          <cell r="J6718"/>
          <cell r="L6718"/>
        </row>
        <row r="6719">
          <cell r="A6719"/>
          <cell r="D6719"/>
          <cell r="E6719"/>
          <cell r="F6719"/>
          <cell r="G6719"/>
          <cell r="H6719"/>
          <cell r="I6719"/>
          <cell r="J6719"/>
          <cell r="L6719"/>
        </row>
        <row r="6720">
          <cell r="A6720"/>
          <cell r="D6720"/>
          <cell r="E6720"/>
          <cell r="F6720"/>
          <cell r="G6720"/>
          <cell r="H6720"/>
          <cell r="I6720"/>
          <cell r="J6720"/>
          <cell r="L6720"/>
        </row>
        <row r="6721">
          <cell r="A6721"/>
          <cell r="D6721"/>
          <cell r="E6721"/>
          <cell r="F6721"/>
          <cell r="G6721"/>
          <cell r="H6721"/>
          <cell r="I6721"/>
          <cell r="J6721"/>
          <cell r="L6721"/>
        </row>
        <row r="6722">
          <cell r="A6722"/>
          <cell r="D6722"/>
          <cell r="E6722"/>
          <cell r="F6722"/>
          <cell r="G6722"/>
          <cell r="H6722"/>
          <cell r="I6722"/>
          <cell r="J6722"/>
          <cell r="L6722"/>
        </row>
        <row r="6723">
          <cell r="A6723"/>
          <cell r="D6723"/>
          <cell r="E6723"/>
          <cell r="F6723"/>
          <cell r="G6723"/>
          <cell r="H6723"/>
          <cell r="I6723"/>
          <cell r="J6723"/>
          <cell r="L6723"/>
        </row>
        <row r="6724">
          <cell r="A6724"/>
          <cell r="D6724"/>
          <cell r="E6724"/>
          <cell r="F6724"/>
          <cell r="G6724"/>
          <cell r="H6724"/>
          <cell r="I6724"/>
          <cell r="J6724"/>
          <cell r="L6724"/>
        </row>
        <row r="6725">
          <cell r="A6725"/>
          <cell r="D6725"/>
          <cell r="E6725"/>
          <cell r="F6725"/>
          <cell r="G6725"/>
          <cell r="H6725"/>
          <cell r="I6725"/>
          <cell r="J6725"/>
          <cell r="L6725"/>
        </row>
        <row r="6726">
          <cell r="A6726"/>
          <cell r="D6726"/>
          <cell r="E6726"/>
          <cell r="F6726"/>
          <cell r="G6726"/>
          <cell r="H6726"/>
          <cell r="I6726"/>
          <cell r="J6726"/>
          <cell r="L6726"/>
        </row>
        <row r="6727">
          <cell r="A6727"/>
          <cell r="D6727"/>
          <cell r="E6727"/>
          <cell r="F6727"/>
          <cell r="G6727"/>
          <cell r="H6727"/>
          <cell r="I6727"/>
          <cell r="J6727"/>
          <cell r="L6727"/>
        </row>
        <row r="6728">
          <cell r="A6728"/>
          <cell r="D6728"/>
          <cell r="E6728"/>
          <cell r="F6728"/>
          <cell r="G6728"/>
          <cell r="H6728"/>
          <cell r="I6728"/>
          <cell r="J6728"/>
          <cell r="L6728"/>
        </row>
        <row r="6729">
          <cell r="A6729"/>
          <cell r="D6729"/>
          <cell r="E6729"/>
          <cell r="F6729"/>
          <cell r="G6729"/>
          <cell r="H6729"/>
          <cell r="I6729"/>
          <cell r="J6729"/>
          <cell r="L6729"/>
        </row>
        <row r="6730">
          <cell r="A6730"/>
          <cell r="D6730"/>
          <cell r="E6730"/>
          <cell r="F6730"/>
          <cell r="G6730"/>
          <cell r="H6730"/>
          <cell r="I6730"/>
          <cell r="J6730"/>
          <cell r="L6730"/>
        </row>
        <row r="6731">
          <cell r="A6731"/>
          <cell r="D6731"/>
          <cell r="E6731"/>
          <cell r="F6731"/>
          <cell r="G6731"/>
          <cell r="H6731"/>
          <cell r="I6731"/>
          <cell r="J6731"/>
          <cell r="L6731"/>
        </row>
        <row r="6732">
          <cell r="A6732"/>
          <cell r="D6732"/>
          <cell r="E6732"/>
          <cell r="F6732"/>
          <cell r="G6732"/>
          <cell r="H6732"/>
          <cell r="I6732"/>
          <cell r="J6732"/>
          <cell r="L6732"/>
        </row>
        <row r="6733">
          <cell r="A6733"/>
          <cell r="D6733"/>
          <cell r="E6733"/>
          <cell r="F6733"/>
          <cell r="G6733"/>
          <cell r="H6733"/>
          <cell r="I6733"/>
          <cell r="J6733"/>
          <cell r="L6733"/>
        </row>
        <row r="6734">
          <cell r="A6734"/>
          <cell r="D6734"/>
          <cell r="E6734"/>
          <cell r="F6734"/>
          <cell r="G6734"/>
          <cell r="H6734"/>
          <cell r="I6734"/>
          <cell r="J6734"/>
          <cell r="L6734"/>
        </row>
        <row r="6735">
          <cell r="A6735"/>
          <cell r="D6735"/>
          <cell r="E6735"/>
          <cell r="F6735"/>
          <cell r="G6735"/>
          <cell r="H6735"/>
          <cell r="I6735"/>
          <cell r="J6735"/>
          <cell r="L6735"/>
        </row>
        <row r="6736">
          <cell r="A6736"/>
          <cell r="D6736"/>
          <cell r="E6736"/>
          <cell r="F6736"/>
          <cell r="G6736"/>
          <cell r="H6736"/>
          <cell r="I6736"/>
          <cell r="J6736"/>
          <cell r="L6736"/>
        </row>
        <row r="6737">
          <cell r="A6737"/>
          <cell r="D6737"/>
          <cell r="E6737"/>
          <cell r="F6737"/>
          <cell r="G6737"/>
          <cell r="H6737"/>
          <cell r="I6737"/>
          <cell r="J6737"/>
          <cell r="L6737"/>
        </row>
        <row r="6738">
          <cell r="A6738"/>
          <cell r="D6738"/>
          <cell r="E6738"/>
          <cell r="F6738"/>
          <cell r="G6738"/>
          <cell r="H6738"/>
          <cell r="I6738"/>
          <cell r="J6738"/>
          <cell r="L6738"/>
        </row>
        <row r="6739">
          <cell r="A6739"/>
          <cell r="D6739"/>
          <cell r="E6739"/>
          <cell r="F6739"/>
          <cell r="G6739"/>
          <cell r="H6739"/>
          <cell r="I6739"/>
          <cell r="J6739"/>
          <cell r="L6739"/>
        </row>
        <row r="6740">
          <cell r="A6740"/>
          <cell r="D6740"/>
          <cell r="E6740"/>
          <cell r="F6740"/>
          <cell r="G6740"/>
          <cell r="H6740"/>
          <cell r="I6740"/>
          <cell r="J6740"/>
          <cell r="L6740"/>
        </row>
        <row r="6741">
          <cell r="A6741"/>
          <cell r="D6741"/>
          <cell r="E6741"/>
          <cell r="F6741"/>
          <cell r="G6741"/>
          <cell r="H6741"/>
          <cell r="I6741"/>
          <cell r="J6741"/>
          <cell r="L6741"/>
        </row>
        <row r="6742">
          <cell r="A6742"/>
          <cell r="D6742"/>
          <cell r="E6742"/>
          <cell r="F6742"/>
          <cell r="G6742"/>
          <cell r="H6742"/>
          <cell r="I6742"/>
          <cell r="J6742"/>
          <cell r="L6742"/>
        </row>
        <row r="6743">
          <cell r="A6743"/>
          <cell r="D6743"/>
          <cell r="E6743"/>
          <cell r="F6743"/>
          <cell r="G6743"/>
          <cell r="H6743"/>
          <cell r="I6743"/>
          <cell r="J6743"/>
          <cell r="L6743"/>
        </row>
        <row r="6744">
          <cell r="A6744"/>
          <cell r="D6744"/>
          <cell r="E6744"/>
          <cell r="F6744"/>
          <cell r="G6744"/>
          <cell r="H6744"/>
          <cell r="I6744"/>
          <cell r="J6744"/>
          <cell r="L6744"/>
        </row>
        <row r="6745">
          <cell r="A6745"/>
          <cell r="D6745"/>
          <cell r="E6745"/>
          <cell r="F6745"/>
          <cell r="G6745"/>
          <cell r="H6745"/>
          <cell r="I6745"/>
          <cell r="J6745"/>
          <cell r="L6745"/>
        </row>
        <row r="6746">
          <cell r="A6746"/>
          <cell r="D6746"/>
          <cell r="E6746"/>
          <cell r="F6746"/>
          <cell r="G6746"/>
          <cell r="H6746"/>
          <cell r="I6746"/>
          <cell r="J6746"/>
          <cell r="L6746"/>
        </row>
        <row r="6747">
          <cell r="A6747"/>
          <cell r="D6747"/>
          <cell r="E6747"/>
          <cell r="F6747"/>
          <cell r="G6747"/>
          <cell r="H6747"/>
          <cell r="I6747"/>
          <cell r="J6747"/>
          <cell r="L6747"/>
        </row>
        <row r="6748">
          <cell r="A6748"/>
          <cell r="D6748"/>
          <cell r="E6748"/>
          <cell r="F6748"/>
          <cell r="G6748"/>
          <cell r="H6748"/>
          <cell r="I6748"/>
          <cell r="J6748"/>
          <cell r="L6748"/>
        </row>
        <row r="6749">
          <cell r="A6749"/>
          <cell r="D6749"/>
          <cell r="E6749"/>
          <cell r="F6749"/>
          <cell r="G6749"/>
          <cell r="H6749"/>
          <cell r="I6749"/>
          <cell r="J6749"/>
          <cell r="L6749"/>
        </row>
        <row r="6750">
          <cell r="A6750"/>
          <cell r="D6750"/>
          <cell r="E6750"/>
          <cell r="F6750"/>
          <cell r="G6750"/>
          <cell r="H6750"/>
          <cell r="I6750"/>
          <cell r="J6750"/>
          <cell r="L6750"/>
        </row>
        <row r="6751">
          <cell r="A6751"/>
          <cell r="D6751"/>
          <cell r="E6751"/>
          <cell r="F6751"/>
          <cell r="G6751"/>
          <cell r="H6751"/>
          <cell r="I6751"/>
          <cell r="J6751"/>
          <cell r="L6751"/>
        </row>
        <row r="6752">
          <cell r="A6752"/>
          <cell r="D6752"/>
          <cell r="E6752"/>
          <cell r="F6752"/>
          <cell r="G6752"/>
          <cell r="H6752"/>
          <cell r="I6752"/>
          <cell r="J6752"/>
          <cell r="L6752"/>
        </row>
        <row r="6753">
          <cell r="A6753"/>
          <cell r="D6753"/>
          <cell r="E6753"/>
          <cell r="F6753"/>
          <cell r="G6753"/>
          <cell r="H6753"/>
          <cell r="I6753"/>
          <cell r="J6753"/>
          <cell r="L6753"/>
        </row>
        <row r="6754">
          <cell r="A6754"/>
          <cell r="D6754"/>
          <cell r="E6754"/>
          <cell r="F6754"/>
          <cell r="G6754"/>
          <cell r="H6754"/>
          <cell r="I6754"/>
          <cell r="J6754"/>
          <cell r="L6754"/>
        </row>
        <row r="6755">
          <cell r="A6755"/>
          <cell r="D6755"/>
          <cell r="E6755"/>
          <cell r="F6755"/>
          <cell r="G6755"/>
          <cell r="H6755"/>
          <cell r="I6755"/>
          <cell r="J6755"/>
          <cell r="L6755"/>
        </row>
        <row r="6756">
          <cell r="A6756"/>
          <cell r="D6756"/>
          <cell r="E6756"/>
          <cell r="F6756"/>
          <cell r="G6756"/>
          <cell r="H6756"/>
          <cell r="I6756"/>
          <cell r="J6756"/>
          <cell r="L6756"/>
        </row>
        <row r="6757">
          <cell r="A6757"/>
          <cell r="D6757"/>
          <cell r="E6757"/>
          <cell r="F6757"/>
          <cell r="G6757"/>
          <cell r="H6757"/>
          <cell r="I6757"/>
          <cell r="J6757"/>
          <cell r="L6757"/>
        </row>
        <row r="6758">
          <cell r="A6758"/>
          <cell r="D6758"/>
          <cell r="E6758"/>
          <cell r="F6758"/>
          <cell r="G6758"/>
          <cell r="H6758"/>
          <cell r="I6758"/>
          <cell r="J6758"/>
          <cell r="L6758"/>
        </row>
        <row r="6759">
          <cell r="A6759"/>
          <cell r="D6759"/>
          <cell r="E6759"/>
          <cell r="F6759"/>
          <cell r="G6759"/>
          <cell r="H6759"/>
          <cell r="I6759"/>
          <cell r="J6759"/>
          <cell r="L6759"/>
        </row>
        <row r="6760">
          <cell r="A6760"/>
          <cell r="D6760"/>
          <cell r="E6760"/>
          <cell r="F6760"/>
          <cell r="G6760"/>
          <cell r="H6760"/>
          <cell r="I6760"/>
          <cell r="J6760"/>
          <cell r="L6760"/>
        </row>
        <row r="6761">
          <cell r="A6761"/>
          <cell r="D6761"/>
          <cell r="E6761"/>
          <cell r="F6761"/>
          <cell r="G6761"/>
          <cell r="H6761"/>
          <cell r="I6761"/>
          <cell r="J6761"/>
          <cell r="L6761"/>
        </row>
        <row r="6762">
          <cell r="A6762"/>
          <cell r="D6762"/>
          <cell r="E6762"/>
          <cell r="F6762"/>
          <cell r="G6762"/>
          <cell r="H6762"/>
          <cell r="I6762"/>
          <cell r="J6762"/>
          <cell r="L6762"/>
        </row>
        <row r="6763">
          <cell r="A6763"/>
          <cell r="D6763"/>
          <cell r="E6763"/>
          <cell r="F6763"/>
          <cell r="G6763"/>
          <cell r="H6763"/>
          <cell r="I6763"/>
          <cell r="J6763"/>
          <cell r="L6763"/>
        </row>
        <row r="6764">
          <cell r="A6764"/>
          <cell r="D6764"/>
          <cell r="E6764"/>
          <cell r="F6764"/>
          <cell r="G6764"/>
          <cell r="H6764"/>
          <cell r="I6764"/>
          <cell r="J6764"/>
          <cell r="L6764"/>
        </row>
        <row r="6765">
          <cell r="A6765"/>
          <cell r="D6765"/>
          <cell r="E6765"/>
          <cell r="F6765"/>
          <cell r="G6765"/>
          <cell r="H6765"/>
          <cell r="I6765"/>
          <cell r="J6765"/>
          <cell r="L6765"/>
        </row>
        <row r="6766">
          <cell r="A6766"/>
          <cell r="D6766"/>
          <cell r="E6766"/>
          <cell r="F6766"/>
          <cell r="G6766"/>
          <cell r="H6766"/>
          <cell r="I6766"/>
          <cell r="J6766"/>
          <cell r="L6766"/>
        </row>
        <row r="6767">
          <cell r="A6767"/>
          <cell r="D6767"/>
          <cell r="E6767"/>
          <cell r="F6767"/>
          <cell r="G6767"/>
          <cell r="H6767"/>
          <cell r="I6767"/>
          <cell r="J6767"/>
          <cell r="L6767"/>
        </row>
        <row r="6768">
          <cell r="A6768"/>
          <cell r="D6768"/>
          <cell r="E6768"/>
          <cell r="F6768"/>
          <cell r="G6768"/>
          <cell r="H6768"/>
          <cell r="I6768"/>
          <cell r="J6768"/>
          <cell r="L6768"/>
        </row>
        <row r="6769">
          <cell r="A6769"/>
          <cell r="D6769"/>
          <cell r="E6769"/>
          <cell r="F6769"/>
          <cell r="G6769"/>
          <cell r="H6769"/>
          <cell r="I6769"/>
          <cell r="J6769"/>
          <cell r="L6769"/>
        </row>
        <row r="6770">
          <cell r="A6770"/>
          <cell r="D6770"/>
          <cell r="E6770"/>
          <cell r="F6770"/>
          <cell r="G6770"/>
          <cell r="H6770"/>
          <cell r="I6770"/>
          <cell r="J6770"/>
          <cell r="L6770"/>
        </row>
        <row r="6771">
          <cell r="A6771"/>
          <cell r="D6771"/>
          <cell r="E6771"/>
          <cell r="F6771"/>
          <cell r="G6771"/>
          <cell r="H6771"/>
          <cell r="I6771"/>
          <cell r="J6771"/>
          <cell r="L6771"/>
        </row>
        <row r="6772">
          <cell r="A6772"/>
          <cell r="D6772"/>
          <cell r="E6772"/>
          <cell r="F6772"/>
          <cell r="G6772"/>
          <cell r="H6772"/>
          <cell r="I6772"/>
          <cell r="J6772"/>
          <cell r="L6772"/>
        </row>
        <row r="6773">
          <cell r="A6773"/>
          <cell r="D6773"/>
          <cell r="E6773"/>
          <cell r="F6773"/>
          <cell r="G6773"/>
          <cell r="H6773"/>
          <cell r="I6773"/>
          <cell r="J6773"/>
          <cell r="L6773"/>
        </row>
        <row r="6774">
          <cell r="A6774"/>
          <cell r="D6774"/>
          <cell r="E6774"/>
          <cell r="F6774"/>
          <cell r="G6774"/>
          <cell r="H6774"/>
          <cell r="I6774"/>
          <cell r="J6774"/>
          <cell r="L6774"/>
        </row>
        <row r="6775">
          <cell r="A6775"/>
          <cell r="D6775"/>
          <cell r="E6775"/>
          <cell r="F6775"/>
          <cell r="G6775"/>
          <cell r="H6775"/>
          <cell r="I6775"/>
          <cell r="J6775"/>
          <cell r="L6775"/>
        </row>
        <row r="6776">
          <cell r="A6776"/>
          <cell r="D6776"/>
          <cell r="E6776"/>
          <cell r="F6776"/>
          <cell r="G6776"/>
          <cell r="H6776"/>
          <cell r="I6776"/>
          <cell r="J6776"/>
          <cell r="L6776"/>
        </row>
        <row r="6777">
          <cell r="A6777"/>
          <cell r="D6777"/>
          <cell r="E6777"/>
          <cell r="F6777"/>
          <cell r="G6777"/>
          <cell r="H6777"/>
          <cell r="I6777"/>
          <cell r="J6777"/>
          <cell r="L6777"/>
        </row>
        <row r="6778">
          <cell r="A6778"/>
          <cell r="D6778"/>
          <cell r="E6778"/>
          <cell r="F6778"/>
          <cell r="G6778"/>
          <cell r="H6778"/>
          <cell r="I6778"/>
          <cell r="J6778"/>
          <cell r="L6778"/>
        </row>
        <row r="6779">
          <cell r="A6779"/>
          <cell r="D6779"/>
          <cell r="E6779"/>
          <cell r="F6779"/>
          <cell r="G6779"/>
          <cell r="H6779"/>
          <cell r="I6779"/>
          <cell r="J6779"/>
          <cell r="L6779"/>
        </row>
        <row r="6780">
          <cell r="A6780"/>
          <cell r="D6780"/>
          <cell r="E6780"/>
          <cell r="F6780"/>
          <cell r="G6780"/>
          <cell r="H6780"/>
          <cell r="I6780"/>
          <cell r="J6780"/>
          <cell r="L6780"/>
        </row>
        <row r="6781">
          <cell r="A6781"/>
          <cell r="D6781"/>
          <cell r="E6781"/>
          <cell r="F6781"/>
          <cell r="G6781"/>
          <cell r="H6781"/>
          <cell r="I6781"/>
          <cell r="J6781"/>
          <cell r="L6781"/>
        </row>
        <row r="6782">
          <cell r="A6782"/>
          <cell r="D6782"/>
          <cell r="E6782"/>
          <cell r="F6782"/>
          <cell r="G6782"/>
          <cell r="H6782"/>
          <cell r="I6782"/>
          <cell r="J6782"/>
          <cell r="L6782"/>
        </row>
        <row r="6783">
          <cell r="A6783"/>
          <cell r="D6783"/>
          <cell r="E6783"/>
          <cell r="F6783"/>
          <cell r="G6783"/>
          <cell r="H6783"/>
          <cell r="I6783"/>
          <cell r="J6783"/>
          <cell r="L6783"/>
        </row>
        <row r="6784">
          <cell r="A6784"/>
          <cell r="D6784"/>
          <cell r="E6784"/>
          <cell r="F6784"/>
          <cell r="G6784"/>
          <cell r="H6784"/>
          <cell r="I6784"/>
          <cell r="J6784"/>
          <cell r="L6784"/>
        </row>
        <row r="6785">
          <cell r="A6785"/>
          <cell r="D6785"/>
          <cell r="E6785"/>
          <cell r="F6785"/>
          <cell r="G6785"/>
          <cell r="H6785"/>
          <cell r="I6785"/>
          <cell r="J6785"/>
          <cell r="L6785"/>
        </row>
        <row r="6786">
          <cell r="A6786"/>
          <cell r="D6786"/>
          <cell r="E6786"/>
          <cell r="F6786"/>
          <cell r="G6786"/>
          <cell r="H6786"/>
          <cell r="I6786"/>
          <cell r="J6786"/>
          <cell r="L6786"/>
        </row>
        <row r="6787">
          <cell r="A6787"/>
          <cell r="D6787"/>
          <cell r="E6787"/>
          <cell r="F6787"/>
          <cell r="G6787"/>
          <cell r="H6787"/>
          <cell r="I6787"/>
          <cell r="J6787"/>
          <cell r="L6787"/>
        </row>
        <row r="6788">
          <cell r="A6788"/>
          <cell r="D6788"/>
          <cell r="E6788"/>
          <cell r="F6788"/>
          <cell r="G6788"/>
          <cell r="H6788"/>
          <cell r="I6788"/>
          <cell r="J6788"/>
          <cell r="L6788"/>
        </row>
        <row r="6789">
          <cell r="A6789"/>
          <cell r="D6789"/>
          <cell r="E6789"/>
          <cell r="F6789"/>
          <cell r="G6789"/>
          <cell r="H6789"/>
          <cell r="I6789"/>
          <cell r="J6789"/>
          <cell r="L6789"/>
        </row>
        <row r="6790">
          <cell r="A6790"/>
          <cell r="D6790"/>
          <cell r="E6790"/>
          <cell r="F6790"/>
          <cell r="G6790"/>
          <cell r="H6790"/>
          <cell r="I6790"/>
          <cell r="J6790"/>
          <cell r="L6790"/>
        </row>
        <row r="6791">
          <cell r="A6791"/>
          <cell r="D6791"/>
          <cell r="E6791"/>
          <cell r="F6791"/>
          <cell r="G6791"/>
          <cell r="H6791"/>
          <cell r="I6791"/>
          <cell r="J6791"/>
          <cell r="L6791"/>
        </row>
        <row r="6792">
          <cell r="A6792"/>
          <cell r="D6792"/>
          <cell r="E6792"/>
          <cell r="F6792"/>
          <cell r="G6792"/>
          <cell r="H6792"/>
          <cell r="I6792"/>
          <cell r="J6792"/>
          <cell r="L6792"/>
        </row>
        <row r="6793">
          <cell r="A6793"/>
          <cell r="D6793"/>
          <cell r="E6793"/>
          <cell r="F6793"/>
          <cell r="G6793"/>
          <cell r="H6793"/>
          <cell r="I6793"/>
          <cell r="J6793"/>
          <cell r="L6793"/>
        </row>
        <row r="6794">
          <cell r="A6794"/>
          <cell r="D6794"/>
          <cell r="E6794"/>
          <cell r="F6794"/>
          <cell r="G6794"/>
          <cell r="H6794"/>
          <cell r="I6794"/>
          <cell r="J6794"/>
          <cell r="L6794"/>
        </row>
        <row r="6795">
          <cell r="A6795"/>
          <cell r="D6795"/>
          <cell r="E6795"/>
          <cell r="F6795"/>
          <cell r="G6795"/>
          <cell r="H6795"/>
          <cell r="I6795"/>
          <cell r="J6795"/>
          <cell r="L6795"/>
        </row>
        <row r="6796">
          <cell r="A6796"/>
          <cell r="D6796"/>
          <cell r="E6796"/>
          <cell r="F6796"/>
          <cell r="G6796"/>
          <cell r="H6796"/>
          <cell r="I6796"/>
          <cell r="J6796"/>
          <cell r="L6796"/>
        </row>
        <row r="6797">
          <cell r="A6797"/>
          <cell r="D6797"/>
          <cell r="E6797"/>
          <cell r="F6797"/>
          <cell r="G6797"/>
          <cell r="H6797"/>
          <cell r="I6797"/>
          <cell r="J6797"/>
          <cell r="L6797"/>
        </row>
        <row r="6798">
          <cell r="A6798"/>
          <cell r="D6798"/>
          <cell r="E6798"/>
          <cell r="F6798"/>
          <cell r="G6798"/>
          <cell r="H6798"/>
          <cell r="I6798"/>
          <cell r="J6798"/>
          <cell r="L6798"/>
        </row>
        <row r="6799">
          <cell r="A6799"/>
          <cell r="D6799"/>
          <cell r="E6799"/>
          <cell r="F6799"/>
          <cell r="G6799"/>
          <cell r="H6799"/>
          <cell r="I6799"/>
          <cell r="J6799"/>
          <cell r="L6799"/>
        </row>
        <row r="6800">
          <cell r="A6800"/>
          <cell r="D6800"/>
          <cell r="E6800"/>
          <cell r="F6800"/>
          <cell r="G6800"/>
          <cell r="H6800"/>
          <cell r="I6800"/>
          <cell r="J6800"/>
          <cell r="L6800"/>
        </row>
        <row r="6801">
          <cell r="A6801"/>
          <cell r="D6801"/>
          <cell r="E6801"/>
          <cell r="F6801"/>
          <cell r="G6801"/>
          <cell r="H6801"/>
          <cell r="I6801"/>
          <cell r="J6801"/>
          <cell r="L6801"/>
        </row>
        <row r="6802">
          <cell r="A6802"/>
          <cell r="D6802"/>
          <cell r="E6802"/>
          <cell r="F6802"/>
          <cell r="G6802"/>
          <cell r="H6802"/>
          <cell r="I6802"/>
          <cell r="J6802"/>
          <cell r="L6802"/>
        </row>
        <row r="6803">
          <cell r="A6803"/>
          <cell r="D6803"/>
          <cell r="E6803"/>
          <cell r="F6803"/>
          <cell r="G6803"/>
          <cell r="H6803"/>
          <cell r="I6803"/>
          <cell r="J6803"/>
          <cell r="L6803"/>
        </row>
        <row r="6804">
          <cell r="A6804"/>
          <cell r="D6804"/>
          <cell r="E6804"/>
          <cell r="F6804"/>
          <cell r="G6804"/>
          <cell r="H6804"/>
          <cell r="I6804"/>
          <cell r="J6804"/>
          <cell r="L6804"/>
        </row>
        <row r="6805">
          <cell r="A6805"/>
          <cell r="D6805"/>
          <cell r="E6805"/>
          <cell r="F6805"/>
          <cell r="G6805"/>
          <cell r="H6805"/>
          <cell r="I6805"/>
          <cell r="J6805"/>
          <cell r="L6805"/>
        </row>
        <row r="6806">
          <cell r="A6806"/>
          <cell r="D6806"/>
          <cell r="E6806"/>
          <cell r="F6806"/>
          <cell r="G6806"/>
          <cell r="H6806"/>
          <cell r="I6806"/>
          <cell r="J6806"/>
          <cell r="L6806"/>
        </row>
        <row r="6807">
          <cell r="A6807"/>
          <cell r="D6807"/>
          <cell r="E6807"/>
          <cell r="F6807"/>
          <cell r="G6807"/>
          <cell r="H6807"/>
          <cell r="I6807"/>
          <cell r="J6807"/>
          <cell r="L6807"/>
        </row>
        <row r="6808">
          <cell r="A6808"/>
          <cell r="D6808"/>
          <cell r="E6808"/>
          <cell r="F6808"/>
          <cell r="G6808"/>
          <cell r="H6808"/>
          <cell r="I6808"/>
          <cell r="J6808"/>
          <cell r="L6808"/>
        </row>
        <row r="6809">
          <cell r="A6809"/>
          <cell r="D6809"/>
          <cell r="E6809"/>
          <cell r="F6809"/>
          <cell r="G6809"/>
          <cell r="H6809"/>
          <cell r="I6809"/>
          <cell r="J6809"/>
          <cell r="L6809"/>
        </row>
        <row r="6810">
          <cell r="A6810"/>
          <cell r="D6810"/>
          <cell r="E6810"/>
          <cell r="F6810"/>
          <cell r="G6810"/>
          <cell r="H6810"/>
          <cell r="I6810"/>
          <cell r="J6810"/>
          <cell r="L6810"/>
        </row>
        <row r="6811">
          <cell r="A6811"/>
          <cell r="D6811"/>
          <cell r="E6811"/>
          <cell r="F6811"/>
          <cell r="G6811"/>
          <cell r="H6811"/>
          <cell r="I6811"/>
          <cell r="J6811"/>
          <cell r="L6811"/>
        </row>
        <row r="6812">
          <cell r="A6812"/>
          <cell r="D6812"/>
          <cell r="E6812"/>
          <cell r="F6812"/>
          <cell r="G6812"/>
          <cell r="H6812"/>
          <cell r="I6812"/>
          <cell r="J6812"/>
          <cell r="L6812"/>
        </row>
        <row r="6813">
          <cell r="A6813"/>
          <cell r="D6813"/>
          <cell r="E6813"/>
          <cell r="F6813"/>
          <cell r="G6813"/>
          <cell r="H6813"/>
          <cell r="I6813"/>
          <cell r="J6813"/>
          <cell r="L6813"/>
        </row>
        <row r="6814">
          <cell r="A6814"/>
          <cell r="D6814"/>
          <cell r="E6814"/>
          <cell r="F6814"/>
          <cell r="G6814"/>
          <cell r="H6814"/>
          <cell r="I6814"/>
          <cell r="J6814"/>
          <cell r="L6814"/>
        </row>
        <row r="6815">
          <cell r="A6815"/>
          <cell r="D6815"/>
          <cell r="E6815"/>
          <cell r="F6815"/>
          <cell r="G6815"/>
          <cell r="H6815"/>
          <cell r="I6815"/>
          <cell r="J6815"/>
          <cell r="L6815"/>
        </row>
        <row r="6816">
          <cell r="A6816"/>
          <cell r="D6816"/>
          <cell r="E6816"/>
          <cell r="F6816"/>
          <cell r="G6816"/>
          <cell r="H6816"/>
          <cell r="I6816"/>
          <cell r="J6816"/>
          <cell r="L6816"/>
        </row>
        <row r="6817">
          <cell r="A6817"/>
          <cell r="D6817"/>
          <cell r="E6817"/>
          <cell r="F6817"/>
          <cell r="G6817"/>
          <cell r="H6817"/>
          <cell r="I6817"/>
          <cell r="J6817"/>
          <cell r="L6817"/>
        </row>
        <row r="6818">
          <cell r="A6818"/>
          <cell r="D6818"/>
          <cell r="E6818"/>
          <cell r="F6818"/>
          <cell r="G6818"/>
          <cell r="H6818"/>
          <cell r="I6818"/>
          <cell r="J6818"/>
          <cell r="L6818"/>
        </row>
        <row r="6819">
          <cell r="A6819"/>
          <cell r="D6819"/>
          <cell r="E6819"/>
          <cell r="F6819"/>
          <cell r="G6819"/>
          <cell r="H6819"/>
          <cell r="I6819"/>
          <cell r="J6819"/>
          <cell r="L6819"/>
        </row>
        <row r="6820">
          <cell r="A6820"/>
          <cell r="D6820"/>
          <cell r="E6820"/>
          <cell r="F6820"/>
          <cell r="G6820"/>
          <cell r="H6820"/>
          <cell r="I6820"/>
          <cell r="J6820"/>
          <cell r="L6820"/>
        </row>
        <row r="6821">
          <cell r="A6821"/>
          <cell r="D6821"/>
          <cell r="E6821"/>
          <cell r="F6821"/>
          <cell r="G6821"/>
          <cell r="H6821"/>
          <cell r="I6821"/>
          <cell r="J6821"/>
          <cell r="L6821"/>
        </row>
        <row r="6822">
          <cell r="A6822"/>
          <cell r="D6822"/>
          <cell r="E6822"/>
          <cell r="F6822"/>
          <cell r="G6822"/>
          <cell r="H6822"/>
          <cell r="I6822"/>
          <cell r="J6822"/>
          <cell r="L6822"/>
        </row>
        <row r="6823">
          <cell r="A6823"/>
          <cell r="D6823"/>
          <cell r="E6823"/>
          <cell r="F6823"/>
          <cell r="G6823"/>
          <cell r="H6823"/>
          <cell r="I6823"/>
          <cell r="J6823"/>
          <cell r="L6823"/>
        </row>
        <row r="6824">
          <cell r="A6824"/>
          <cell r="D6824"/>
          <cell r="E6824"/>
          <cell r="F6824"/>
          <cell r="G6824"/>
          <cell r="H6824"/>
          <cell r="I6824"/>
          <cell r="J6824"/>
          <cell r="L6824"/>
        </row>
        <row r="6825">
          <cell r="A6825"/>
          <cell r="D6825"/>
          <cell r="E6825"/>
          <cell r="F6825"/>
          <cell r="G6825"/>
          <cell r="H6825"/>
          <cell r="I6825"/>
          <cell r="J6825"/>
          <cell r="L6825"/>
        </row>
        <row r="6826">
          <cell r="A6826"/>
          <cell r="D6826"/>
          <cell r="E6826"/>
          <cell r="F6826"/>
          <cell r="G6826"/>
          <cell r="H6826"/>
          <cell r="I6826"/>
          <cell r="J6826"/>
          <cell r="L6826"/>
        </row>
        <row r="6827">
          <cell r="A6827"/>
          <cell r="D6827"/>
          <cell r="E6827"/>
          <cell r="F6827"/>
          <cell r="G6827"/>
          <cell r="H6827"/>
          <cell r="I6827"/>
          <cell r="J6827"/>
          <cell r="L6827"/>
        </row>
        <row r="6828">
          <cell r="A6828"/>
          <cell r="D6828"/>
          <cell r="E6828"/>
          <cell r="F6828"/>
          <cell r="G6828"/>
          <cell r="H6828"/>
          <cell r="I6828"/>
          <cell r="J6828"/>
          <cell r="L6828"/>
        </row>
        <row r="6829">
          <cell r="A6829"/>
          <cell r="D6829"/>
          <cell r="E6829"/>
          <cell r="F6829"/>
          <cell r="G6829"/>
          <cell r="H6829"/>
          <cell r="I6829"/>
          <cell r="J6829"/>
          <cell r="L6829"/>
        </row>
        <row r="6830">
          <cell r="A6830"/>
          <cell r="D6830"/>
          <cell r="E6830"/>
          <cell r="F6830"/>
          <cell r="G6830"/>
          <cell r="H6830"/>
          <cell r="I6830"/>
          <cell r="J6830"/>
          <cell r="L6830"/>
        </row>
        <row r="6831">
          <cell r="A6831"/>
          <cell r="D6831"/>
          <cell r="E6831"/>
          <cell r="F6831"/>
          <cell r="G6831"/>
          <cell r="H6831"/>
          <cell r="I6831"/>
          <cell r="J6831"/>
          <cell r="L6831"/>
        </row>
        <row r="6832">
          <cell r="A6832"/>
          <cell r="D6832"/>
          <cell r="E6832"/>
          <cell r="F6832"/>
          <cell r="G6832"/>
          <cell r="H6832"/>
          <cell r="I6832"/>
          <cell r="J6832"/>
          <cell r="L6832"/>
        </row>
        <row r="6833">
          <cell r="A6833"/>
          <cell r="D6833"/>
          <cell r="E6833"/>
          <cell r="F6833"/>
          <cell r="G6833"/>
          <cell r="H6833"/>
          <cell r="I6833"/>
          <cell r="J6833"/>
          <cell r="L6833"/>
        </row>
        <row r="6834">
          <cell r="A6834"/>
          <cell r="D6834"/>
          <cell r="E6834"/>
          <cell r="F6834"/>
          <cell r="G6834"/>
          <cell r="H6834"/>
          <cell r="I6834"/>
          <cell r="J6834"/>
          <cell r="L6834"/>
        </row>
        <row r="6835">
          <cell r="A6835"/>
          <cell r="D6835"/>
          <cell r="E6835"/>
          <cell r="F6835"/>
          <cell r="G6835"/>
          <cell r="H6835"/>
          <cell r="I6835"/>
          <cell r="J6835"/>
          <cell r="L6835"/>
        </row>
        <row r="6836">
          <cell r="A6836"/>
          <cell r="D6836"/>
          <cell r="E6836"/>
          <cell r="F6836"/>
          <cell r="G6836"/>
          <cell r="H6836"/>
          <cell r="I6836"/>
          <cell r="J6836"/>
          <cell r="L6836"/>
        </row>
        <row r="6837">
          <cell r="A6837"/>
          <cell r="D6837"/>
          <cell r="E6837"/>
          <cell r="F6837"/>
          <cell r="G6837"/>
          <cell r="H6837"/>
          <cell r="I6837"/>
          <cell r="J6837"/>
          <cell r="L6837"/>
        </row>
        <row r="6838">
          <cell r="A6838"/>
          <cell r="D6838"/>
          <cell r="E6838"/>
          <cell r="F6838"/>
          <cell r="G6838"/>
          <cell r="H6838"/>
          <cell r="I6838"/>
          <cell r="J6838"/>
          <cell r="L6838"/>
        </row>
        <row r="6839">
          <cell r="A6839"/>
          <cell r="D6839"/>
          <cell r="E6839"/>
          <cell r="F6839"/>
          <cell r="G6839"/>
          <cell r="H6839"/>
          <cell r="I6839"/>
          <cell r="J6839"/>
          <cell r="L6839"/>
        </row>
        <row r="6840">
          <cell r="A6840"/>
          <cell r="D6840"/>
          <cell r="E6840"/>
          <cell r="F6840"/>
          <cell r="G6840"/>
          <cell r="H6840"/>
          <cell r="I6840"/>
          <cell r="J6840"/>
          <cell r="L6840"/>
        </row>
        <row r="6841">
          <cell r="A6841"/>
          <cell r="D6841"/>
          <cell r="E6841"/>
          <cell r="F6841"/>
          <cell r="G6841"/>
          <cell r="H6841"/>
          <cell r="I6841"/>
          <cell r="J6841"/>
          <cell r="L6841"/>
        </row>
        <row r="6842">
          <cell r="A6842"/>
          <cell r="D6842"/>
          <cell r="E6842"/>
          <cell r="F6842"/>
          <cell r="G6842"/>
          <cell r="H6842"/>
          <cell r="I6842"/>
          <cell r="J6842"/>
          <cell r="L6842"/>
        </row>
        <row r="6843">
          <cell r="A6843"/>
          <cell r="D6843"/>
          <cell r="E6843"/>
          <cell r="F6843"/>
          <cell r="G6843"/>
          <cell r="H6843"/>
          <cell r="I6843"/>
          <cell r="J6843"/>
          <cell r="L6843"/>
        </row>
        <row r="6844">
          <cell r="A6844"/>
          <cell r="D6844"/>
          <cell r="E6844"/>
          <cell r="F6844"/>
          <cell r="G6844"/>
          <cell r="H6844"/>
          <cell r="I6844"/>
          <cell r="J6844"/>
          <cell r="L6844"/>
        </row>
        <row r="6845">
          <cell r="A6845"/>
          <cell r="D6845"/>
          <cell r="E6845"/>
          <cell r="F6845"/>
          <cell r="G6845"/>
          <cell r="H6845"/>
          <cell r="I6845"/>
          <cell r="J6845"/>
          <cell r="L6845"/>
        </row>
        <row r="6846">
          <cell r="A6846"/>
          <cell r="D6846"/>
          <cell r="E6846"/>
          <cell r="F6846"/>
          <cell r="G6846"/>
          <cell r="H6846"/>
          <cell r="I6846"/>
          <cell r="J6846"/>
          <cell r="L6846"/>
        </row>
        <row r="6847">
          <cell r="A6847"/>
          <cell r="D6847"/>
          <cell r="E6847"/>
          <cell r="F6847"/>
          <cell r="G6847"/>
          <cell r="H6847"/>
          <cell r="I6847"/>
          <cell r="J6847"/>
          <cell r="L6847"/>
        </row>
        <row r="6848">
          <cell r="A6848"/>
          <cell r="D6848"/>
          <cell r="E6848"/>
          <cell r="F6848"/>
          <cell r="G6848"/>
          <cell r="H6848"/>
          <cell r="I6848"/>
          <cell r="J6848"/>
          <cell r="L6848"/>
        </row>
        <row r="6849">
          <cell r="A6849"/>
          <cell r="D6849"/>
          <cell r="E6849"/>
          <cell r="F6849"/>
          <cell r="G6849"/>
          <cell r="H6849"/>
          <cell r="I6849"/>
          <cell r="J6849"/>
          <cell r="L6849"/>
        </row>
        <row r="6850">
          <cell r="A6850"/>
          <cell r="D6850"/>
          <cell r="E6850"/>
          <cell r="F6850"/>
          <cell r="G6850"/>
          <cell r="H6850"/>
          <cell r="I6850"/>
          <cell r="J6850"/>
          <cell r="L6850"/>
        </row>
        <row r="6851">
          <cell r="A6851"/>
          <cell r="D6851"/>
          <cell r="E6851"/>
          <cell r="F6851"/>
          <cell r="G6851"/>
          <cell r="H6851"/>
          <cell r="I6851"/>
          <cell r="J6851"/>
          <cell r="L6851"/>
        </row>
        <row r="6852">
          <cell r="A6852"/>
          <cell r="D6852"/>
          <cell r="E6852"/>
          <cell r="F6852"/>
          <cell r="G6852"/>
          <cell r="H6852"/>
          <cell r="I6852"/>
          <cell r="J6852"/>
          <cell r="L6852"/>
        </row>
        <row r="6853">
          <cell r="A6853"/>
          <cell r="D6853"/>
          <cell r="E6853"/>
          <cell r="F6853"/>
          <cell r="G6853"/>
          <cell r="H6853"/>
          <cell r="I6853"/>
          <cell r="J6853"/>
          <cell r="L6853"/>
        </row>
        <row r="6854">
          <cell r="A6854"/>
          <cell r="D6854"/>
          <cell r="E6854"/>
          <cell r="F6854"/>
          <cell r="G6854"/>
          <cell r="H6854"/>
          <cell r="I6854"/>
          <cell r="J6854"/>
          <cell r="L6854"/>
        </row>
        <row r="6855">
          <cell r="A6855"/>
          <cell r="D6855"/>
          <cell r="E6855"/>
          <cell r="F6855"/>
          <cell r="G6855"/>
          <cell r="H6855"/>
          <cell r="I6855"/>
          <cell r="J6855"/>
          <cell r="L6855"/>
        </row>
        <row r="6856">
          <cell r="A6856"/>
          <cell r="D6856"/>
          <cell r="E6856"/>
          <cell r="F6856"/>
          <cell r="G6856"/>
          <cell r="H6856"/>
          <cell r="I6856"/>
          <cell r="J6856"/>
          <cell r="L6856"/>
        </row>
        <row r="6857">
          <cell r="A6857"/>
          <cell r="D6857"/>
          <cell r="E6857"/>
          <cell r="F6857"/>
          <cell r="G6857"/>
          <cell r="H6857"/>
          <cell r="I6857"/>
          <cell r="J6857"/>
          <cell r="L6857"/>
        </row>
        <row r="6858">
          <cell r="A6858"/>
          <cell r="D6858"/>
          <cell r="E6858"/>
          <cell r="F6858"/>
          <cell r="G6858"/>
          <cell r="H6858"/>
          <cell r="I6858"/>
          <cell r="J6858"/>
          <cell r="L6858"/>
        </row>
        <row r="6859">
          <cell r="A6859"/>
          <cell r="D6859"/>
          <cell r="E6859"/>
          <cell r="F6859"/>
          <cell r="G6859"/>
          <cell r="H6859"/>
          <cell r="I6859"/>
          <cell r="J6859"/>
          <cell r="L6859"/>
        </row>
        <row r="6860">
          <cell r="A6860"/>
          <cell r="D6860"/>
          <cell r="E6860"/>
          <cell r="F6860"/>
          <cell r="G6860"/>
          <cell r="H6860"/>
          <cell r="I6860"/>
          <cell r="J6860"/>
          <cell r="L6860"/>
        </row>
        <row r="6861">
          <cell r="A6861"/>
          <cell r="D6861"/>
          <cell r="E6861"/>
          <cell r="F6861"/>
          <cell r="G6861"/>
          <cell r="H6861"/>
          <cell r="I6861"/>
          <cell r="J6861"/>
          <cell r="L6861"/>
        </row>
        <row r="6862">
          <cell r="A6862"/>
          <cell r="D6862"/>
          <cell r="E6862"/>
          <cell r="F6862"/>
          <cell r="G6862"/>
          <cell r="H6862"/>
          <cell r="I6862"/>
          <cell r="J6862"/>
          <cell r="L6862"/>
        </row>
        <row r="6863">
          <cell r="A6863"/>
          <cell r="D6863"/>
          <cell r="E6863"/>
          <cell r="F6863"/>
          <cell r="G6863"/>
          <cell r="H6863"/>
          <cell r="I6863"/>
          <cell r="J6863"/>
          <cell r="L6863"/>
        </row>
        <row r="6864">
          <cell r="A6864"/>
          <cell r="D6864"/>
          <cell r="E6864"/>
          <cell r="F6864"/>
          <cell r="G6864"/>
          <cell r="H6864"/>
          <cell r="I6864"/>
          <cell r="J6864"/>
          <cell r="L6864"/>
        </row>
        <row r="6865">
          <cell r="A6865"/>
          <cell r="D6865"/>
          <cell r="E6865"/>
          <cell r="F6865"/>
          <cell r="G6865"/>
          <cell r="H6865"/>
          <cell r="I6865"/>
          <cell r="J6865"/>
          <cell r="L6865"/>
        </row>
        <row r="6866">
          <cell r="A6866"/>
          <cell r="D6866"/>
          <cell r="E6866"/>
          <cell r="F6866"/>
          <cell r="G6866"/>
          <cell r="H6866"/>
          <cell r="I6866"/>
          <cell r="J6866"/>
          <cell r="L6866"/>
        </row>
        <row r="6867">
          <cell r="A6867"/>
          <cell r="D6867"/>
          <cell r="E6867"/>
          <cell r="F6867"/>
          <cell r="G6867"/>
          <cell r="H6867"/>
          <cell r="I6867"/>
          <cell r="J6867"/>
          <cell r="L6867"/>
        </row>
        <row r="6868">
          <cell r="A6868"/>
          <cell r="D6868"/>
          <cell r="E6868"/>
          <cell r="F6868"/>
          <cell r="G6868"/>
          <cell r="H6868"/>
          <cell r="I6868"/>
          <cell r="J6868"/>
          <cell r="L6868"/>
        </row>
        <row r="6869">
          <cell r="A6869"/>
          <cell r="D6869"/>
          <cell r="E6869"/>
          <cell r="F6869"/>
          <cell r="G6869"/>
          <cell r="H6869"/>
          <cell r="I6869"/>
          <cell r="J6869"/>
          <cell r="L6869"/>
        </row>
        <row r="6870">
          <cell r="A6870"/>
          <cell r="D6870"/>
          <cell r="E6870"/>
          <cell r="F6870"/>
          <cell r="G6870"/>
          <cell r="H6870"/>
          <cell r="I6870"/>
          <cell r="J6870"/>
          <cell r="L6870"/>
        </row>
        <row r="6871">
          <cell r="A6871"/>
          <cell r="D6871"/>
          <cell r="E6871"/>
          <cell r="F6871"/>
          <cell r="G6871"/>
          <cell r="H6871"/>
          <cell r="I6871"/>
          <cell r="J6871"/>
          <cell r="L6871"/>
        </row>
        <row r="6872">
          <cell r="A6872"/>
          <cell r="D6872"/>
          <cell r="E6872"/>
          <cell r="F6872"/>
          <cell r="G6872"/>
          <cell r="H6872"/>
          <cell r="I6872"/>
          <cell r="J6872"/>
          <cell r="L6872"/>
        </row>
        <row r="6873">
          <cell r="A6873"/>
          <cell r="D6873"/>
          <cell r="E6873"/>
          <cell r="F6873"/>
          <cell r="G6873"/>
          <cell r="H6873"/>
          <cell r="I6873"/>
          <cell r="J6873"/>
          <cell r="L6873"/>
        </row>
        <row r="6874">
          <cell r="A6874"/>
          <cell r="D6874"/>
          <cell r="E6874"/>
          <cell r="F6874"/>
          <cell r="G6874"/>
          <cell r="H6874"/>
          <cell r="I6874"/>
          <cell r="J6874"/>
          <cell r="L6874"/>
        </row>
        <row r="6875">
          <cell r="A6875"/>
          <cell r="D6875"/>
          <cell r="E6875"/>
          <cell r="F6875"/>
          <cell r="G6875"/>
          <cell r="H6875"/>
          <cell r="I6875"/>
          <cell r="J6875"/>
          <cell r="L6875"/>
        </row>
        <row r="6876">
          <cell r="A6876"/>
          <cell r="D6876"/>
          <cell r="E6876"/>
          <cell r="F6876"/>
          <cell r="G6876"/>
          <cell r="H6876"/>
          <cell r="I6876"/>
          <cell r="J6876"/>
          <cell r="L6876"/>
        </row>
        <row r="6877">
          <cell r="A6877"/>
          <cell r="D6877"/>
          <cell r="E6877"/>
          <cell r="F6877"/>
          <cell r="G6877"/>
          <cell r="H6877"/>
          <cell r="I6877"/>
          <cell r="J6877"/>
          <cell r="L6877"/>
        </row>
        <row r="6878">
          <cell r="A6878"/>
          <cell r="D6878"/>
          <cell r="E6878"/>
          <cell r="F6878"/>
          <cell r="G6878"/>
          <cell r="H6878"/>
          <cell r="I6878"/>
          <cell r="J6878"/>
          <cell r="L6878"/>
        </row>
        <row r="6879">
          <cell r="A6879"/>
          <cell r="D6879"/>
          <cell r="E6879"/>
          <cell r="F6879"/>
          <cell r="G6879"/>
          <cell r="H6879"/>
          <cell r="I6879"/>
          <cell r="J6879"/>
          <cell r="L6879"/>
        </row>
        <row r="6880">
          <cell r="A6880"/>
          <cell r="D6880"/>
          <cell r="E6880"/>
          <cell r="F6880"/>
          <cell r="G6880"/>
          <cell r="H6880"/>
          <cell r="I6880"/>
          <cell r="J6880"/>
          <cell r="L6880"/>
        </row>
        <row r="6881">
          <cell r="A6881"/>
          <cell r="D6881"/>
          <cell r="E6881"/>
          <cell r="F6881"/>
          <cell r="G6881"/>
          <cell r="H6881"/>
          <cell r="I6881"/>
          <cell r="J6881"/>
          <cell r="L6881"/>
        </row>
        <row r="6882">
          <cell r="A6882"/>
          <cell r="D6882"/>
          <cell r="E6882"/>
          <cell r="F6882"/>
          <cell r="G6882"/>
          <cell r="H6882"/>
          <cell r="I6882"/>
          <cell r="J6882"/>
          <cell r="L6882"/>
        </row>
        <row r="6883">
          <cell r="A6883"/>
          <cell r="D6883"/>
          <cell r="E6883"/>
          <cell r="F6883"/>
          <cell r="G6883"/>
          <cell r="H6883"/>
          <cell r="I6883"/>
          <cell r="J6883"/>
          <cell r="L6883"/>
        </row>
        <row r="6884">
          <cell r="A6884"/>
          <cell r="D6884"/>
          <cell r="E6884"/>
          <cell r="F6884"/>
          <cell r="G6884"/>
          <cell r="H6884"/>
          <cell r="I6884"/>
          <cell r="J6884"/>
          <cell r="L6884"/>
        </row>
        <row r="6885">
          <cell r="A6885"/>
          <cell r="D6885"/>
          <cell r="E6885"/>
          <cell r="F6885"/>
          <cell r="G6885"/>
          <cell r="H6885"/>
          <cell r="I6885"/>
          <cell r="J6885"/>
          <cell r="L6885"/>
        </row>
        <row r="6886">
          <cell r="A6886"/>
          <cell r="D6886"/>
          <cell r="E6886"/>
          <cell r="F6886"/>
          <cell r="G6886"/>
          <cell r="H6886"/>
          <cell r="I6886"/>
          <cell r="J6886"/>
          <cell r="L6886"/>
        </row>
        <row r="6887">
          <cell r="A6887"/>
          <cell r="D6887"/>
          <cell r="E6887"/>
          <cell r="F6887"/>
          <cell r="G6887"/>
          <cell r="H6887"/>
          <cell r="I6887"/>
          <cell r="J6887"/>
          <cell r="L6887"/>
        </row>
        <row r="6888">
          <cell r="A6888"/>
          <cell r="D6888"/>
          <cell r="E6888"/>
          <cell r="F6888"/>
          <cell r="G6888"/>
          <cell r="H6888"/>
          <cell r="I6888"/>
          <cell r="J6888"/>
          <cell r="L6888"/>
        </row>
        <row r="6889">
          <cell r="A6889"/>
          <cell r="D6889"/>
          <cell r="E6889"/>
          <cell r="F6889"/>
          <cell r="G6889"/>
          <cell r="H6889"/>
          <cell r="I6889"/>
          <cell r="J6889"/>
          <cell r="L6889"/>
        </row>
        <row r="6890">
          <cell r="A6890"/>
          <cell r="D6890"/>
          <cell r="E6890"/>
          <cell r="F6890"/>
          <cell r="G6890"/>
          <cell r="H6890"/>
          <cell r="I6890"/>
          <cell r="J6890"/>
          <cell r="L6890"/>
        </row>
        <row r="6891">
          <cell r="A6891"/>
          <cell r="D6891"/>
          <cell r="E6891"/>
          <cell r="F6891"/>
          <cell r="G6891"/>
          <cell r="H6891"/>
          <cell r="I6891"/>
          <cell r="J6891"/>
          <cell r="L6891"/>
        </row>
        <row r="6892">
          <cell r="A6892"/>
          <cell r="D6892"/>
          <cell r="E6892"/>
          <cell r="F6892"/>
          <cell r="G6892"/>
          <cell r="H6892"/>
          <cell r="I6892"/>
          <cell r="J6892"/>
          <cell r="L6892"/>
        </row>
        <row r="6893">
          <cell r="A6893"/>
          <cell r="D6893"/>
          <cell r="E6893"/>
          <cell r="F6893"/>
          <cell r="G6893"/>
          <cell r="H6893"/>
          <cell r="I6893"/>
          <cell r="J6893"/>
          <cell r="L6893"/>
        </row>
        <row r="6894">
          <cell r="A6894"/>
          <cell r="D6894"/>
          <cell r="E6894"/>
          <cell r="F6894"/>
          <cell r="G6894"/>
          <cell r="H6894"/>
          <cell r="I6894"/>
          <cell r="J6894"/>
          <cell r="L6894"/>
        </row>
        <row r="6895">
          <cell r="A6895"/>
          <cell r="D6895"/>
          <cell r="E6895"/>
          <cell r="F6895"/>
          <cell r="G6895"/>
          <cell r="H6895"/>
          <cell r="I6895"/>
          <cell r="J6895"/>
          <cell r="L6895"/>
        </row>
        <row r="6896">
          <cell r="A6896"/>
          <cell r="D6896"/>
          <cell r="E6896"/>
          <cell r="F6896"/>
          <cell r="G6896"/>
          <cell r="H6896"/>
          <cell r="I6896"/>
          <cell r="J6896"/>
          <cell r="L6896"/>
        </row>
        <row r="6897">
          <cell r="A6897"/>
          <cell r="D6897"/>
          <cell r="E6897"/>
          <cell r="F6897"/>
          <cell r="G6897"/>
          <cell r="H6897"/>
          <cell r="I6897"/>
          <cell r="J6897"/>
          <cell r="L6897"/>
        </row>
        <row r="6898">
          <cell r="A6898"/>
          <cell r="D6898"/>
          <cell r="E6898"/>
          <cell r="F6898"/>
          <cell r="G6898"/>
          <cell r="H6898"/>
          <cell r="I6898"/>
          <cell r="J6898"/>
          <cell r="L6898"/>
        </row>
        <row r="6899">
          <cell r="A6899"/>
          <cell r="D6899"/>
          <cell r="E6899"/>
          <cell r="F6899"/>
          <cell r="G6899"/>
          <cell r="H6899"/>
          <cell r="I6899"/>
          <cell r="J6899"/>
          <cell r="L6899"/>
        </row>
        <row r="6900">
          <cell r="A6900"/>
          <cell r="D6900"/>
          <cell r="E6900"/>
          <cell r="F6900"/>
          <cell r="G6900"/>
          <cell r="H6900"/>
          <cell r="I6900"/>
          <cell r="J6900"/>
          <cell r="L6900"/>
        </row>
        <row r="6901">
          <cell r="A6901"/>
          <cell r="D6901"/>
          <cell r="E6901"/>
          <cell r="F6901"/>
          <cell r="G6901"/>
          <cell r="H6901"/>
          <cell r="I6901"/>
          <cell r="J6901"/>
          <cell r="L6901"/>
        </row>
        <row r="6902">
          <cell r="A6902"/>
          <cell r="D6902"/>
          <cell r="E6902"/>
          <cell r="F6902"/>
          <cell r="G6902"/>
          <cell r="H6902"/>
          <cell r="I6902"/>
          <cell r="J6902"/>
          <cell r="L6902"/>
        </row>
        <row r="6903">
          <cell r="A6903"/>
          <cell r="D6903"/>
          <cell r="E6903"/>
          <cell r="F6903"/>
          <cell r="G6903"/>
          <cell r="H6903"/>
          <cell r="I6903"/>
          <cell r="J6903"/>
          <cell r="L6903"/>
        </row>
        <row r="6904">
          <cell r="A6904"/>
          <cell r="D6904"/>
          <cell r="E6904"/>
          <cell r="F6904"/>
          <cell r="G6904"/>
          <cell r="H6904"/>
          <cell r="I6904"/>
          <cell r="J6904"/>
          <cell r="L6904"/>
        </row>
        <row r="6905">
          <cell r="A6905"/>
          <cell r="D6905"/>
          <cell r="E6905"/>
          <cell r="F6905"/>
          <cell r="G6905"/>
          <cell r="H6905"/>
          <cell r="I6905"/>
          <cell r="J6905"/>
          <cell r="L6905"/>
        </row>
        <row r="6906">
          <cell r="A6906"/>
          <cell r="D6906"/>
          <cell r="E6906"/>
          <cell r="F6906"/>
          <cell r="G6906"/>
          <cell r="H6906"/>
          <cell r="I6906"/>
          <cell r="J6906"/>
          <cell r="L6906"/>
        </row>
        <row r="6907">
          <cell r="A6907"/>
          <cell r="D6907"/>
          <cell r="E6907"/>
          <cell r="F6907"/>
          <cell r="G6907"/>
          <cell r="H6907"/>
          <cell r="I6907"/>
          <cell r="J6907"/>
          <cell r="L6907"/>
        </row>
        <row r="6908">
          <cell r="A6908"/>
          <cell r="D6908"/>
          <cell r="E6908"/>
          <cell r="F6908"/>
          <cell r="G6908"/>
          <cell r="H6908"/>
          <cell r="I6908"/>
          <cell r="J6908"/>
          <cell r="L6908"/>
        </row>
        <row r="6909">
          <cell r="A6909"/>
          <cell r="D6909"/>
          <cell r="E6909"/>
          <cell r="F6909"/>
          <cell r="G6909"/>
          <cell r="H6909"/>
          <cell r="I6909"/>
          <cell r="J6909"/>
          <cell r="L6909"/>
        </row>
        <row r="6910">
          <cell r="A6910"/>
          <cell r="D6910"/>
          <cell r="E6910"/>
          <cell r="F6910"/>
          <cell r="G6910"/>
          <cell r="H6910"/>
          <cell r="I6910"/>
          <cell r="J6910"/>
          <cell r="L6910"/>
        </row>
        <row r="6911">
          <cell r="A6911"/>
          <cell r="D6911"/>
          <cell r="E6911"/>
          <cell r="F6911"/>
          <cell r="G6911"/>
          <cell r="H6911"/>
          <cell r="I6911"/>
          <cell r="J6911"/>
          <cell r="L6911"/>
        </row>
        <row r="6912">
          <cell r="A6912"/>
          <cell r="D6912"/>
          <cell r="E6912"/>
          <cell r="F6912"/>
          <cell r="G6912"/>
          <cell r="H6912"/>
          <cell r="I6912"/>
          <cell r="J6912"/>
          <cell r="L6912"/>
        </row>
        <row r="6913">
          <cell r="A6913"/>
          <cell r="D6913"/>
          <cell r="E6913"/>
          <cell r="F6913"/>
          <cell r="G6913"/>
          <cell r="H6913"/>
          <cell r="I6913"/>
          <cell r="J6913"/>
          <cell r="L6913"/>
        </row>
        <row r="6914">
          <cell r="A6914"/>
          <cell r="D6914"/>
          <cell r="E6914"/>
          <cell r="F6914"/>
          <cell r="G6914"/>
          <cell r="H6914"/>
          <cell r="I6914"/>
          <cell r="J6914"/>
          <cell r="L6914"/>
        </row>
        <row r="6915">
          <cell r="A6915"/>
          <cell r="D6915"/>
          <cell r="E6915"/>
          <cell r="F6915"/>
          <cell r="G6915"/>
          <cell r="H6915"/>
          <cell r="I6915"/>
          <cell r="J6915"/>
          <cell r="L6915"/>
        </row>
        <row r="6916">
          <cell r="A6916"/>
          <cell r="D6916"/>
          <cell r="E6916"/>
          <cell r="F6916"/>
          <cell r="G6916"/>
          <cell r="H6916"/>
          <cell r="I6916"/>
          <cell r="J6916"/>
          <cell r="L6916"/>
        </row>
        <row r="6917">
          <cell r="A6917"/>
          <cell r="D6917"/>
          <cell r="E6917"/>
          <cell r="F6917"/>
          <cell r="G6917"/>
          <cell r="H6917"/>
          <cell r="I6917"/>
          <cell r="J6917"/>
          <cell r="L6917"/>
        </row>
        <row r="6918">
          <cell r="A6918"/>
          <cell r="D6918"/>
          <cell r="E6918"/>
          <cell r="F6918"/>
          <cell r="G6918"/>
          <cell r="H6918"/>
          <cell r="I6918"/>
          <cell r="J6918"/>
          <cell r="L6918"/>
        </row>
        <row r="6919">
          <cell r="A6919"/>
          <cell r="D6919"/>
          <cell r="E6919"/>
          <cell r="F6919"/>
          <cell r="G6919"/>
          <cell r="H6919"/>
          <cell r="I6919"/>
          <cell r="J6919"/>
          <cell r="L6919"/>
        </row>
        <row r="6920">
          <cell r="A6920"/>
          <cell r="D6920"/>
          <cell r="E6920"/>
          <cell r="F6920"/>
          <cell r="G6920"/>
          <cell r="H6920"/>
          <cell r="I6920"/>
          <cell r="J6920"/>
          <cell r="L6920"/>
        </row>
        <row r="6921">
          <cell r="A6921"/>
          <cell r="D6921"/>
          <cell r="E6921"/>
          <cell r="F6921"/>
          <cell r="G6921"/>
          <cell r="H6921"/>
          <cell r="I6921"/>
          <cell r="J6921"/>
          <cell r="L6921"/>
        </row>
        <row r="6922">
          <cell r="A6922"/>
          <cell r="D6922"/>
          <cell r="E6922"/>
          <cell r="F6922"/>
          <cell r="G6922"/>
          <cell r="H6922"/>
          <cell r="I6922"/>
          <cell r="J6922"/>
          <cell r="L6922"/>
        </row>
        <row r="6923">
          <cell r="A6923"/>
          <cell r="D6923"/>
          <cell r="E6923"/>
          <cell r="F6923"/>
          <cell r="G6923"/>
          <cell r="H6923"/>
          <cell r="I6923"/>
          <cell r="J6923"/>
          <cell r="L6923"/>
        </row>
        <row r="6924">
          <cell r="A6924"/>
          <cell r="D6924"/>
          <cell r="E6924"/>
          <cell r="F6924"/>
          <cell r="G6924"/>
          <cell r="H6924"/>
          <cell r="I6924"/>
          <cell r="J6924"/>
          <cell r="L6924"/>
        </row>
        <row r="6925">
          <cell r="A6925"/>
          <cell r="D6925"/>
          <cell r="E6925"/>
          <cell r="F6925"/>
          <cell r="G6925"/>
          <cell r="H6925"/>
          <cell r="I6925"/>
          <cell r="J6925"/>
          <cell r="L6925"/>
        </row>
        <row r="6926">
          <cell r="A6926"/>
          <cell r="D6926"/>
          <cell r="E6926"/>
          <cell r="F6926"/>
          <cell r="G6926"/>
          <cell r="H6926"/>
          <cell r="I6926"/>
          <cell r="J6926"/>
          <cell r="L6926"/>
        </row>
        <row r="6927">
          <cell r="A6927"/>
          <cell r="D6927"/>
          <cell r="E6927"/>
          <cell r="F6927"/>
          <cell r="G6927"/>
          <cell r="H6927"/>
          <cell r="I6927"/>
          <cell r="J6927"/>
          <cell r="L6927"/>
        </row>
        <row r="6928">
          <cell r="A6928"/>
          <cell r="D6928"/>
          <cell r="E6928"/>
          <cell r="F6928"/>
          <cell r="G6928"/>
          <cell r="H6928"/>
          <cell r="I6928"/>
          <cell r="J6928"/>
          <cell r="L6928"/>
        </row>
        <row r="6929">
          <cell r="A6929"/>
          <cell r="D6929"/>
          <cell r="E6929"/>
          <cell r="F6929"/>
          <cell r="G6929"/>
          <cell r="H6929"/>
          <cell r="I6929"/>
          <cell r="J6929"/>
          <cell r="L6929"/>
        </row>
        <row r="6930">
          <cell r="A6930"/>
          <cell r="D6930"/>
          <cell r="E6930"/>
          <cell r="F6930"/>
          <cell r="G6930"/>
          <cell r="H6930"/>
          <cell r="I6930"/>
          <cell r="J6930"/>
          <cell r="L6930"/>
        </row>
        <row r="6931">
          <cell r="A6931"/>
          <cell r="D6931"/>
          <cell r="E6931"/>
          <cell r="F6931"/>
          <cell r="G6931"/>
          <cell r="H6931"/>
          <cell r="I6931"/>
          <cell r="J6931"/>
          <cell r="L6931"/>
        </row>
        <row r="6932">
          <cell r="A6932"/>
          <cell r="D6932"/>
          <cell r="E6932"/>
          <cell r="F6932"/>
          <cell r="G6932"/>
          <cell r="H6932"/>
          <cell r="I6932"/>
          <cell r="J6932"/>
          <cell r="L6932"/>
        </row>
        <row r="6933">
          <cell r="A6933"/>
          <cell r="D6933"/>
          <cell r="E6933"/>
          <cell r="F6933"/>
          <cell r="G6933"/>
          <cell r="H6933"/>
          <cell r="I6933"/>
          <cell r="J6933"/>
          <cell r="L6933"/>
        </row>
        <row r="6934">
          <cell r="A6934"/>
          <cell r="D6934"/>
          <cell r="E6934"/>
          <cell r="F6934"/>
          <cell r="G6934"/>
          <cell r="H6934"/>
          <cell r="I6934"/>
          <cell r="J6934"/>
          <cell r="L6934"/>
        </row>
        <row r="6935">
          <cell r="A6935"/>
          <cell r="D6935"/>
          <cell r="E6935"/>
          <cell r="F6935"/>
          <cell r="G6935"/>
          <cell r="H6935"/>
          <cell r="I6935"/>
          <cell r="J6935"/>
          <cell r="L6935"/>
        </row>
        <row r="6936">
          <cell r="A6936"/>
          <cell r="D6936"/>
          <cell r="E6936"/>
          <cell r="F6936"/>
          <cell r="G6936"/>
          <cell r="H6936"/>
          <cell r="I6936"/>
          <cell r="J6936"/>
          <cell r="L6936"/>
        </row>
        <row r="6937">
          <cell r="A6937"/>
          <cell r="D6937"/>
          <cell r="E6937"/>
          <cell r="F6937"/>
          <cell r="G6937"/>
          <cell r="H6937"/>
          <cell r="I6937"/>
          <cell r="J6937"/>
          <cell r="L6937"/>
        </row>
        <row r="6938">
          <cell r="A6938"/>
          <cell r="D6938"/>
          <cell r="E6938"/>
          <cell r="F6938"/>
          <cell r="G6938"/>
          <cell r="H6938"/>
          <cell r="I6938"/>
          <cell r="J6938"/>
          <cell r="L6938"/>
        </row>
        <row r="6939">
          <cell r="A6939"/>
          <cell r="D6939"/>
          <cell r="E6939"/>
          <cell r="F6939"/>
          <cell r="G6939"/>
          <cell r="H6939"/>
          <cell r="I6939"/>
          <cell r="J6939"/>
          <cell r="L6939"/>
        </row>
        <row r="6940">
          <cell r="A6940"/>
          <cell r="D6940"/>
          <cell r="E6940"/>
          <cell r="F6940"/>
          <cell r="G6940"/>
          <cell r="H6940"/>
          <cell r="I6940"/>
          <cell r="J6940"/>
          <cell r="L6940"/>
        </row>
        <row r="6941">
          <cell r="A6941"/>
          <cell r="D6941"/>
          <cell r="E6941"/>
          <cell r="F6941"/>
          <cell r="G6941"/>
          <cell r="H6941"/>
          <cell r="I6941"/>
          <cell r="J6941"/>
          <cell r="L6941"/>
        </row>
        <row r="6942">
          <cell r="A6942"/>
          <cell r="D6942"/>
          <cell r="E6942"/>
          <cell r="F6942"/>
          <cell r="G6942"/>
          <cell r="H6942"/>
          <cell r="I6942"/>
          <cell r="J6942"/>
          <cell r="L6942"/>
        </row>
        <row r="6943">
          <cell r="A6943"/>
          <cell r="D6943"/>
          <cell r="E6943"/>
          <cell r="F6943"/>
          <cell r="G6943"/>
          <cell r="H6943"/>
          <cell r="I6943"/>
          <cell r="J6943"/>
          <cell r="L6943"/>
        </row>
        <row r="6944">
          <cell r="A6944"/>
          <cell r="D6944"/>
          <cell r="E6944"/>
          <cell r="F6944"/>
          <cell r="G6944"/>
          <cell r="H6944"/>
          <cell r="I6944"/>
          <cell r="J6944"/>
          <cell r="L6944"/>
        </row>
        <row r="6945">
          <cell r="A6945"/>
          <cell r="D6945"/>
          <cell r="E6945"/>
          <cell r="F6945"/>
          <cell r="G6945"/>
          <cell r="H6945"/>
          <cell r="I6945"/>
          <cell r="J6945"/>
          <cell r="L6945"/>
        </row>
        <row r="6946">
          <cell r="A6946"/>
          <cell r="D6946"/>
          <cell r="E6946"/>
          <cell r="F6946"/>
          <cell r="G6946"/>
          <cell r="H6946"/>
          <cell r="I6946"/>
          <cell r="J6946"/>
          <cell r="L6946"/>
        </row>
        <row r="6947">
          <cell r="A6947"/>
          <cell r="D6947"/>
          <cell r="E6947"/>
          <cell r="F6947"/>
          <cell r="G6947"/>
          <cell r="H6947"/>
          <cell r="I6947"/>
          <cell r="J6947"/>
          <cell r="L6947"/>
        </row>
        <row r="6948">
          <cell r="A6948"/>
          <cell r="D6948"/>
          <cell r="E6948"/>
          <cell r="F6948"/>
          <cell r="G6948"/>
          <cell r="H6948"/>
          <cell r="I6948"/>
          <cell r="J6948"/>
          <cell r="L6948"/>
        </row>
        <row r="6949">
          <cell r="A6949"/>
          <cell r="D6949"/>
          <cell r="E6949"/>
          <cell r="F6949"/>
          <cell r="G6949"/>
          <cell r="H6949"/>
          <cell r="I6949"/>
          <cell r="J6949"/>
          <cell r="L6949"/>
        </row>
        <row r="6950">
          <cell r="A6950"/>
          <cell r="D6950"/>
          <cell r="E6950"/>
          <cell r="F6950"/>
          <cell r="G6950"/>
          <cell r="H6950"/>
          <cell r="I6950"/>
          <cell r="J6950"/>
          <cell r="L6950"/>
        </row>
        <row r="6951">
          <cell r="A6951"/>
          <cell r="D6951"/>
          <cell r="E6951"/>
          <cell r="F6951"/>
          <cell r="G6951"/>
          <cell r="H6951"/>
          <cell r="I6951"/>
          <cell r="J6951"/>
          <cell r="L6951"/>
        </row>
        <row r="6952">
          <cell r="A6952"/>
          <cell r="D6952"/>
          <cell r="E6952"/>
          <cell r="F6952"/>
          <cell r="G6952"/>
          <cell r="H6952"/>
          <cell r="I6952"/>
          <cell r="J6952"/>
          <cell r="L6952"/>
        </row>
        <row r="6953">
          <cell r="A6953"/>
          <cell r="D6953"/>
          <cell r="E6953"/>
          <cell r="F6953"/>
          <cell r="G6953"/>
          <cell r="H6953"/>
          <cell r="I6953"/>
          <cell r="J6953"/>
          <cell r="L6953"/>
        </row>
        <row r="6954">
          <cell r="A6954"/>
          <cell r="D6954"/>
          <cell r="E6954"/>
          <cell r="F6954"/>
          <cell r="G6954"/>
          <cell r="H6954"/>
          <cell r="I6954"/>
          <cell r="J6954"/>
          <cell r="L6954"/>
        </row>
        <row r="6955">
          <cell r="A6955"/>
          <cell r="D6955"/>
          <cell r="E6955"/>
          <cell r="F6955"/>
          <cell r="G6955"/>
          <cell r="H6955"/>
          <cell r="I6955"/>
          <cell r="J6955"/>
          <cell r="L6955"/>
        </row>
        <row r="6956">
          <cell r="A6956"/>
          <cell r="D6956"/>
          <cell r="E6956"/>
          <cell r="F6956"/>
          <cell r="G6956"/>
          <cell r="H6956"/>
          <cell r="I6956"/>
          <cell r="J6956"/>
          <cell r="L6956"/>
        </row>
        <row r="6957">
          <cell r="A6957"/>
          <cell r="D6957"/>
          <cell r="E6957"/>
          <cell r="F6957"/>
          <cell r="G6957"/>
          <cell r="H6957"/>
          <cell r="I6957"/>
          <cell r="J6957"/>
          <cell r="L6957"/>
        </row>
        <row r="6958">
          <cell r="A6958"/>
          <cell r="D6958"/>
          <cell r="E6958"/>
          <cell r="F6958"/>
          <cell r="G6958"/>
          <cell r="H6958"/>
          <cell r="I6958"/>
          <cell r="J6958"/>
          <cell r="L6958"/>
        </row>
        <row r="6959">
          <cell r="A6959"/>
          <cell r="D6959"/>
          <cell r="E6959"/>
          <cell r="F6959"/>
          <cell r="G6959"/>
          <cell r="H6959"/>
          <cell r="I6959"/>
          <cell r="J6959"/>
          <cell r="L6959"/>
        </row>
        <row r="6960">
          <cell r="A6960"/>
          <cell r="D6960"/>
          <cell r="E6960"/>
          <cell r="F6960"/>
          <cell r="G6960"/>
          <cell r="H6960"/>
          <cell r="I6960"/>
          <cell r="J6960"/>
          <cell r="L6960"/>
        </row>
        <row r="6961">
          <cell r="A6961"/>
          <cell r="D6961"/>
          <cell r="E6961"/>
          <cell r="F6961"/>
          <cell r="G6961"/>
          <cell r="H6961"/>
          <cell r="I6961"/>
          <cell r="J6961"/>
          <cell r="L6961"/>
        </row>
        <row r="6962">
          <cell r="A6962"/>
          <cell r="D6962"/>
          <cell r="E6962"/>
          <cell r="F6962"/>
          <cell r="G6962"/>
          <cell r="H6962"/>
          <cell r="I6962"/>
          <cell r="J6962"/>
          <cell r="L6962"/>
        </row>
        <row r="6963">
          <cell r="A6963"/>
          <cell r="D6963"/>
          <cell r="E6963"/>
          <cell r="F6963"/>
          <cell r="G6963"/>
          <cell r="H6963"/>
          <cell r="I6963"/>
          <cell r="J6963"/>
          <cell r="L6963"/>
        </row>
        <row r="6964">
          <cell r="A6964"/>
          <cell r="D6964"/>
          <cell r="E6964"/>
          <cell r="F6964"/>
          <cell r="G6964"/>
          <cell r="H6964"/>
          <cell r="I6964"/>
          <cell r="J6964"/>
          <cell r="L6964"/>
        </row>
        <row r="6965">
          <cell r="A6965"/>
          <cell r="D6965"/>
          <cell r="E6965"/>
          <cell r="F6965"/>
          <cell r="G6965"/>
          <cell r="H6965"/>
          <cell r="I6965"/>
          <cell r="J6965"/>
          <cell r="L6965"/>
        </row>
        <row r="6966">
          <cell r="A6966"/>
          <cell r="D6966"/>
          <cell r="E6966"/>
          <cell r="F6966"/>
          <cell r="G6966"/>
          <cell r="H6966"/>
          <cell r="I6966"/>
          <cell r="J6966"/>
          <cell r="L6966"/>
        </row>
        <row r="6967">
          <cell r="A6967"/>
          <cell r="D6967"/>
          <cell r="E6967"/>
          <cell r="F6967"/>
          <cell r="G6967"/>
          <cell r="H6967"/>
          <cell r="I6967"/>
          <cell r="J6967"/>
          <cell r="L6967"/>
        </row>
        <row r="6968">
          <cell r="A6968"/>
          <cell r="D6968"/>
          <cell r="E6968"/>
          <cell r="F6968"/>
          <cell r="G6968"/>
          <cell r="H6968"/>
          <cell r="I6968"/>
          <cell r="J6968"/>
          <cell r="L6968"/>
        </row>
        <row r="6969">
          <cell r="A6969"/>
          <cell r="D6969"/>
          <cell r="E6969"/>
          <cell r="F6969"/>
          <cell r="G6969"/>
          <cell r="H6969"/>
          <cell r="I6969"/>
          <cell r="J6969"/>
          <cell r="L6969"/>
        </row>
        <row r="6970">
          <cell r="A6970"/>
          <cell r="D6970"/>
          <cell r="E6970"/>
          <cell r="F6970"/>
          <cell r="G6970"/>
          <cell r="H6970"/>
          <cell r="I6970"/>
          <cell r="J6970"/>
          <cell r="L6970"/>
        </row>
        <row r="6971">
          <cell r="A6971"/>
          <cell r="D6971"/>
          <cell r="E6971"/>
          <cell r="F6971"/>
          <cell r="G6971"/>
          <cell r="H6971"/>
          <cell r="I6971"/>
          <cell r="J6971"/>
          <cell r="L6971"/>
        </row>
        <row r="6972">
          <cell r="A6972"/>
          <cell r="D6972"/>
          <cell r="E6972"/>
          <cell r="F6972"/>
          <cell r="G6972"/>
          <cell r="H6972"/>
          <cell r="I6972"/>
          <cell r="J6972"/>
          <cell r="L6972"/>
        </row>
        <row r="6973">
          <cell r="A6973"/>
          <cell r="D6973"/>
          <cell r="E6973"/>
          <cell r="F6973"/>
          <cell r="G6973"/>
          <cell r="H6973"/>
          <cell r="I6973"/>
          <cell r="J6973"/>
          <cell r="L6973"/>
        </row>
        <row r="6974">
          <cell r="A6974"/>
          <cell r="D6974"/>
          <cell r="E6974"/>
          <cell r="F6974"/>
          <cell r="G6974"/>
          <cell r="H6974"/>
          <cell r="I6974"/>
          <cell r="J6974"/>
          <cell r="L6974"/>
        </row>
        <row r="6975">
          <cell r="A6975"/>
          <cell r="D6975"/>
          <cell r="E6975"/>
          <cell r="F6975"/>
          <cell r="G6975"/>
          <cell r="H6975"/>
          <cell r="I6975"/>
          <cell r="J6975"/>
          <cell r="L6975"/>
        </row>
        <row r="6976">
          <cell r="A6976"/>
          <cell r="D6976"/>
          <cell r="E6976"/>
          <cell r="F6976"/>
          <cell r="G6976"/>
          <cell r="H6976"/>
          <cell r="I6976"/>
          <cell r="J6976"/>
          <cell r="L6976"/>
        </row>
        <row r="6977">
          <cell r="A6977"/>
          <cell r="D6977"/>
          <cell r="E6977"/>
          <cell r="F6977"/>
          <cell r="G6977"/>
          <cell r="H6977"/>
          <cell r="I6977"/>
          <cell r="J6977"/>
          <cell r="L6977"/>
        </row>
        <row r="6978">
          <cell r="A6978"/>
          <cell r="D6978"/>
          <cell r="E6978"/>
          <cell r="F6978"/>
          <cell r="G6978"/>
          <cell r="H6978"/>
          <cell r="I6978"/>
          <cell r="J6978"/>
          <cell r="L6978"/>
        </row>
        <row r="6979">
          <cell r="A6979"/>
          <cell r="D6979"/>
          <cell r="E6979"/>
          <cell r="F6979"/>
          <cell r="G6979"/>
          <cell r="H6979"/>
          <cell r="I6979"/>
          <cell r="J6979"/>
          <cell r="L6979"/>
        </row>
        <row r="6980">
          <cell r="A6980"/>
          <cell r="D6980"/>
          <cell r="E6980"/>
          <cell r="F6980"/>
          <cell r="G6980"/>
          <cell r="H6980"/>
          <cell r="I6980"/>
          <cell r="J6980"/>
          <cell r="L6980"/>
        </row>
        <row r="6981">
          <cell r="A6981"/>
          <cell r="D6981"/>
          <cell r="E6981"/>
          <cell r="F6981"/>
          <cell r="G6981"/>
          <cell r="H6981"/>
          <cell r="I6981"/>
          <cell r="J6981"/>
          <cell r="L6981"/>
        </row>
        <row r="6982">
          <cell r="A6982"/>
          <cell r="D6982"/>
          <cell r="E6982"/>
          <cell r="F6982"/>
          <cell r="G6982"/>
          <cell r="H6982"/>
          <cell r="I6982"/>
          <cell r="J6982"/>
          <cell r="L6982"/>
        </row>
        <row r="6983">
          <cell r="A6983"/>
          <cell r="D6983"/>
          <cell r="E6983"/>
          <cell r="F6983"/>
          <cell r="G6983"/>
          <cell r="H6983"/>
          <cell r="I6983"/>
          <cell r="J6983"/>
          <cell r="L6983"/>
        </row>
        <row r="6984">
          <cell r="A6984"/>
          <cell r="D6984"/>
          <cell r="E6984"/>
          <cell r="F6984"/>
          <cell r="G6984"/>
          <cell r="H6984"/>
          <cell r="I6984"/>
          <cell r="J6984"/>
          <cell r="L6984"/>
        </row>
        <row r="6985">
          <cell r="A6985"/>
          <cell r="D6985"/>
          <cell r="E6985"/>
          <cell r="F6985"/>
          <cell r="G6985"/>
          <cell r="H6985"/>
          <cell r="I6985"/>
          <cell r="J6985"/>
          <cell r="L6985"/>
        </row>
        <row r="6986">
          <cell r="A6986"/>
          <cell r="D6986"/>
          <cell r="E6986"/>
          <cell r="F6986"/>
          <cell r="G6986"/>
          <cell r="H6986"/>
          <cell r="I6986"/>
          <cell r="J6986"/>
          <cell r="L6986"/>
        </row>
        <row r="6987">
          <cell r="A6987"/>
          <cell r="D6987"/>
          <cell r="E6987"/>
          <cell r="F6987"/>
          <cell r="G6987"/>
          <cell r="H6987"/>
          <cell r="I6987"/>
          <cell r="J6987"/>
          <cell r="L6987"/>
        </row>
        <row r="6988">
          <cell r="A6988"/>
          <cell r="D6988"/>
          <cell r="E6988"/>
          <cell r="F6988"/>
          <cell r="G6988"/>
          <cell r="H6988"/>
          <cell r="I6988"/>
          <cell r="J6988"/>
          <cell r="L6988"/>
        </row>
        <row r="6989">
          <cell r="A6989"/>
          <cell r="D6989"/>
          <cell r="E6989"/>
          <cell r="F6989"/>
          <cell r="G6989"/>
          <cell r="H6989"/>
          <cell r="I6989"/>
          <cell r="J6989"/>
          <cell r="L6989"/>
        </row>
        <row r="6990">
          <cell r="A6990"/>
          <cell r="D6990"/>
          <cell r="E6990"/>
          <cell r="F6990"/>
          <cell r="G6990"/>
          <cell r="H6990"/>
          <cell r="I6990"/>
          <cell r="J6990"/>
          <cell r="L6990"/>
        </row>
        <row r="6991">
          <cell r="A6991"/>
          <cell r="D6991"/>
          <cell r="E6991"/>
          <cell r="F6991"/>
          <cell r="G6991"/>
          <cell r="H6991"/>
          <cell r="I6991"/>
          <cell r="J6991"/>
          <cell r="L6991"/>
        </row>
        <row r="6992">
          <cell r="A6992"/>
          <cell r="D6992"/>
          <cell r="E6992"/>
          <cell r="F6992"/>
          <cell r="G6992"/>
          <cell r="H6992"/>
          <cell r="I6992"/>
          <cell r="J6992"/>
          <cell r="L6992"/>
        </row>
        <row r="6993">
          <cell r="A6993"/>
          <cell r="D6993"/>
          <cell r="E6993"/>
          <cell r="F6993"/>
          <cell r="G6993"/>
          <cell r="H6993"/>
          <cell r="I6993"/>
          <cell r="J6993"/>
          <cell r="L6993"/>
        </row>
        <row r="6994">
          <cell r="A6994"/>
          <cell r="D6994"/>
          <cell r="E6994"/>
          <cell r="F6994"/>
          <cell r="G6994"/>
          <cell r="H6994"/>
          <cell r="I6994"/>
          <cell r="J6994"/>
          <cell r="L6994"/>
        </row>
        <row r="6995">
          <cell r="A6995"/>
          <cell r="D6995"/>
          <cell r="E6995"/>
          <cell r="F6995"/>
          <cell r="G6995"/>
          <cell r="H6995"/>
          <cell r="I6995"/>
          <cell r="J6995"/>
          <cell r="L6995"/>
        </row>
        <row r="6996">
          <cell r="A6996"/>
          <cell r="D6996"/>
          <cell r="E6996"/>
          <cell r="F6996"/>
          <cell r="G6996"/>
          <cell r="H6996"/>
          <cell r="I6996"/>
          <cell r="J6996"/>
          <cell r="L6996"/>
        </row>
        <row r="6997">
          <cell r="A6997"/>
          <cell r="D6997"/>
          <cell r="E6997"/>
          <cell r="F6997"/>
          <cell r="G6997"/>
          <cell r="H6997"/>
          <cell r="I6997"/>
          <cell r="J6997"/>
          <cell r="L6997"/>
        </row>
        <row r="6998">
          <cell r="A6998"/>
          <cell r="D6998"/>
          <cell r="E6998"/>
          <cell r="F6998"/>
          <cell r="G6998"/>
          <cell r="H6998"/>
          <cell r="I6998"/>
          <cell r="J6998"/>
          <cell r="L6998"/>
        </row>
        <row r="6999">
          <cell r="A6999"/>
          <cell r="D6999"/>
          <cell r="E6999"/>
          <cell r="F6999"/>
          <cell r="G6999"/>
          <cell r="H6999"/>
          <cell r="I6999"/>
          <cell r="J6999"/>
          <cell r="L6999"/>
        </row>
        <row r="7000">
          <cell r="A7000"/>
          <cell r="D7000"/>
          <cell r="E7000"/>
          <cell r="F7000"/>
          <cell r="G7000"/>
          <cell r="H7000"/>
          <cell r="I7000"/>
          <cell r="J7000"/>
          <cell r="L7000"/>
        </row>
        <row r="7001">
          <cell r="A7001"/>
          <cell r="D7001"/>
          <cell r="E7001"/>
          <cell r="F7001"/>
          <cell r="G7001"/>
          <cell r="H7001"/>
          <cell r="I7001"/>
          <cell r="J7001"/>
          <cell r="L7001"/>
        </row>
        <row r="7002">
          <cell r="A7002"/>
          <cell r="D7002"/>
          <cell r="E7002"/>
          <cell r="F7002"/>
          <cell r="G7002"/>
          <cell r="H7002"/>
          <cell r="I7002"/>
          <cell r="J7002"/>
          <cell r="L7002"/>
        </row>
        <row r="7003">
          <cell r="A7003"/>
          <cell r="D7003"/>
          <cell r="E7003"/>
          <cell r="F7003"/>
          <cell r="G7003"/>
          <cell r="H7003"/>
          <cell r="I7003"/>
          <cell r="J7003"/>
          <cell r="L7003"/>
        </row>
        <row r="7004">
          <cell r="A7004"/>
          <cell r="D7004"/>
          <cell r="E7004"/>
          <cell r="F7004"/>
          <cell r="G7004"/>
          <cell r="H7004"/>
          <cell r="I7004"/>
          <cell r="J7004"/>
          <cell r="L7004"/>
        </row>
        <row r="7005">
          <cell r="A7005"/>
          <cell r="D7005"/>
          <cell r="E7005"/>
          <cell r="F7005"/>
          <cell r="G7005"/>
          <cell r="H7005"/>
          <cell r="I7005"/>
          <cell r="J7005"/>
          <cell r="L7005"/>
        </row>
        <row r="7006">
          <cell r="A7006"/>
          <cell r="D7006"/>
          <cell r="E7006"/>
          <cell r="F7006"/>
          <cell r="G7006"/>
          <cell r="H7006"/>
          <cell r="I7006"/>
          <cell r="J7006"/>
          <cell r="L7006"/>
        </row>
        <row r="7007">
          <cell r="A7007"/>
          <cell r="D7007"/>
          <cell r="E7007"/>
          <cell r="F7007"/>
          <cell r="G7007"/>
          <cell r="H7007"/>
          <cell r="I7007"/>
          <cell r="J7007"/>
          <cell r="L7007"/>
        </row>
        <row r="7008">
          <cell r="A7008"/>
          <cell r="D7008"/>
          <cell r="E7008"/>
          <cell r="F7008"/>
          <cell r="G7008"/>
          <cell r="H7008"/>
          <cell r="I7008"/>
          <cell r="J7008"/>
          <cell r="L7008"/>
        </row>
        <row r="7009">
          <cell r="A7009"/>
          <cell r="D7009"/>
          <cell r="E7009"/>
          <cell r="F7009"/>
          <cell r="G7009"/>
          <cell r="H7009"/>
          <cell r="I7009"/>
          <cell r="J7009"/>
          <cell r="L7009"/>
        </row>
        <row r="7010">
          <cell r="A7010"/>
          <cell r="D7010"/>
          <cell r="E7010"/>
          <cell r="F7010"/>
          <cell r="G7010"/>
          <cell r="H7010"/>
          <cell r="I7010"/>
          <cell r="J7010"/>
          <cell r="L7010"/>
        </row>
        <row r="7011">
          <cell r="A7011"/>
          <cell r="D7011"/>
          <cell r="E7011"/>
          <cell r="F7011"/>
          <cell r="G7011"/>
          <cell r="H7011"/>
          <cell r="I7011"/>
          <cell r="J7011"/>
          <cell r="L7011"/>
        </row>
        <row r="7012">
          <cell r="A7012"/>
          <cell r="D7012"/>
          <cell r="E7012"/>
          <cell r="F7012"/>
          <cell r="G7012"/>
          <cell r="H7012"/>
          <cell r="I7012"/>
          <cell r="J7012"/>
          <cell r="L7012"/>
        </row>
        <row r="7013">
          <cell r="A7013"/>
          <cell r="D7013"/>
          <cell r="E7013"/>
          <cell r="F7013"/>
          <cell r="G7013"/>
          <cell r="H7013"/>
          <cell r="I7013"/>
          <cell r="J7013"/>
          <cell r="L7013"/>
        </row>
        <row r="7014">
          <cell r="A7014"/>
          <cell r="D7014"/>
          <cell r="E7014"/>
          <cell r="F7014"/>
          <cell r="G7014"/>
          <cell r="H7014"/>
          <cell r="I7014"/>
          <cell r="J7014"/>
          <cell r="L7014"/>
        </row>
        <row r="7015">
          <cell r="A7015"/>
          <cell r="D7015"/>
          <cell r="E7015"/>
          <cell r="F7015"/>
          <cell r="G7015"/>
          <cell r="H7015"/>
          <cell r="I7015"/>
          <cell r="J7015"/>
          <cell r="L7015"/>
        </row>
        <row r="7016">
          <cell r="A7016"/>
          <cell r="D7016"/>
          <cell r="E7016"/>
          <cell r="F7016"/>
          <cell r="G7016"/>
          <cell r="H7016"/>
          <cell r="I7016"/>
          <cell r="J7016"/>
          <cell r="L7016"/>
        </row>
        <row r="7017">
          <cell r="A7017"/>
          <cell r="D7017"/>
          <cell r="E7017"/>
          <cell r="F7017"/>
          <cell r="G7017"/>
          <cell r="H7017"/>
          <cell r="I7017"/>
          <cell r="J7017"/>
          <cell r="L7017"/>
        </row>
        <row r="7018">
          <cell r="A7018"/>
          <cell r="D7018"/>
          <cell r="E7018"/>
          <cell r="F7018"/>
          <cell r="G7018"/>
          <cell r="H7018"/>
          <cell r="I7018"/>
          <cell r="J7018"/>
          <cell r="L7018"/>
        </row>
        <row r="7019">
          <cell r="A7019"/>
          <cell r="D7019"/>
          <cell r="E7019"/>
          <cell r="F7019"/>
          <cell r="G7019"/>
          <cell r="H7019"/>
          <cell r="I7019"/>
          <cell r="J7019"/>
          <cell r="L7019"/>
        </row>
        <row r="7020">
          <cell r="A7020"/>
          <cell r="D7020"/>
          <cell r="E7020"/>
          <cell r="F7020"/>
          <cell r="G7020"/>
          <cell r="H7020"/>
          <cell r="I7020"/>
          <cell r="J7020"/>
          <cell r="L7020"/>
        </row>
        <row r="7021">
          <cell r="A7021"/>
          <cell r="D7021"/>
          <cell r="E7021"/>
          <cell r="F7021"/>
          <cell r="G7021"/>
          <cell r="H7021"/>
          <cell r="I7021"/>
          <cell r="J7021"/>
          <cell r="L7021"/>
        </row>
        <row r="7022">
          <cell r="A7022"/>
          <cell r="D7022"/>
          <cell r="E7022"/>
          <cell r="F7022"/>
          <cell r="G7022"/>
          <cell r="H7022"/>
          <cell r="I7022"/>
          <cell r="J7022"/>
          <cell r="L7022"/>
        </row>
        <row r="7023">
          <cell r="A7023"/>
          <cell r="D7023"/>
          <cell r="E7023"/>
          <cell r="F7023"/>
          <cell r="G7023"/>
          <cell r="H7023"/>
          <cell r="I7023"/>
          <cell r="J7023"/>
          <cell r="L7023"/>
        </row>
        <row r="7024">
          <cell r="A7024"/>
          <cell r="D7024"/>
          <cell r="E7024"/>
          <cell r="F7024"/>
          <cell r="G7024"/>
          <cell r="H7024"/>
          <cell r="I7024"/>
          <cell r="J7024"/>
          <cell r="L7024"/>
        </row>
        <row r="7025">
          <cell r="A7025"/>
          <cell r="D7025"/>
          <cell r="E7025"/>
          <cell r="F7025"/>
          <cell r="G7025"/>
          <cell r="H7025"/>
          <cell r="I7025"/>
          <cell r="J7025"/>
          <cell r="L7025"/>
        </row>
        <row r="7026">
          <cell r="A7026"/>
          <cell r="D7026"/>
          <cell r="E7026"/>
          <cell r="F7026"/>
          <cell r="G7026"/>
          <cell r="H7026"/>
          <cell r="I7026"/>
          <cell r="J7026"/>
          <cell r="L7026"/>
        </row>
        <row r="7027">
          <cell r="A7027"/>
          <cell r="D7027"/>
          <cell r="E7027"/>
          <cell r="F7027"/>
          <cell r="G7027"/>
          <cell r="H7027"/>
          <cell r="I7027"/>
          <cell r="J7027"/>
          <cell r="L7027"/>
        </row>
        <row r="7028">
          <cell r="A7028"/>
          <cell r="D7028"/>
          <cell r="E7028"/>
          <cell r="F7028"/>
          <cell r="G7028"/>
          <cell r="H7028"/>
          <cell r="I7028"/>
          <cell r="J7028"/>
          <cell r="L7028"/>
        </row>
        <row r="7029">
          <cell r="A7029"/>
          <cell r="D7029"/>
          <cell r="E7029"/>
          <cell r="F7029"/>
          <cell r="G7029"/>
          <cell r="H7029"/>
          <cell r="I7029"/>
          <cell r="J7029"/>
          <cell r="L7029"/>
        </row>
        <row r="7030">
          <cell r="A7030"/>
          <cell r="D7030"/>
          <cell r="E7030"/>
          <cell r="F7030"/>
          <cell r="G7030"/>
          <cell r="H7030"/>
          <cell r="I7030"/>
          <cell r="J7030"/>
          <cell r="L7030"/>
        </row>
        <row r="7031">
          <cell r="A7031"/>
          <cell r="D7031"/>
          <cell r="E7031"/>
          <cell r="F7031"/>
          <cell r="G7031"/>
          <cell r="H7031"/>
          <cell r="I7031"/>
          <cell r="J7031"/>
          <cell r="L7031"/>
        </row>
        <row r="7032">
          <cell r="A7032"/>
          <cell r="D7032"/>
          <cell r="E7032"/>
          <cell r="F7032"/>
          <cell r="G7032"/>
          <cell r="H7032"/>
          <cell r="I7032"/>
          <cell r="J7032"/>
          <cell r="L7032"/>
        </row>
        <row r="7033">
          <cell r="A7033"/>
          <cell r="D7033"/>
          <cell r="E7033"/>
          <cell r="F7033"/>
          <cell r="G7033"/>
          <cell r="H7033"/>
          <cell r="I7033"/>
          <cell r="J7033"/>
          <cell r="L7033"/>
        </row>
        <row r="7034">
          <cell r="A7034"/>
          <cell r="D7034"/>
          <cell r="E7034"/>
          <cell r="F7034"/>
          <cell r="G7034"/>
          <cell r="H7034"/>
          <cell r="I7034"/>
          <cell r="J7034"/>
          <cell r="L7034"/>
        </row>
        <row r="7035">
          <cell r="A7035"/>
          <cell r="D7035"/>
          <cell r="E7035"/>
          <cell r="F7035"/>
          <cell r="G7035"/>
          <cell r="H7035"/>
          <cell r="I7035"/>
          <cell r="J7035"/>
          <cell r="L7035"/>
        </row>
        <row r="7036">
          <cell r="A7036"/>
          <cell r="D7036"/>
          <cell r="E7036"/>
          <cell r="F7036"/>
          <cell r="G7036"/>
          <cell r="H7036"/>
          <cell r="I7036"/>
          <cell r="J7036"/>
          <cell r="L7036"/>
        </row>
        <row r="7037">
          <cell r="A7037"/>
          <cell r="D7037"/>
          <cell r="E7037"/>
          <cell r="F7037"/>
          <cell r="G7037"/>
          <cell r="H7037"/>
          <cell r="I7037"/>
          <cell r="J7037"/>
          <cell r="L7037"/>
        </row>
        <row r="7038">
          <cell r="A7038"/>
          <cell r="D7038"/>
          <cell r="E7038"/>
          <cell r="F7038"/>
          <cell r="G7038"/>
          <cell r="H7038"/>
          <cell r="I7038"/>
          <cell r="J7038"/>
          <cell r="L7038"/>
        </row>
        <row r="7039">
          <cell r="A7039"/>
          <cell r="D7039"/>
          <cell r="E7039"/>
          <cell r="F7039"/>
          <cell r="G7039"/>
          <cell r="H7039"/>
          <cell r="I7039"/>
          <cell r="J7039"/>
          <cell r="L7039"/>
        </row>
        <row r="7040">
          <cell r="A7040"/>
          <cell r="D7040"/>
          <cell r="E7040"/>
          <cell r="F7040"/>
          <cell r="G7040"/>
          <cell r="H7040"/>
          <cell r="I7040"/>
          <cell r="J7040"/>
          <cell r="L7040"/>
        </row>
        <row r="7041">
          <cell r="A7041"/>
          <cell r="D7041"/>
          <cell r="E7041"/>
          <cell r="F7041"/>
          <cell r="G7041"/>
          <cell r="H7041"/>
          <cell r="I7041"/>
          <cell r="J7041"/>
          <cell r="L7041"/>
        </row>
        <row r="7042">
          <cell r="A7042"/>
          <cell r="D7042"/>
          <cell r="E7042"/>
          <cell r="F7042"/>
          <cell r="G7042"/>
          <cell r="H7042"/>
          <cell r="I7042"/>
          <cell r="J7042"/>
          <cell r="L7042"/>
        </row>
        <row r="7043">
          <cell r="A7043"/>
          <cell r="D7043"/>
          <cell r="E7043"/>
          <cell r="F7043"/>
          <cell r="G7043"/>
          <cell r="H7043"/>
          <cell r="I7043"/>
          <cell r="J7043"/>
          <cell r="L7043"/>
        </row>
        <row r="7044">
          <cell r="A7044"/>
          <cell r="D7044"/>
          <cell r="E7044"/>
          <cell r="F7044"/>
          <cell r="G7044"/>
          <cell r="H7044"/>
          <cell r="I7044"/>
          <cell r="J7044"/>
          <cell r="L7044"/>
        </row>
        <row r="7045">
          <cell r="A7045"/>
          <cell r="D7045"/>
          <cell r="E7045"/>
          <cell r="F7045"/>
          <cell r="G7045"/>
          <cell r="H7045"/>
          <cell r="I7045"/>
          <cell r="J7045"/>
          <cell r="L7045"/>
        </row>
        <row r="7046">
          <cell r="A7046"/>
          <cell r="D7046"/>
          <cell r="E7046"/>
          <cell r="F7046"/>
          <cell r="G7046"/>
          <cell r="H7046"/>
          <cell r="I7046"/>
          <cell r="J7046"/>
          <cell r="L7046"/>
        </row>
        <row r="7047">
          <cell r="A7047"/>
          <cell r="D7047"/>
          <cell r="E7047"/>
          <cell r="F7047"/>
          <cell r="G7047"/>
          <cell r="H7047"/>
          <cell r="I7047"/>
          <cell r="J7047"/>
          <cell r="L7047"/>
        </row>
        <row r="7048">
          <cell r="A7048"/>
          <cell r="D7048"/>
          <cell r="E7048"/>
          <cell r="F7048"/>
          <cell r="G7048"/>
          <cell r="H7048"/>
          <cell r="I7048"/>
          <cell r="J7048"/>
          <cell r="L7048"/>
        </row>
        <row r="7049">
          <cell r="A7049"/>
          <cell r="D7049"/>
          <cell r="E7049"/>
          <cell r="F7049"/>
          <cell r="G7049"/>
          <cell r="H7049"/>
          <cell r="I7049"/>
          <cell r="J7049"/>
          <cell r="L7049"/>
        </row>
        <row r="7050">
          <cell r="A7050"/>
          <cell r="D7050"/>
          <cell r="E7050"/>
          <cell r="F7050"/>
          <cell r="G7050"/>
          <cell r="H7050"/>
          <cell r="I7050"/>
          <cell r="J7050"/>
          <cell r="L7050"/>
        </row>
        <row r="7051">
          <cell r="A7051"/>
          <cell r="D7051"/>
          <cell r="E7051"/>
          <cell r="F7051"/>
          <cell r="G7051"/>
          <cell r="H7051"/>
          <cell r="I7051"/>
          <cell r="J7051"/>
          <cell r="L7051"/>
        </row>
        <row r="7052">
          <cell r="A7052"/>
          <cell r="D7052"/>
          <cell r="E7052"/>
          <cell r="F7052"/>
          <cell r="G7052"/>
          <cell r="H7052"/>
          <cell r="I7052"/>
          <cell r="J7052"/>
          <cell r="L7052"/>
        </row>
        <row r="7053">
          <cell r="A7053"/>
          <cell r="D7053"/>
          <cell r="E7053"/>
          <cell r="F7053"/>
          <cell r="G7053"/>
          <cell r="H7053"/>
          <cell r="I7053"/>
          <cell r="J7053"/>
          <cell r="L7053"/>
        </row>
        <row r="7054">
          <cell r="A7054"/>
          <cell r="D7054"/>
          <cell r="E7054"/>
          <cell r="F7054"/>
          <cell r="G7054"/>
          <cell r="H7054"/>
          <cell r="I7054"/>
          <cell r="J7054"/>
          <cell r="L7054"/>
        </row>
        <row r="7055">
          <cell r="A7055"/>
          <cell r="D7055"/>
          <cell r="E7055"/>
          <cell r="F7055"/>
          <cell r="G7055"/>
          <cell r="H7055"/>
          <cell r="I7055"/>
          <cell r="J7055"/>
          <cell r="L7055"/>
        </row>
        <row r="7056">
          <cell r="A7056"/>
          <cell r="D7056"/>
          <cell r="E7056"/>
          <cell r="F7056"/>
          <cell r="G7056"/>
          <cell r="H7056"/>
          <cell r="I7056"/>
          <cell r="J7056"/>
          <cell r="L7056"/>
        </row>
        <row r="7057">
          <cell r="A7057"/>
          <cell r="D7057"/>
          <cell r="E7057"/>
          <cell r="F7057"/>
          <cell r="G7057"/>
          <cell r="H7057"/>
          <cell r="I7057"/>
          <cell r="J7057"/>
          <cell r="L7057"/>
        </row>
        <row r="7058">
          <cell r="A7058"/>
          <cell r="D7058"/>
          <cell r="E7058"/>
          <cell r="F7058"/>
          <cell r="G7058"/>
          <cell r="H7058"/>
          <cell r="I7058"/>
          <cell r="J7058"/>
          <cell r="L7058"/>
        </row>
        <row r="7059">
          <cell r="A7059"/>
          <cell r="D7059"/>
          <cell r="E7059"/>
          <cell r="F7059"/>
          <cell r="G7059"/>
          <cell r="H7059"/>
          <cell r="I7059"/>
          <cell r="J7059"/>
          <cell r="L7059"/>
        </row>
        <row r="7060">
          <cell r="A7060"/>
          <cell r="D7060"/>
          <cell r="E7060"/>
          <cell r="F7060"/>
          <cell r="G7060"/>
          <cell r="H7060"/>
          <cell r="I7060"/>
          <cell r="J7060"/>
          <cell r="L7060"/>
        </row>
        <row r="7061">
          <cell r="A7061"/>
          <cell r="D7061"/>
          <cell r="E7061"/>
          <cell r="F7061"/>
          <cell r="G7061"/>
          <cell r="H7061"/>
          <cell r="I7061"/>
          <cell r="J7061"/>
          <cell r="L7061"/>
        </row>
        <row r="7062">
          <cell r="A7062"/>
          <cell r="D7062"/>
          <cell r="E7062"/>
          <cell r="F7062"/>
          <cell r="G7062"/>
          <cell r="H7062"/>
          <cell r="I7062"/>
          <cell r="J7062"/>
          <cell r="L7062"/>
        </row>
        <row r="7063">
          <cell r="A7063"/>
          <cell r="D7063"/>
          <cell r="E7063"/>
          <cell r="F7063"/>
          <cell r="G7063"/>
          <cell r="H7063"/>
          <cell r="I7063"/>
          <cell r="J7063"/>
          <cell r="L7063"/>
        </row>
        <row r="7064">
          <cell r="A7064"/>
          <cell r="D7064"/>
          <cell r="E7064"/>
          <cell r="F7064"/>
          <cell r="G7064"/>
          <cell r="H7064"/>
          <cell r="I7064"/>
          <cell r="J7064"/>
          <cell r="L7064"/>
        </row>
        <row r="7065">
          <cell r="A7065"/>
          <cell r="D7065"/>
          <cell r="E7065"/>
          <cell r="F7065"/>
          <cell r="G7065"/>
          <cell r="H7065"/>
          <cell r="I7065"/>
          <cell r="J7065"/>
          <cell r="L7065"/>
        </row>
        <row r="7066">
          <cell r="A7066"/>
          <cell r="D7066"/>
          <cell r="E7066"/>
          <cell r="F7066"/>
          <cell r="G7066"/>
          <cell r="H7066"/>
          <cell r="I7066"/>
          <cell r="J7066"/>
          <cell r="L7066"/>
        </row>
        <row r="7067">
          <cell r="A7067"/>
          <cell r="D7067"/>
          <cell r="E7067"/>
          <cell r="F7067"/>
          <cell r="G7067"/>
          <cell r="H7067"/>
          <cell r="I7067"/>
          <cell r="J7067"/>
          <cell r="L7067"/>
        </row>
        <row r="7068">
          <cell r="A7068"/>
          <cell r="D7068"/>
          <cell r="E7068"/>
          <cell r="F7068"/>
          <cell r="G7068"/>
          <cell r="H7068"/>
          <cell r="I7068"/>
          <cell r="J7068"/>
          <cell r="L7068"/>
        </row>
        <row r="7069">
          <cell r="A7069"/>
          <cell r="D7069"/>
          <cell r="E7069"/>
          <cell r="F7069"/>
          <cell r="G7069"/>
          <cell r="H7069"/>
          <cell r="I7069"/>
          <cell r="J7069"/>
          <cell r="L7069"/>
        </row>
        <row r="7070">
          <cell r="A7070"/>
          <cell r="D7070"/>
          <cell r="E7070"/>
          <cell r="F7070"/>
          <cell r="G7070"/>
          <cell r="H7070"/>
          <cell r="I7070"/>
          <cell r="J7070"/>
          <cell r="L7070"/>
        </row>
        <row r="7071">
          <cell r="A7071"/>
          <cell r="D7071"/>
          <cell r="E7071"/>
          <cell r="F7071"/>
          <cell r="G7071"/>
          <cell r="H7071"/>
          <cell r="I7071"/>
          <cell r="J7071"/>
          <cell r="L7071"/>
        </row>
        <row r="7072">
          <cell r="A7072"/>
          <cell r="D7072"/>
          <cell r="E7072"/>
          <cell r="F7072"/>
          <cell r="G7072"/>
          <cell r="H7072"/>
          <cell r="I7072"/>
          <cell r="J7072"/>
          <cell r="L7072"/>
        </row>
        <row r="7073">
          <cell r="A7073"/>
          <cell r="D7073"/>
          <cell r="E7073"/>
          <cell r="F7073"/>
          <cell r="G7073"/>
          <cell r="H7073"/>
          <cell r="I7073"/>
          <cell r="J7073"/>
          <cell r="L7073"/>
        </row>
        <row r="7074">
          <cell r="A7074"/>
          <cell r="D7074"/>
          <cell r="E7074"/>
          <cell r="F7074"/>
          <cell r="G7074"/>
          <cell r="H7074"/>
          <cell r="I7074"/>
          <cell r="J7074"/>
          <cell r="L7074"/>
        </row>
        <row r="7075">
          <cell r="A7075"/>
          <cell r="D7075"/>
          <cell r="E7075"/>
          <cell r="F7075"/>
          <cell r="G7075"/>
          <cell r="H7075"/>
          <cell r="I7075"/>
          <cell r="J7075"/>
          <cell r="L7075"/>
        </row>
        <row r="7076">
          <cell r="A7076"/>
          <cell r="D7076"/>
          <cell r="E7076"/>
          <cell r="F7076"/>
          <cell r="G7076"/>
          <cell r="H7076"/>
          <cell r="I7076"/>
          <cell r="J7076"/>
          <cell r="L7076"/>
        </row>
        <row r="7077">
          <cell r="A7077"/>
          <cell r="D7077"/>
          <cell r="E7077"/>
          <cell r="F7077"/>
          <cell r="G7077"/>
          <cell r="H7077"/>
          <cell r="I7077"/>
          <cell r="J7077"/>
          <cell r="L7077"/>
        </row>
        <row r="7078">
          <cell r="A7078"/>
          <cell r="D7078"/>
          <cell r="E7078"/>
          <cell r="F7078"/>
          <cell r="G7078"/>
          <cell r="H7078"/>
          <cell r="I7078"/>
          <cell r="J7078"/>
          <cell r="L7078"/>
        </row>
        <row r="7079">
          <cell r="A7079"/>
          <cell r="D7079"/>
          <cell r="E7079"/>
          <cell r="F7079"/>
          <cell r="G7079"/>
          <cell r="H7079"/>
          <cell r="I7079"/>
          <cell r="J7079"/>
          <cell r="L7079"/>
        </row>
        <row r="7080">
          <cell r="A7080"/>
          <cell r="D7080"/>
          <cell r="E7080"/>
          <cell r="F7080"/>
          <cell r="G7080"/>
          <cell r="H7080"/>
          <cell r="I7080"/>
          <cell r="J7080"/>
          <cell r="L7080"/>
        </row>
        <row r="7081">
          <cell r="A7081"/>
          <cell r="D7081"/>
          <cell r="E7081"/>
          <cell r="F7081"/>
          <cell r="G7081"/>
          <cell r="H7081"/>
          <cell r="I7081"/>
          <cell r="J7081"/>
          <cell r="L7081"/>
        </row>
        <row r="7082">
          <cell r="A7082"/>
          <cell r="D7082"/>
          <cell r="E7082"/>
          <cell r="F7082"/>
          <cell r="G7082"/>
          <cell r="H7082"/>
          <cell r="I7082"/>
          <cell r="J7082"/>
          <cell r="L7082"/>
        </row>
        <row r="7083">
          <cell r="A7083"/>
          <cell r="D7083"/>
          <cell r="E7083"/>
          <cell r="F7083"/>
          <cell r="G7083"/>
          <cell r="H7083"/>
          <cell r="I7083"/>
          <cell r="J7083"/>
          <cell r="L7083"/>
        </row>
        <row r="7084">
          <cell r="A7084"/>
          <cell r="D7084"/>
          <cell r="E7084"/>
          <cell r="F7084"/>
          <cell r="G7084"/>
          <cell r="H7084"/>
          <cell r="I7084"/>
          <cell r="J7084"/>
          <cell r="L7084"/>
        </row>
        <row r="7085">
          <cell r="A7085"/>
          <cell r="D7085"/>
          <cell r="E7085"/>
          <cell r="F7085"/>
          <cell r="G7085"/>
          <cell r="H7085"/>
          <cell r="I7085"/>
          <cell r="J7085"/>
          <cell r="L7085"/>
        </row>
        <row r="7086">
          <cell r="A7086"/>
          <cell r="D7086"/>
          <cell r="E7086"/>
          <cell r="F7086"/>
          <cell r="G7086"/>
          <cell r="H7086"/>
          <cell r="I7086"/>
          <cell r="J7086"/>
          <cell r="L7086"/>
        </row>
        <row r="7087">
          <cell r="A7087"/>
          <cell r="D7087"/>
          <cell r="E7087"/>
          <cell r="F7087"/>
          <cell r="G7087"/>
          <cell r="H7087"/>
          <cell r="I7087"/>
          <cell r="J7087"/>
          <cell r="L7087"/>
        </row>
        <row r="7088">
          <cell r="A7088"/>
          <cell r="D7088"/>
          <cell r="E7088"/>
          <cell r="F7088"/>
          <cell r="G7088"/>
          <cell r="H7088"/>
          <cell r="I7088"/>
          <cell r="J7088"/>
          <cell r="L7088"/>
        </row>
        <row r="7089">
          <cell r="A7089"/>
          <cell r="D7089"/>
          <cell r="E7089"/>
          <cell r="F7089"/>
          <cell r="G7089"/>
          <cell r="H7089"/>
          <cell r="I7089"/>
          <cell r="J7089"/>
          <cell r="L7089"/>
        </row>
        <row r="7090">
          <cell r="A7090"/>
          <cell r="D7090"/>
          <cell r="E7090"/>
          <cell r="F7090"/>
          <cell r="G7090"/>
          <cell r="H7090"/>
          <cell r="I7090"/>
          <cell r="J7090"/>
          <cell r="L7090"/>
        </row>
        <row r="7091">
          <cell r="A7091"/>
          <cell r="D7091"/>
          <cell r="E7091"/>
          <cell r="F7091"/>
          <cell r="G7091"/>
          <cell r="H7091"/>
          <cell r="I7091"/>
          <cell r="J7091"/>
          <cell r="L7091"/>
        </row>
        <row r="7092">
          <cell r="A7092"/>
          <cell r="D7092"/>
          <cell r="E7092"/>
          <cell r="F7092"/>
          <cell r="G7092"/>
          <cell r="H7092"/>
          <cell r="I7092"/>
          <cell r="J7092"/>
          <cell r="L7092"/>
        </row>
        <row r="7093">
          <cell r="A7093"/>
          <cell r="D7093"/>
          <cell r="E7093"/>
          <cell r="F7093"/>
          <cell r="G7093"/>
          <cell r="H7093"/>
          <cell r="I7093"/>
          <cell r="J7093"/>
          <cell r="L7093"/>
        </row>
        <row r="7094">
          <cell r="A7094"/>
          <cell r="D7094"/>
          <cell r="E7094"/>
          <cell r="F7094"/>
          <cell r="G7094"/>
          <cell r="H7094"/>
          <cell r="I7094"/>
          <cell r="J7094"/>
          <cell r="L7094"/>
        </row>
        <row r="7095">
          <cell r="A7095"/>
          <cell r="D7095"/>
          <cell r="E7095"/>
          <cell r="F7095"/>
          <cell r="G7095"/>
          <cell r="H7095"/>
          <cell r="I7095"/>
          <cell r="J7095"/>
          <cell r="L7095"/>
        </row>
        <row r="7096">
          <cell r="A7096"/>
          <cell r="D7096"/>
          <cell r="E7096"/>
          <cell r="F7096"/>
          <cell r="G7096"/>
          <cell r="H7096"/>
          <cell r="I7096"/>
          <cell r="J7096"/>
          <cell r="L7096"/>
        </row>
        <row r="7097">
          <cell r="A7097"/>
          <cell r="D7097"/>
          <cell r="E7097"/>
          <cell r="F7097"/>
          <cell r="G7097"/>
          <cell r="H7097"/>
          <cell r="I7097"/>
          <cell r="J7097"/>
          <cell r="L7097"/>
        </row>
        <row r="7098">
          <cell r="A7098"/>
          <cell r="D7098"/>
          <cell r="E7098"/>
          <cell r="F7098"/>
          <cell r="G7098"/>
          <cell r="H7098"/>
          <cell r="I7098"/>
          <cell r="J7098"/>
          <cell r="L7098"/>
        </row>
        <row r="7099">
          <cell r="A7099"/>
          <cell r="D7099"/>
          <cell r="E7099"/>
          <cell r="F7099"/>
          <cell r="G7099"/>
          <cell r="H7099"/>
          <cell r="I7099"/>
          <cell r="J7099"/>
          <cell r="L7099"/>
        </row>
        <row r="7100">
          <cell r="A7100"/>
          <cell r="D7100"/>
          <cell r="E7100"/>
          <cell r="F7100"/>
          <cell r="G7100"/>
          <cell r="H7100"/>
          <cell r="I7100"/>
          <cell r="J7100"/>
          <cell r="L7100"/>
        </row>
        <row r="7101">
          <cell r="A7101"/>
          <cell r="D7101"/>
          <cell r="E7101"/>
          <cell r="F7101"/>
          <cell r="G7101"/>
          <cell r="H7101"/>
          <cell r="I7101"/>
          <cell r="J7101"/>
          <cell r="L7101"/>
        </row>
        <row r="7102">
          <cell r="A7102"/>
          <cell r="D7102"/>
          <cell r="E7102"/>
          <cell r="F7102"/>
          <cell r="G7102"/>
          <cell r="H7102"/>
          <cell r="I7102"/>
          <cell r="J7102"/>
          <cell r="L7102"/>
        </row>
        <row r="7103">
          <cell r="A7103"/>
          <cell r="D7103"/>
          <cell r="E7103"/>
          <cell r="F7103"/>
          <cell r="G7103"/>
          <cell r="H7103"/>
          <cell r="I7103"/>
          <cell r="J7103"/>
          <cell r="L7103"/>
        </row>
        <row r="7104">
          <cell r="A7104"/>
          <cell r="D7104"/>
          <cell r="E7104"/>
          <cell r="F7104"/>
          <cell r="G7104"/>
          <cell r="H7104"/>
          <cell r="I7104"/>
          <cell r="J7104"/>
          <cell r="L7104"/>
        </row>
        <row r="7105">
          <cell r="A7105"/>
          <cell r="D7105"/>
          <cell r="E7105"/>
          <cell r="F7105"/>
          <cell r="G7105"/>
          <cell r="H7105"/>
          <cell r="I7105"/>
          <cell r="J7105"/>
          <cell r="L7105"/>
        </row>
        <row r="7106">
          <cell r="A7106"/>
          <cell r="D7106"/>
          <cell r="E7106"/>
          <cell r="F7106"/>
          <cell r="G7106"/>
          <cell r="H7106"/>
          <cell r="I7106"/>
          <cell r="J7106"/>
          <cell r="L7106"/>
        </row>
        <row r="7107">
          <cell r="A7107"/>
          <cell r="D7107"/>
          <cell r="E7107"/>
          <cell r="F7107"/>
          <cell r="G7107"/>
          <cell r="H7107"/>
          <cell r="I7107"/>
          <cell r="J7107"/>
          <cell r="L7107"/>
        </row>
        <row r="7108">
          <cell r="A7108"/>
          <cell r="D7108"/>
          <cell r="E7108"/>
          <cell r="F7108"/>
          <cell r="G7108"/>
          <cell r="H7108"/>
          <cell r="I7108"/>
          <cell r="J7108"/>
          <cell r="L7108"/>
        </row>
        <row r="7109">
          <cell r="A7109"/>
          <cell r="D7109"/>
          <cell r="E7109"/>
          <cell r="F7109"/>
          <cell r="G7109"/>
          <cell r="H7109"/>
          <cell r="I7109"/>
          <cell r="J7109"/>
          <cell r="L7109"/>
        </row>
        <row r="7110">
          <cell r="A7110"/>
          <cell r="D7110"/>
          <cell r="E7110"/>
          <cell r="F7110"/>
          <cell r="G7110"/>
          <cell r="H7110"/>
          <cell r="I7110"/>
          <cell r="J7110"/>
          <cell r="L7110"/>
        </row>
        <row r="7111">
          <cell r="A7111"/>
          <cell r="D7111"/>
          <cell r="E7111"/>
          <cell r="F7111"/>
          <cell r="G7111"/>
          <cell r="H7111"/>
          <cell r="I7111"/>
          <cell r="J7111"/>
          <cell r="L7111"/>
        </row>
        <row r="7112">
          <cell r="A7112"/>
          <cell r="D7112"/>
          <cell r="E7112"/>
          <cell r="F7112"/>
          <cell r="G7112"/>
          <cell r="H7112"/>
          <cell r="I7112"/>
          <cell r="J7112"/>
          <cell r="L7112"/>
        </row>
        <row r="7113">
          <cell r="A7113"/>
          <cell r="D7113"/>
          <cell r="E7113"/>
          <cell r="F7113"/>
          <cell r="G7113"/>
          <cell r="H7113"/>
          <cell r="I7113"/>
          <cell r="J7113"/>
          <cell r="L7113"/>
        </row>
        <row r="7114">
          <cell r="A7114"/>
          <cell r="D7114"/>
          <cell r="E7114"/>
          <cell r="F7114"/>
          <cell r="G7114"/>
          <cell r="H7114"/>
          <cell r="I7114"/>
          <cell r="J7114"/>
          <cell r="L7114"/>
        </row>
        <row r="7115">
          <cell r="A7115"/>
          <cell r="D7115"/>
          <cell r="E7115"/>
          <cell r="F7115"/>
          <cell r="G7115"/>
          <cell r="H7115"/>
          <cell r="I7115"/>
          <cell r="J7115"/>
          <cell r="L7115"/>
        </row>
        <row r="7116">
          <cell r="A7116"/>
          <cell r="D7116"/>
          <cell r="E7116"/>
          <cell r="F7116"/>
          <cell r="G7116"/>
          <cell r="H7116"/>
          <cell r="I7116"/>
          <cell r="J7116"/>
          <cell r="L7116"/>
        </row>
        <row r="7117">
          <cell r="A7117"/>
          <cell r="D7117"/>
          <cell r="E7117"/>
          <cell r="F7117"/>
          <cell r="G7117"/>
          <cell r="H7117"/>
          <cell r="I7117"/>
          <cell r="J7117"/>
          <cell r="L7117"/>
        </row>
        <row r="7118">
          <cell r="A7118"/>
          <cell r="D7118"/>
          <cell r="E7118"/>
          <cell r="F7118"/>
          <cell r="G7118"/>
          <cell r="H7118"/>
          <cell r="I7118"/>
          <cell r="J7118"/>
          <cell r="L7118"/>
        </row>
        <row r="7119">
          <cell r="A7119"/>
          <cell r="D7119"/>
          <cell r="E7119"/>
          <cell r="F7119"/>
          <cell r="G7119"/>
          <cell r="H7119"/>
          <cell r="I7119"/>
          <cell r="J7119"/>
          <cell r="L7119"/>
        </row>
        <row r="7120">
          <cell r="A7120"/>
          <cell r="D7120"/>
          <cell r="E7120"/>
          <cell r="F7120"/>
          <cell r="G7120"/>
          <cell r="H7120"/>
          <cell r="I7120"/>
          <cell r="J7120"/>
          <cell r="L7120"/>
        </row>
        <row r="7121">
          <cell r="A7121"/>
          <cell r="D7121"/>
          <cell r="E7121"/>
          <cell r="F7121"/>
          <cell r="G7121"/>
          <cell r="H7121"/>
          <cell r="I7121"/>
          <cell r="J7121"/>
          <cell r="L7121"/>
        </row>
        <row r="7122">
          <cell r="A7122"/>
          <cell r="D7122"/>
          <cell r="E7122"/>
          <cell r="F7122"/>
          <cell r="G7122"/>
          <cell r="H7122"/>
          <cell r="I7122"/>
          <cell r="J7122"/>
          <cell r="L7122"/>
        </row>
        <row r="7123">
          <cell r="A7123"/>
          <cell r="D7123"/>
          <cell r="E7123"/>
          <cell r="F7123"/>
          <cell r="G7123"/>
          <cell r="H7123"/>
          <cell r="I7123"/>
          <cell r="J7123"/>
          <cell r="L7123"/>
        </row>
        <row r="7124">
          <cell r="A7124"/>
          <cell r="D7124"/>
          <cell r="E7124"/>
          <cell r="F7124"/>
          <cell r="G7124"/>
          <cell r="H7124"/>
          <cell r="I7124"/>
          <cell r="J7124"/>
          <cell r="L7124"/>
        </row>
        <row r="7125">
          <cell r="A7125"/>
          <cell r="D7125"/>
          <cell r="E7125"/>
          <cell r="F7125"/>
          <cell r="G7125"/>
          <cell r="H7125"/>
          <cell r="I7125"/>
          <cell r="J7125"/>
          <cell r="L7125"/>
        </row>
        <row r="7126">
          <cell r="A7126"/>
          <cell r="D7126"/>
          <cell r="E7126"/>
          <cell r="F7126"/>
          <cell r="G7126"/>
          <cell r="H7126"/>
          <cell r="I7126"/>
          <cell r="J7126"/>
          <cell r="L7126"/>
        </row>
        <row r="7127">
          <cell r="A7127"/>
          <cell r="D7127"/>
          <cell r="E7127"/>
          <cell r="F7127"/>
          <cell r="G7127"/>
          <cell r="H7127"/>
          <cell r="I7127"/>
          <cell r="J7127"/>
          <cell r="L7127"/>
        </row>
        <row r="7128">
          <cell r="A7128"/>
          <cell r="D7128"/>
          <cell r="E7128"/>
          <cell r="F7128"/>
          <cell r="G7128"/>
          <cell r="H7128"/>
          <cell r="I7128"/>
          <cell r="J7128"/>
          <cell r="L7128"/>
        </row>
        <row r="7129">
          <cell r="A7129"/>
          <cell r="D7129"/>
          <cell r="E7129"/>
          <cell r="F7129"/>
          <cell r="G7129"/>
          <cell r="H7129"/>
          <cell r="I7129"/>
          <cell r="J7129"/>
          <cell r="L7129"/>
        </row>
        <row r="7130">
          <cell r="A7130"/>
          <cell r="D7130"/>
          <cell r="E7130"/>
          <cell r="F7130"/>
          <cell r="G7130"/>
          <cell r="H7130"/>
          <cell r="I7130"/>
          <cell r="J7130"/>
          <cell r="L7130"/>
        </row>
        <row r="7131">
          <cell r="A7131"/>
          <cell r="D7131"/>
          <cell r="E7131"/>
          <cell r="F7131"/>
          <cell r="G7131"/>
          <cell r="H7131"/>
          <cell r="I7131"/>
          <cell r="J7131"/>
          <cell r="L7131"/>
        </row>
        <row r="7132">
          <cell r="A7132"/>
          <cell r="D7132"/>
          <cell r="E7132"/>
          <cell r="F7132"/>
          <cell r="G7132"/>
          <cell r="H7132"/>
          <cell r="I7132"/>
          <cell r="J7132"/>
          <cell r="L7132"/>
        </row>
        <row r="7133">
          <cell r="A7133"/>
          <cell r="D7133"/>
          <cell r="E7133"/>
          <cell r="F7133"/>
          <cell r="G7133"/>
          <cell r="H7133"/>
          <cell r="I7133"/>
          <cell r="J7133"/>
          <cell r="L7133"/>
        </row>
        <row r="7134">
          <cell r="A7134"/>
          <cell r="D7134"/>
          <cell r="E7134"/>
          <cell r="F7134"/>
          <cell r="G7134"/>
          <cell r="H7134"/>
          <cell r="I7134"/>
          <cell r="J7134"/>
          <cell r="L7134"/>
        </row>
        <row r="7135">
          <cell r="A7135"/>
          <cell r="D7135"/>
          <cell r="E7135"/>
          <cell r="F7135"/>
          <cell r="G7135"/>
          <cell r="H7135"/>
          <cell r="I7135"/>
          <cell r="J7135"/>
          <cell r="L7135"/>
        </row>
        <row r="7136">
          <cell r="A7136"/>
          <cell r="D7136"/>
          <cell r="E7136"/>
          <cell r="F7136"/>
          <cell r="G7136"/>
          <cell r="H7136"/>
          <cell r="I7136"/>
          <cell r="J7136"/>
          <cell r="L7136"/>
        </row>
        <row r="7137">
          <cell r="A7137"/>
          <cell r="D7137"/>
          <cell r="E7137"/>
          <cell r="F7137"/>
          <cell r="G7137"/>
          <cell r="H7137"/>
          <cell r="I7137"/>
          <cell r="J7137"/>
          <cell r="L7137"/>
        </row>
        <row r="7138">
          <cell r="A7138"/>
          <cell r="D7138"/>
          <cell r="E7138"/>
          <cell r="F7138"/>
          <cell r="G7138"/>
          <cell r="H7138"/>
          <cell r="I7138"/>
          <cell r="J7138"/>
          <cell r="L7138"/>
        </row>
        <row r="7139">
          <cell r="A7139"/>
          <cell r="D7139"/>
          <cell r="E7139"/>
          <cell r="F7139"/>
          <cell r="G7139"/>
          <cell r="H7139"/>
          <cell r="I7139"/>
          <cell r="J7139"/>
          <cell r="L7139"/>
        </row>
        <row r="7140">
          <cell r="A7140"/>
          <cell r="D7140"/>
          <cell r="E7140"/>
          <cell r="F7140"/>
          <cell r="G7140"/>
          <cell r="H7140"/>
          <cell r="I7140"/>
          <cell r="J7140"/>
          <cell r="L7140"/>
        </row>
        <row r="7141">
          <cell r="A7141"/>
          <cell r="D7141"/>
          <cell r="E7141"/>
          <cell r="F7141"/>
          <cell r="G7141"/>
          <cell r="H7141"/>
          <cell r="I7141"/>
          <cell r="J7141"/>
          <cell r="L7141"/>
        </row>
        <row r="7142">
          <cell r="A7142"/>
          <cell r="D7142"/>
          <cell r="E7142"/>
          <cell r="F7142"/>
          <cell r="G7142"/>
          <cell r="H7142"/>
          <cell r="I7142"/>
          <cell r="J7142"/>
          <cell r="L7142"/>
        </row>
        <row r="7143">
          <cell r="A7143"/>
          <cell r="D7143"/>
          <cell r="E7143"/>
          <cell r="F7143"/>
          <cell r="G7143"/>
          <cell r="H7143"/>
          <cell r="I7143"/>
          <cell r="J7143"/>
          <cell r="L7143"/>
        </row>
        <row r="7144">
          <cell r="A7144"/>
          <cell r="D7144"/>
          <cell r="E7144"/>
          <cell r="F7144"/>
          <cell r="G7144"/>
          <cell r="H7144"/>
          <cell r="I7144"/>
          <cell r="J7144"/>
          <cell r="L7144"/>
        </row>
        <row r="7145">
          <cell r="A7145"/>
          <cell r="D7145"/>
          <cell r="E7145"/>
          <cell r="F7145"/>
          <cell r="G7145"/>
          <cell r="H7145"/>
          <cell r="I7145"/>
          <cell r="J7145"/>
          <cell r="L7145"/>
        </row>
        <row r="7146">
          <cell r="A7146"/>
          <cell r="D7146"/>
          <cell r="E7146"/>
          <cell r="F7146"/>
          <cell r="G7146"/>
          <cell r="H7146"/>
          <cell r="I7146"/>
          <cell r="J7146"/>
          <cell r="L7146"/>
        </row>
        <row r="7147">
          <cell r="A7147"/>
          <cell r="D7147"/>
          <cell r="E7147"/>
          <cell r="F7147"/>
          <cell r="G7147"/>
          <cell r="H7147"/>
          <cell r="I7147"/>
          <cell r="J7147"/>
          <cell r="L7147"/>
        </row>
        <row r="7148">
          <cell r="A7148"/>
          <cell r="D7148"/>
          <cell r="E7148"/>
          <cell r="F7148"/>
          <cell r="G7148"/>
          <cell r="H7148"/>
          <cell r="I7148"/>
          <cell r="J7148"/>
          <cell r="L7148"/>
        </row>
        <row r="7149">
          <cell r="A7149"/>
          <cell r="D7149"/>
          <cell r="E7149"/>
          <cell r="F7149"/>
          <cell r="G7149"/>
          <cell r="H7149"/>
          <cell r="I7149"/>
          <cell r="J7149"/>
          <cell r="L7149"/>
        </row>
        <row r="7150">
          <cell r="A7150"/>
          <cell r="D7150"/>
          <cell r="E7150"/>
          <cell r="F7150"/>
          <cell r="G7150"/>
          <cell r="H7150"/>
          <cell r="I7150"/>
          <cell r="J7150"/>
          <cell r="L7150"/>
        </row>
        <row r="7151">
          <cell r="A7151"/>
          <cell r="D7151"/>
          <cell r="E7151"/>
          <cell r="F7151"/>
          <cell r="G7151"/>
          <cell r="H7151"/>
          <cell r="I7151"/>
          <cell r="J7151"/>
          <cell r="L7151"/>
        </row>
        <row r="7152">
          <cell r="A7152"/>
          <cell r="D7152"/>
          <cell r="E7152"/>
          <cell r="F7152"/>
          <cell r="G7152"/>
          <cell r="H7152"/>
          <cell r="I7152"/>
          <cell r="J7152"/>
          <cell r="L7152"/>
        </row>
        <row r="7153">
          <cell r="A7153"/>
          <cell r="D7153"/>
          <cell r="E7153"/>
          <cell r="F7153"/>
          <cell r="G7153"/>
          <cell r="H7153"/>
          <cell r="I7153"/>
          <cell r="J7153"/>
          <cell r="L7153"/>
        </row>
        <row r="7154">
          <cell r="A7154"/>
          <cell r="D7154"/>
          <cell r="E7154"/>
          <cell r="F7154"/>
          <cell r="G7154"/>
          <cell r="H7154"/>
          <cell r="I7154"/>
          <cell r="J7154"/>
          <cell r="L7154"/>
        </row>
        <row r="7155">
          <cell r="A7155"/>
          <cell r="D7155"/>
          <cell r="E7155"/>
          <cell r="F7155"/>
          <cell r="G7155"/>
          <cell r="H7155"/>
          <cell r="I7155"/>
          <cell r="J7155"/>
          <cell r="L7155"/>
        </row>
        <row r="7156">
          <cell r="A7156"/>
          <cell r="D7156"/>
          <cell r="E7156"/>
          <cell r="F7156"/>
          <cell r="G7156"/>
          <cell r="H7156"/>
          <cell r="I7156"/>
          <cell r="J7156"/>
          <cell r="L7156"/>
        </row>
        <row r="7157">
          <cell r="A7157"/>
          <cell r="D7157"/>
          <cell r="E7157"/>
          <cell r="F7157"/>
          <cell r="G7157"/>
          <cell r="H7157"/>
          <cell r="I7157"/>
          <cell r="J7157"/>
          <cell r="L7157"/>
        </row>
        <row r="7158">
          <cell r="A7158"/>
          <cell r="D7158"/>
          <cell r="E7158"/>
          <cell r="F7158"/>
          <cell r="G7158"/>
          <cell r="H7158"/>
          <cell r="I7158"/>
          <cell r="J7158"/>
          <cell r="L7158"/>
        </row>
        <row r="7159">
          <cell r="A7159"/>
          <cell r="D7159"/>
          <cell r="E7159"/>
          <cell r="F7159"/>
          <cell r="G7159"/>
          <cell r="H7159"/>
          <cell r="I7159"/>
          <cell r="J7159"/>
          <cell r="L7159"/>
        </row>
        <row r="7160">
          <cell r="A7160"/>
          <cell r="D7160"/>
          <cell r="E7160"/>
          <cell r="F7160"/>
          <cell r="G7160"/>
          <cell r="H7160"/>
          <cell r="I7160"/>
          <cell r="J7160"/>
          <cell r="L7160"/>
        </row>
        <row r="7161">
          <cell r="A7161"/>
          <cell r="D7161"/>
          <cell r="E7161"/>
          <cell r="F7161"/>
          <cell r="G7161"/>
          <cell r="H7161"/>
          <cell r="I7161"/>
          <cell r="J7161"/>
          <cell r="L7161"/>
        </row>
        <row r="7162">
          <cell r="A7162"/>
          <cell r="D7162"/>
          <cell r="E7162"/>
          <cell r="F7162"/>
          <cell r="G7162"/>
          <cell r="H7162"/>
          <cell r="I7162"/>
          <cell r="J7162"/>
          <cell r="L7162"/>
        </row>
        <row r="7163">
          <cell r="A7163"/>
          <cell r="D7163"/>
          <cell r="E7163"/>
          <cell r="F7163"/>
          <cell r="G7163"/>
          <cell r="H7163"/>
          <cell r="I7163"/>
          <cell r="J7163"/>
          <cell r="L7163"/>
        </row>
        <row r="7164">
          <cell r="A7164"/>
          <cell r="D7164"/>
          <cell r="E7164"/>
          <cell r="F7164"/>
          <cell r="G7164"/>
          <cell r="H7164"/>
          <cell r="I7164"/>
          <cell r="J7164"/>
          <cell r="L7164"/>
        </row>
        <row r="7165">
          <cell r="A7165"/>
          <cell r="D7165"/>
          <cell r="E7165"/>
          <cell r="F7165"/>
          <cell r="G7165"/>
          <cell r="H7165"/>
          <cell r="I7165"/>
          <cell r="J7165"/>
          <cell r="L7165"/>
        </row>
        <row r="7166">
          <cell r="A7166"/>
          <cell r="D7166"/>
          <cell r="E7166"/>
          <cell r="F7166"/>
          <cell r="G7166"/>
          <cell r="H7166"/>
          <cell r="I7166"/>
          <cell r="J7166"/>
          <cell r="L7166"/>
        </row>
        <row r="7167">
          <cell r="A7167"/>
          <cell r="D7167"/>
          <cell r="E7167"/>
          <cell r="F7167"/>
          <cell r="G7167"/>
          <cell r="H7167"/>
          <cell r="I7167"/>
          <cell r="J7167"/>
          <cell r="L7167"/>
        </row>
        <row r="7168">
          <cell r="A7168"/>
          <cell r="D7168"/>
          <cell r="E7168"/>
          <cell r="F7168"/>
          <cell r="G7168"/>
          <cell r="H7168"/>
          <cell r="I7168"/>
          <cell r="J7168"/>
          <cell r="L7168"/>
        </row>
        <row r="7169">
          <cell r="A7169"/>
          <cell r="D7169"/>
          <cell r="E7169"/>
          <cell r="F7169"/>
          <cell r="G7169"/>
          <cell r="H7169"/>
          <cell r="I7169"/>
          <cell r="J7169"/>
          <cell r="L7169"/>
        </row>
        <row r="7170">
          <cell r="A7170"/>
          <cell r="D7170"/>
          <cell r="E7170"/>
          <cell r="F7170"/>
          <cell r="G7170"/>
          <cell r="H7170"/>
          <cell r="I7170"/>
          <cell r="J7170"/>
          <cell r="L7170"/>
        </row>
        <row r="7171">
          <cell r="A7171"/>
          <cell r="D7171"/>
          <cell r="E7171"/>
          <cell r="F7171"/>
          <cell r="G7171"/>
          <cell r="H7171"/>
          <cell r="I7171"/>
          <cell r="J7171"/>
          <cell r="L7171"/>
        </row>
        <row r="7172">
          <cell r="A7172"/>
          <cell r="D7172"/>
          <cell r="E7172"/>
          <cell r="F7172"/>
          <cell r="G7172"/>
          <cell r="H7172"/>
          <cell r="I7172"/>
          <cell r="J7172"/>
          <cell r="L7172"/>
        </row>
        <row r="7173">
          <cell r="A7173"/>
          <cell r="D7173"/>
          <cell r="E7173"/>
          <cell r="F7173"/>
          <cell r="G7173"/>
          <cell r="H7173"/>
          <cell r="I7173"/>
          <cell r="J7173"/>
          <cell r="L7173"/>
        </row>
        <row r="7174">
          <cell r="A7174"/>
          <cell r="D7174"/>
          <cell r="E7174"/>
          <cell r="F7174"/>
          <cell r="G7174"/>
          <cell r="H7174"/>
          <cell r="I7174"/>
          <cell r="J7174"/>
          <cell r="L7174"/>
        </row>
        <row r="7175">
          <cell r="A7175"/>
          <cell r="D7175"/>
          <cell r="E7175"/>
          <cell r="F7175"/>
          <cell r="G7175"/>
          <cell r="H7175"/>
          <cell r="I7175"/>
          <cell r="J7175"/>
          <cell r="L7175"/>
        </row>
        <row r="7176">
          <cell r="A7176"/>
          <cell r="D7176"/>
          <cell r="E7176"/>
          <cell r="F7176"/>
          <cell r="G7176"/>
          <cell r="H7176"/>
          <cell r="I7176"/>
          <cell r="J7176"/>
          <cell r="L7176"/>
        </row>
        <row r="7177">
          <cell r="A7177"/>
          <cell r="D7177"/>
          <cell r="E7177"/>
          <cell r="F7177"/>
          <cell r="G7177"/>
          <cell r="H7177"/>
          <cell r="I7177"/>
          <cell r="J7177"/>
          <cell r="L7177"/>
        </row>
        <row r="7178">
          <cell r="A7178"/>
          <cell r="D7178"/>
          <cell r="E7178"/>
          <cell r="F7178"/>
          <cell r="G7178"/>
          <cell r="H7178"/>
          <cell r="I7178"/>
          <cell r="J7178"/>
          <cell r="L7178"/>
        </row>
        <row r="7179">
          <cell r="A7179"/>
          <cell r="D7179"/>
          <cell r="E7179"/>
          <cell r="F7179"/>
          <cell r="G7179"/>
          <cell r="H7179"/>
          <cell r="I7179"/>
          <cell r="J7179"/>
          <cell r="L7179"/>
        </row>
        <row r="7180">
          <cell r="A7180"/>
          <cell r="D7180"/>
          <cell r="E7180"/>
          <cell r="F7180"/>
          <cell r="G7180"/>
          <cell r="H7180"/>
          <cell r="I7180"/>
          <cell r="J7180"/>
          <cell r="L7180"/>
        </row>
        <row r="7181">
          <cell r="A7181"/>
          <cell r="D7181"/>
          <cell r="E7181"/>
          <cell r="F7181"/>
          <cell r="G7181"/>
          <cell r="H7181"/>
          <cell r="I7181"/>
          <cell r="J7181"/>
          <cell r="L7181"/>
        </row>
        <row r="7182">
          <cell r="A7182"/>
          <cell r="D7182"/>
          <cell r="E7182"/>
          <cell r="F7182"/>
          <cell r="G7182"/>
          <cell r="H7182"/>
          <cell r="I7182"/>
          <cell r="J7182"/>
          <cell r="L7182"/>
        </row>
        <row r="7183">
          <cell r="A7183"/>
          <cell r="D7183"/>
          <cell r="E7183"/>
          <cell r="F7183"/>
          <cell r="G7183"/>
          <cell r="H7183"/>
          <cell r="I7183"/>
          <cell r="J7183"/>
          <cell r="L7183"/>
        </row>
        <row r="7184">
          <cell r="A7184"/>
          <cell r="D7184"/>
          <cell r="E7184"/>
          <cell r="F7184"/>
          <cell r="G7184"/>
          <cell r="H7184"/>
          <cell r="I7184"/>
          <cell r="J7184"/>
          <cell r="L7184"/>
        </row>
        <row r="7185">
          <cell r="A7185"/>
          <cell r="D7185"/>
          <cell r="E7185"/>
          <cell r="F7185"/>
          <cell r="G7185"/>
          <cell r="H7185"/>
          <cell r="I7185"/>
          <cell r="J7185"/>
          <cell r="L7185"/>
        </row>
        <row r="7186">
          <cell r="A7186"/>
          <cell r="D7186"/>
          <cell r="E7186"/>
          <cell r="F7186"/>
          <cell r="G7186"/>
          <cell r="H7186"/>
          <cell r="I7186"/>
          <cell r="J7186"/>
          <cell r="L7186"/>
        </row>
        <row r="7187">
          <cell r="A7187"/>
          <cell r="D7187"/>
          <cell r="E7187"/>
          <cell r="F7187"/>
          <cell r="G7187"/>
          <cell r="H7187"/>
          <cell r="I7187"/>
          <cell r="J7187"/>
          <cell r="L7187"/>
        </row>
        <row r="7188">
          <cell r="A7188"/>
          <cell r="D7188"/>
          <cell r="E7188"/>
          <cell r="F7188"/>
          <cell r="G7188"/>
          <cell r="H7188"/>
          <cell r="I7188"/>
          <cell r="J7188"/>
          <cell r="L7188"/>
        </row>
        <row r="7189">
          <cell r="A7189"/>
          <cell r="D7189"/>
          <cell r="E7189"/>
          <cell r="F7189"/>
          <cell r="G7189"/>
          <cell r="H7189"/>
          <cell r="I7189"/>
          <cell r="J7189"/>
          <cell r="L7189"/>
        </row>
        <row r="7190">
          <cell r="A7190"/>
          <cell r="D7190"/>
          <cell r="E7190"/>
          <cell r="F7190"/>
          <cell r="G7190"/>
          <cell r="H7190"/>
          <cell r="I7190"/>
          <cell r="J7190"/>
          <cell r="L7190"/>
        </row>
        <row r="7191">
          <cell r="A7191"/>
          <cell r="D7191"/>
          <cell r="E7191"/>
          <cell r="F7191"/>
          <cell r="G7191"/>
          <cell r="H7191"/>
          <cell r="I7191"/>
          <cell r="J7191"/>
          <cell r="L7191"/>
        </row>
        <row r="7192">
          <cell r="A7192"/>
          <cell r="D7192"/>
          <cell r="E7192"/>
          <cell r="F7192"/>
          <cell r="G7192"/>
          <cell r="H7192"/>
          <cell r="I7192"/>
          <cell r="J7192"/>
          <cell r="L7192"/>
        </row>
        <row r="7193">
          <cell r="A7193"/>
          <cell r="D7193"/>
          <cell r="E7193"/>
          <cell r="F7193"/>
          <cell r="G7193"/>
          <cell r="H7193"/>
          <cell r="I7193"/>
          <cell r="J7193"/>
          <cell r="L7193"/>
        </row>
        <row r="7194">
          <cell r="A7194"/>
          <cell r="D7194"/>
          <cell r="E7194"/>
          <cell r="F7194"/>
          <cell r="G7194"/>
          <cell r="H7194"/>
          <cell r="I7194"/>
          <cell r="J7194"/>
          <cell r="L7194"/>
        </row>
        <row r="7195">
          <cell r="A7195"/>
          <cell r="D7195"/>
          <cell r="E7195"/>
          <cell r="F7195"/>
          <cell r="G7195"/>
          <cell r="H7195"/>
          <cell r="I7195"/>
          <cell r="J7195"/>
          <cell r="L7195"/>
        </row>
        <row r="7196">
          <cell r="A7196"/>
          <cell r="D7196"/>
          <cell r="E7196"/>
          <cell r="F7196"/>
          <cell r="G7196"/>
          <cell r="H7196"/>
          <cell r="I7196"/>
          <cell r="J7196"/>
          <cell r="L7196"/>
        </row>
        <row r="7197">
          <cell r="A7197"/>
          <cell r="D7197"/>
          <cell r="E7197"/>
          <cell r="F7197"/>
          <cell r="G7197"/>
          <cell r="H7197"/>
          <cell r="I7197"/>
          <cell r="J7197"/>
          <cell r="L7197"/>
        </row>
        <row r="7198">
          <cell r="A7198"/>
          <cell r="D7198"/>
          <cell r="E7198"/>
          <cell r="F7198"/>
          <cell r="G7198"/>
          <cell r="H7198"/>
          <cell r="I7198"/>
          <cell r="J7198"/>
          <cell r="L7198"/>
        </row>
        <row r="7199">
          <cell r="A7199"/>
          <cell r="D7199"/>
          <cell r="E7199"/>
          <cell r="F7199"/>
          <cell r="G7199"/>
          <cell r="H7199"/>
          <cell r="I7199"/>
          <cell r="J7199"/>
          <cell r="L7199"/>
        </row>
        <row r="7200">
          <cell r="A7200"/>
          <cell r="D7200"/>
          <cell r="E7200"/>
          <cell r="F7200"/>
          <cell r="G7200"/>
          <cell r="H7200"/>
          <cell r="I7200"/>
          <cell r="J7200"/>
          <cell r="L7200"/>
        </row>
        <row r="7201">
          <cell r="A7201"/>
          <cell r="D7201"/>
          <cell r="E7201"/>
          <cell r="F7201"/>
          <cell r="G7201"/>
          <cell r="H7201"/>
          <cell r="I7201"/>
          <cell r="J7201"/>
          <cell r="L7201"/>
        </row>
        <row r="7202">
          <cell r="A7202"/>
          <cell r="D7202"/>
          <cell r="E7202"/>
          <cell r="F7202"/>
          <cell r="G7202"/>
          <cell r="H7202"/>
          <cell r="I7202"/>
          <cell r="J7202"/>
          <cell r="L7202"/>
        </row>
        <row r="7203">
          <cell r="A7203"/>
          <cell r="D7203"/>
          <cell r="E7203"/>
          <cell r="F7203"/>
          <cell r="G7203"/>
          <cell r="H7203"/>
          <cell r="I7203"/>
          <cell r="J7203"/>
          <cell r="L7203"/>
        </row>
        <row r="7204">
          <cell r="A7204"/>
          <cell r="D7204"/>
          <cell r="E7204"/>
          <cell r="F7204"/>
          <cell r="G7204"/>
          <cell r="H7204"/>
          <cell r="I7204"/>
          <cell r="J7204"/>
          <cell r="L7204"/>
        </row>
        <row r="7205">
          <cell r="A7205"/>
          <cell r="D7205"/>
          <cell r="E7205"/>
          <cell r="F7205"/>
          <cell r="G7205"/>
          <cell r="H7205"/>
          <cell r="I7205"/>
          <cell r="J7205"/>
          <cell r="L7205"/>
        </row>
        <row r="7206">
          <cell r="A7206"/>
          <cell r="D7206"/>
          <cell r="E7206"/>
          <cell r="F7206"/>
          <cell r="G7206"/>
          <cell r="H7206"/>
          <cell r="I7206"/>
          <cell r="J7206"/>
          <cell r="L7206"/>
        </row>
        <row r="7207">
          <cell r="A7207"/>
          <cell r="D7207"/>
          <cell r="E7207"/>
          <cell r="F7207"/>
          <cell r="G7207"/>
          <cell r="H7207"/>
          <cell r="I7207"/>
          <cell r="J7207"/>
          <cell r="L7207"/>
        </row>
        <row r="7208">
          <cell r="A7208"/>
          <cell r="D7208"/>
          <cell r="E7208"/>
          <cell r="F7208"/>
          <cell r="G7208"/>
          <cell r="H7208"/>
          <cell r="I7208"/>
          <cell r="J7208"/>
          <cell r="L7208"/>
        </row>
        <row r="7209">
          <cell r="A7209"/>
          <cell r="D7209"/>
          <cell r="E7209"/>
          <cell r="F7209"/>
          <cell r="G7209"/>
          <cell r="H7209"/>
          <cell r="I7209"/>
          <cell r="J7209"/>
          <cell r="L7209"/>
        </row>
        <row r="7210">
          <cell r="A7210"/>
          <cell r="D7210"/>
          <cell r="E7210"/>
          <cell r="F7210"/>
          <cell r="G7210"/>
          <cell r="H7210"/>
          <cell r="I7210"/>
          <cell r="J7210"/>
          <cell r="L7210"/>
        </row>
        <row r="7211">
          <cell r="A7211"/>
          <cell r="D7211"/>
          <cell r="E7211"/>
          <cell r="F7211"/>
          <cell r="G7211"/>
          <cell r="H7211"/>
          <cell r="I7211"/>
          <cell r="J7211"/>
          <cell r="L7211"/>
        </row>
        <row r="7212">
          <cell r="A7212"/>
          <cell r="D7212"/>
          <cell r="E7212"/>
          <cell r="F7212"/>
          <cell r="G7212"/>
          <cell r="H7212"/>
          <cell r="I7212"/>
          <cell r="J7212"/>
          <cell r="L7212"/>
        </row>
        <row r="7213">
          <cell r="A7213"/>
          <cell r="D7213"/>
          <cell r="E7213"/>
          <cell r="F7213"/>
          <cell r="G7213"/>
          <cell r="H7213"/>
          <cell r="I7213"/>
          <cell r="J7213"/>
          <cell r="L7213"/>
        </row>
        <row r="7214">
          <cell r="A7214"/>
          <cell r="D7214"/>
          <cell r="E7214"/>
          <cell r="F7214"/>
          <cell r="G7214"/>
          <cell r="H7214"/>
          <cell r="I7214"/>
          <cell r="J7214"/>
          <cell r="L7214"/>
        </row>
        <row r="7215">
          <cell r="A7215"/>
          <cell r="D7215"/>
          <cell r="E7215"/>
          <cell r="F7215"/>
          <cell r="G7215"/>
          <cell r="H7215"/>
          <cell r="I7215"/>
          <cell r="J7215"/>
          <cell r="L7215"/>
        </row>
        <row r="7216">
          <cell r="A7216"/>
          <cell r="D7216"/>
          <cell r="E7216"/>
          <cell r="F7216"/>
          <cell r="G7216"/>
          <cell r="H7216"/>
          <cell r="I7216"/>
          <cell r="J7216"/>
          <cell r="L7216"/>
        </row>
        <row r="7217">
          <cell r="A7217"/>
          <cell r="D7217"/>
          <cell r="E7217"/>
          <cell r="F7217"/>
          <cell r="G7217"/>
          <cell r="H7217"/>
          <cell r="I7217"/>
          <cell r="J7217"/>
          <cell r="L7217"/>
        </row>
        <row r="7218">
          <cell r="A7218"/>
          <cell r="D7218"/>
          <cell r="E7218"/>
          <cell r="F7218"/>
          <cell r="G7218"/>
          <cell r="H7218"/>
          <cell r="I7218"/>
          <cell r="J7218"/>
          <cell r="L7218"/>
        </row>
        <row r="7219">
          <cell r="A7219"/>
          <cell r="D7219"/>
          <cell r="E7219"/>
          <cell r="F7219"/>
          <cell r="G7219"/>
          <cell r="H7219"/>
          <cell r="I7219"/>
          <cell r="J7219"/>
          <cell r="L7219"/>
        </row>
        <row r="7220">
          <cell r="A7220"/>
          <cell r="D7220"/>
          <cell r="E7220"/>
          <cell r="F7220"/>
          <cell r="G7220"/>
          <cell r="H7220"/>
          <cell r="I7220"/>
          <cell r="J7220"/>
          <cell r="L7220"/>
        </row>
        <row r="7221">
          <cell r="A7221"/>
          <cell r="D7221"/>
          <cell r="E7221"/>
          <cell r="F7221"/>
          <cell r="G7221"/>
          <cell r="H7221"/>
          <cell r="I7221"/>
          <cell r="J7221"/>
          <cell r="L7221"/>
        </row>
        <row r="7222">
          <cell r="A7222"/>
          <cell r="D7222"/>
          <cell r="E7222"/>
          <cell r="F7222"/>
          <cell r="G7222"/>
          <cell r="H7222"/>
          <cell r="I7222"/>
          <cell r="J7222"/>
          <cell r="L7222"/>
        </row>
        <row r="7223">
          <cell r="A7223"/>
          <cell r="D7223"/>
          <cell r="E7223"/>
          <cell r="F7223"/>
          <cell r="G7223"/>
          <cell r="H7223"/>
          <cell r="I7223"/>
          <cell r="J7223"/>
          <cell r="L7223"/>
        </row>
        <row r="7224">
          <cell r="A7224"/>
          <cell r="D7224"/>
          <cell r="E7224"/>
          <cell r="F7224"/>
          <cell r="G7224"/>
          <cell r="H7224"/>
          <cell r="I7224"/>
          <cell r="J7224"/>
          <cell r="L7224"/>
        </row>
        <row r="7225">
          <cell r="A7225"/>
          <cell r="D7225"/>
          <cell r="E7225"/>
          <cell r="F7225"/>
          <cell r="G7225"/>
          <cell r="H7225"/>
          <cell r="I7225"/>
          <cell r="J7225"/>
          <cell r="L7225"/>
        </row>
        <row r="7226">
          <cell r="A7226"/>
          <cell r="D7226"/>
          <cell r="E7226"/>
          <cell r="F7226"/>
          <cell r="G7226"/>
          <cell r="H7226"/>
          <cell r="I7226"/>
          <cell r="J7226"/>
          <cell r="L7226"/>
        </row>
        <row r="7227">
          <cell r="A7227"/>
          <cell r="D7227"/>
          <cell r="E7227"/>
          <cell r="F7227"/>
          <cell r="G7227"/>
          <cell r="H7227"/>
          <cell r="I7227"/>
          <cell r="J7227"/>
          <cell r="L7227"/>
        </row>
        <row r="7228">
          <cell r="A7228"/>
          <cell r="D7228"/>
          <cell r="E7228"/>
          <cell r="F7228"/>
          <cell r="G7228"/>
          <cell r="H7228"/>
          <cell r="I7228"/>
          <cell r="J7228"/>
          <cell r="L7228"/>
        </row>
        <row r="7229">
          <cell r="A7229"/>
          <cell r="D7229"/>
          <cell r="E7229"/>
          <cell r="F7229"/>
          <cell r="G7229"/>
          <cell r="H7229"/>
          <cell r="I7229"/>
          <cell r="J7229"/>
          <cell r="L7229"/>
        </row>
        <row r="7230">
          <cell r="A7230"/>
          <cell r="D7230"/>
          <cell r="E7230"/>
          <cell r="F7230"/>
          <cell r="G7230"/>
          <cell r="H7230"/>
          <cell r="I7230"/>
          <cell r="J7230"/>
          <cell r="L7230"/>
        </row>
        <row r="7231">
          <cell r="A7231"/>
          <cell r="D7231"/>
          <cell r="E7231"/>
          <cell r="F7231"/>
          <cell r="G7231"/>
          <cell r="H7231"/>
          <cell r="I7231"/>
          <cell r="J7231"/>
          <cell r="L7231"/>
        </row>
        <row r="7232">
          <cell r="A7232"/>
          <cell r="D7232"/>
          <cell r="E7232"/>
          <cell r="F7232"/>
          <cell r="G7232"/>
          <cell r="H7232"/>
          <cell r="I7232"/>
          <cell r="J7232"/>
          <cell r="L7232"/>
        </row>
        <row r="7233">
          <cell r="A7233"/>
          <cell r="D7233"/>
          <cell r="E7233"/>
          <cell r="F7233"/>
          <cell r="G7233"/>
          <cell r="H7233"/>
          <cell r="I7233"/>
          <cell r="J7233"/>
          <cell r="L7233"/>
        </row>
        <row r="7234">
          <cell r="A7234"/>
          <cell r="D7234"/>
          <cell r="E7234"/>
          <cell r="F7234"/>
          <cell r="G7234"/>
          <cell r="H7234"/>
          <cell r="I7234"/>
          <cell r="J7234"/>
          <cell r="L7234"/>
        </row>
        <row r="7235">
          <cell r="A7235"/>
          <cell r="D7235"/>
          <cell r="E7235"/>
          <cell r="F7235"/>
          <cell r="G7235"/>
          <cell r="H7235"/>
          <cell r="I7235"/>
          <cell r="J7235"/>
          <cell r="L7235"/>
        </row>
        <row r="7236">
          <cell r="A7236"/>
          <cell r="D7236"/>
          <cell r="E7236"/>
          <cell r="F7236"/>
          <cell r="G7236"/>
          <cell r="H7236"/>
          <cell r="I7236"/>
          <cell r="J7236"/>
          <cell r="L7236"/>
        </row>
        <row r="7237">
          <cell r="A7237"/>
          <cell r="D7237"/>
          <cell r="E7237"/>
          <cell r="F7237"/>
          <cell r="G7237"/>
          <cell r="H7237"/>
          <cell r="I7237"/>
          <cell r="J7237"/>
          <cell r="L7237"/>
        </row>
        <row r="7238">
          <cell r="A7238"/>
          <cell r="D7238"/>
          <cell r="E7238"/>
          <cell r="F7238"/>
          <cell r="G7238"/>
          <cell r="H7238"/>
          <cell r="I7238"/>
          <cell r="J7238"/>
          <cell r="L7238"/>
        </row>
        <row r="7239">
          <cell r="A7239"/>
          <cell r="D7239"/>
          <cell r="E7239"/>
          <cell r="F7239"/>
          <cell r="G7239"/>
          <cell r="H7239"/>
          <cell r="I7239"/>
          <cell r="J7239"/>
          <cell r="L7239"/>
        </row>
        <row r="7240">
          <cell r="A7240"/>
          <cell r="D7240"/>
          <cell r="E7240"/>
          <cell r="F7240"/>
          <cell r="G7240"/>
          <cell r="H7240"/>
          <cell r="I7240"/>
          <cell r="J7240"/>
          <cell r="L7240"/>
        </row>
        <row r="7241">
          <cell r="A7241"/>
          <cell r="D7241"/>
          <cell r="E7241"/>
          <cell r="F7241"/>
          <cell r="G7241"/>
          <cell r="H7241"/>
          <cell r="I7241"/>
          <cell r="J7241"/>
          <cell r="L7241"/>
        </row>
        <row r="7242">
          <cell r="A7242"/>
          <cell r="D7242"/>
          <cell r="E7242"/>
          <cell r="F7242"/>
          <cell r="G7242"/>
          <cell r="H7242"/>
          <cell r="I7242"/>
          <cell r="J7242"/>
          <cell r="L7242"/>
        </row>
        <row r="7243">
          <cell r="A7243"/>
          <cell r="D7243"/>
          <cell r="E7243"/>
          <cell r="F7243"/>
          <cell r="G7243"/>
          <cell r="H7243"/>
          <cell r="I7243"/>
          <cell r="J7243"/>
          <cell r="L7243"/>
        </row>
        <row r="7244">
          <cell r="A7244"/>
          <cell r="D7244"/>
          <cell r="E7244"/>
          <cell r="F7244"/>
          <cell r="G7244"/>
          <cell r="H7244"/>
          <cell r="I7244"/>
          <cell r="J7244"/>
          <cell r="L7244"/>
        </row>
        <row r="7245">
          <cell r="A7245"/>
          <cell r="D7245"/>
          <cell r="E7245"/>
          <cell r="F7245"/>
          <cell r="G7245"/>
          <cell r="H7245"/>
          <cell r="I7245"/>
          <cell r="J7245"/>
          <cell r="L7245"/>
        </row>
        <row r="7246">
          <cell r="A7246"/>
          <cell r="D7246"/>
          <cell r="E7246"/>
          <cell r="F7246"/>
          <cell r="G7246"/>
          <cell r="H7246"/>
          <cell r="I7246"/>
          <cell r="J7246"/>
          <cell r="L7246"/>
        </row>
        <row r="7247">
          <cell r="A7247"/>
          <cell r="D7247"/>
          <cell r="E7247"/>
          <cell r="F7247"/>
          <cell r="G7247"/>
          <cell r="H7247"/>
          <cell r="I7247"/>
          <cell r="J7247"/>
          <cell r="L7247"/>
        </row>
        <row r="7248">
          <cell r="A7248"/>
          <cell r="D7248"/>
          <cell r="E7248"/>
          <cell r="F7248"/>
          <cell r="G7248"/>
          <cell r="H7248"/>
          <cell r="I7248"/>
          <cell r="J7248"/>
          <cell r="L7248"/>
        </row>
        <row r="7249">
          <cell r="A7249"/>
          <cell r="D7249"/>
          <cell r="E7249"/>
          <cell r="F7249"/>
          <cell r="G7249"/>
          <cell r="H7249"/>
          <cell r="I7249"/>
          <cell r="J7249"/>
          <cell r="L7249"/>
        </row>
        <row r="7250">
          <cell r="A7250"/>
          <cell r="D7250"/>
          <cell r="E7250"/>
          <cell r="F7250"/>
          <cell r="G7250"/>
          <cell r="H7250"/>
          <cell r="I7250"/>
          <cell r="J7250"/>
          <cell r="L7250"/>
        </row>
        <row r="7251">
          <cell r="A7251"/>
          <cell r="D7251"/>
          <cell r="E7251"/>
          <cell r="F7251"/>
          <cell r="G7251"/>
          <cell r="H7251"/>
          <cell r="I7251"/>
          <cell r="J7251"/>
          <cell r="L7251"/>
        </row>
        <row r="7252">
          <cell r="A7252"/>
          <cell r="D7252"/>
          <cell r="E7252"/>
          <cell r="F7252"/>
          <cell r="G7252"/>
          <cell r="H7252"/>
          <cell r="I7252"/>
          <cell r="J7252"/>
          <cell r="L7252"/>
        </row>
        <row r="7253">
          <cell r="A7253"/>
          <cell r="D7253"/>
          <cell r="E7253"/>
          <cell r="F7253"/>
          <cell r="G7253"/>
          <cell r="H7253"/>
          <cell r="I7253"/>
          <cell r="J7253"/>
          <cell r="L7253"/>
        </row>
        <row r="7254">
          <cell r="A7254"/>
          <cell r="D7254"/>
          <cell r="E7254"/>
          <cell r="F7254"/>
          <cell r="G7254"/>
          <cell r="H7254"/>
          <cell r="I7254"/>
          <cell r="J7254"/>
          <cell r="L7254"/>
        </row>
        <row r="7255">
          <cell r="A7255"/>
          <cell r="D7255"/>
          <cell r="E7255"/>
          <cell r="F7255"/>
          <cell r="G7255"/>
          <cell r="H7255"/>
          <cell r="I7255"/>
          <cell r="J7255"/>
          <cell r="L7255"/>
        </row>
        <row r="7256">
          <cell r="A7256"/>
          <cell r="D7256"/>
          <cell r="E7256"/>
          <cell r="F7256"/>
          <cell r="G7256"/>
          <cell r="H7256"/>
          <cell r="I7256"/>
          <cell r="J7256"/>
          <cell r="L7256"/>
        </row>
        <row r="7257">
          <cell r="A7257"/>
          <cell r="D7257"/>
          <cell r="E7257"/>
          <cell r="F7257"/>
          <cell r="G7257"/>
          <cell r="H7257"/>
          <cell r="I7257"/>
          <cell r="J7257"/>
          <cell r="L7257"/>
        </row>
        <row r="7258">
          <cell r="A7258"/>
          <cell r="D7258"/>
          <cell r="E7258"/>
          <cell r="F7258"/>
          <cell r="G7258"/>
          <cell r="H7258"/>
          <cell r="I7258"/>
          <cell r="J7258"/>
          <cell r="L7258"/>
        </row>
        <row r="7259">
          <cell r="A7259"/>
          <cell r="D7259"/>
          <cell r="E7259"/>
          <cell r="F7259"/>
          <cell r="G7259"/>
          <cell r="H7259"/>
          <cell r="I7259"/>
          <cell r="J7259"/>
          <cell r="L7259"/>
        </row>
        <row r="7260">
          <cell r="A7260"/>
          <cell r="D7260"/>
          <cell r="E7260"/>
          <cell r="F7260"/>
          <cell r="G7260"/>
          <cell r="H7260"/>
          <cell r="I7260"/>
          <cell r="J7260"/>
          <cell r="L7260"/>
        </row>
        <row r="7261">
          <cell r="A7261"/>
          <cell r="D7261"/>
          <cell r="E7261"/>
          <cell r="F7261"/>
          <cell r="G7261"/>
          <cell r="H7261"/>
          <cell r="I7261"/>
          <cell r="J7261"/>
          <cell r="L7261"/>
        </row>
        <row r="7262">
          <cell r="A7262"/>
          <cell r="D7262"/>
          <cell r="E7262"/>
          <cell r="F7262"/>
          <cell r="G7262"/>
          <cell r="H7262"/>
          <cell r="I7262"/>
          <cell r="J7262"/>
          <cell r="L7262"/>
        </row>
        <row r="7263">
          <cell r="A7263"/>
          <cell r="D7263"/>
          <cell r="E7263"/>
          <cell r="F7263"/>
          <cell r="G7263"/>
          <cell r="H7263"/>
          <cell r="I7263"/>
          <cell r="J7263"/>
          <cell r="L7263"/>
        </row>
        <row r="7264">
          <cell r="A7264"/>
          <cell r="D7264"/>
          <cell r="E7264"/>
          <cell r="F7264"/>
          <cell r="G7264"/>
          <cell r="H7264"/>
          <cell r="I7264"/>
          <cell r="J7264"/>
          <cell r="L7264"/>
        </row>
        <row r="7265">
          <cell r="A7265"/>
          <cell r="D7265"/>
          <cell r="E7265"/>
          <cell r="F7265"/>
          <cell r="G7265"/>
          <cell r="H7265"/>
          <cell r="I7265"/>
          <cell r="J7265"/>
          <cell r="L7265"/>
        </row>
        <row r="7266">
          <cell r="A7266"/>
          <cell r="D7266"/>
          <cell r="E7266"/>
          <cell r="F7266"/>
          <cell r="G7266"/>
          <cell r="H7266"/>
          <cell r="I7266"/>
          <cell r="J7266"/>
          <cell r="L7266"/>
        </row>
        <row r="7267">
          <cell r="A7267"/>
          <cell r="D7267"/>
          <cell r="E7267"/>
          <cell r="F7267"/>
          <cell r="G7267"/>
          <cell r="H7267"/>
          <cell r="I7267"/>
          <cell r="J7267"/>
          <cell r="L7267"/>
        </row>
        <row r="7268">
          <cell r="A7268"/>
          <cell r="D7268"/>
          <cell r="E7268"/>
          <cell r="F7268"/>
          <cell r="G7268"/>
          <cell r="H7268"/>
          <cell r="I7268"/>
          <cell r="J7268"/>
          <cell r="L7268"/>
        </row>
        <row r="7269">
          <cell r="A7269"/>
          <cell r="D7269"/>
          <cell r="E7269"/>
          <cell r="F7269"/>
          <cell r="G7269"/>
          <cell r="H7269"/>
          <cell r="I7269"/>
          <cell r="J7269"/>
          <cell r="L7269"/>
        </row>
        <row r="7270">
          <cell r="A7270"/>
          <cell r="D7270"/>
          <cell r="E7270"/>
          <cell r="F7270"/>
          <cell r="G7270"/>
          <cell r="H7270"/>
          <cell r="I7270"/>
          <cell r="J7270"/>
          <cell r="L7270"/>
        </row>
        <row r="7271">
          <cell r="A7271"/>
          <cell r="D7271"/>
          <cell r="E7271"/>
          <cell r="F7271"/>
          <cell r="G7271"/>
          <cell r="H7271"/>
          <cell r="I7271"/>
          <cell r="J7271"/>
          <cell r="L7271"/>
        </row>
        <row r="7272">
          <cell r="A7272"/>
          <cell r="D7272"/>
          <cell r="E7272"/>
          <cell r="F7272"/>
          <cell r="G7272"/>
          <cell r="H7272"/>
          <cell r="I7272"/>
          <cell r="J7272"/>
          <cell r="L7272"/>
        </row>
        <row r="7273">
          <cell r="A7273"/>
          <cell r="D7273"/>
          <cell r="E7273"/>
          <cell r="F7273"/>
          <cell r="G7273"/>
          <cell r="H7273"/>
          <cell r="I7273"/>
          <cell r="J7273"/>
          <cell r="L7273"/>
        </row>
        <row r="7274">
          <cell r="A7274"/>
          <cell r="D7274"/>
          <cell r="E7274"/>
          <cell r="F7274"/>
          <cell r="G7274"/>
          <cell r="H7274"/>
          <cell r="I7274"/>
          <cell r="J7274"/>
          <cell r="L7274"/>
        </row>
        <row r="7275">
          <cell r="A7275"/>
          <cell r="D7275"/>
          <cell r="E7275"/>
          <cell r="F7275"/>
          <cell r="G7275"/>
          <cell r="H7275"/>
          <cell r="I7275"/>
          <cell r="J7275"/>
          <cell r="L7275"/>
        </row>
        <row r="7276">
          <cell r="A7276"/>
          <cell r="D7276"/>
          <cell r="E7276"/>
          <cell r="F7276"/>
          <cell r="G7276"/>
          <cell r="H7276"/>
          <cell r="I7276"/>
          <cell r="J7276"/>
          <cell r="L7276"/>
        </row>
        <row r="7277">
          <cell r="A7277"/>
          <cell r="D7277"/>
          <cell r="E7277"/>
          <cell r="F7277"/>
          <cell r="G7277"/>
          <cell r="H7277"/>
          <cell r="I7277"/>
          <cell r="J7277"/>
          <cell r="L7277"/>
        </row>
        <row r="7278">
          <cell r="A7278"/>
          <cell r="D7278"/>
          <cell r="E7278"/>
          <cell r="F7278"/>
          <cell r="G7278"/>
          <cell r="H7278"/>
          <cell r="I7278"/>
          <cell r="J7278"/>
          <cell r="L7278"/>
        </row>
        <row r="7279">
          <cell r="A7279"/>
          <cell r="D7279"/>
          <cell r="E7279"/>
          <cell r="F7279"/>
          <cell r="G7279"/>
          <cell r="H7279"/>
          <cell r="I7279"/>
          <cell r="J7279"/>
          <cell r="L7279"/>
        </row>
        <row r="7280">
          <cell r="A7280"/>
          <cell r="D7280"/>
          <cell r="E7280"/>
          <cell r="F7280"/>
          <cell r="G7280"/>
          <cell r="H7280"/>
          <cell r="I7280"/>
          <cell r="J7280"/>
          <cell r="L7280"/>
        </row>
        <row r="7281">
          <cell r="A7281"/>
          <cell r="D7281"/>
          <cell r="E7281"/>
          <cell r="F7281"/>
          <cell r="G7281"/>
          <cell r="H7281"/>
          <cell r="I7281"/>
          <cell r="J7281"/>
          <cell r="L7281"/>
        </row>
        <row r="7282">
          <cell r="A7282"/>
          <cell r="D7282"/>
          <cell r="E7282"/>
          <cell r="F7282"/>
          <cell r="G7282"/>
          <cell r="H7282"/>
          <cell r="I7282"/>
          <cell r="J7282"/>
          <cell r="L7282"/>
        </row>
        <row r="7283">
          <cell r="A7283"/>
          <cell r="D7283"/>
          <cell r="E7283"/>
          <cell r="F7283"/>
          <cell r="G7283"/>
          <cell r="H7283"/>
          <cell r="I7283"/>
          <cell r="J7283"/>
          <cell r="L7283"/>
        </row>
        <row r="7284">
          <cell r="A7284"/>
          <cell r="D7284"/>
          <cell r="E7284"/>
          <cell r="F7284"/>
          <cell r="G7284"/>
          <cell r="H7284"/>
          <cell r="I7284"/>
          <cell r="J7284"/>
          <cell r="L7284"/>
        </row>
        <row r="7285">
          <cell r="A7285"/>
          <cell r="D7285"/>
          <cell r="E7285"/>
          <cell r="F7285"/>
          <cell r="G7285"/>
          <cell r="H7285"/>
          <cell r="I7285"/>
          <cell r="J7285"/>
          <cell r="L7285"/>
        </row>
        <row r="7286">
          <cell r="A7286"/>
          <cell r="D7286"/>
          <cell r="E7286"/>
          <cell r="F7286"/>
          <cell r="G7286"/>
          <cell r="H7286"/>
          <cell r="I7286"/>
          <cell r="J7286"/>
          <cell r="L7286"/>
        </row>
        <row r="7287">
          <cell r="A7287"/>
          <cell r="D7287"/>
          <cell r="E7287"/>
          <cell r="F7287"/>
          <cell r="G7287"/>
          <cell r="H7287"/>
          <cell r="I7287"/>
          <cell r="J7287"/>
          <cell r="L7287"/>
        </row>
        <row r="7288">
          <cell r="A7288"/>
          <cell r="D7288"/>
          <cell r="E7288"/>
          <cell r="F7288"/>
          <cell r="G7288"/>
          <cell r="H7288"/>
          <cell r="I7288"/>
          <cell r="J7288"/>
          <cell r="L7288"/>
        </row>
        <row r="7289">
          <cell r="A7289"/>
          <cell r="D7289"/>
          <cell r="E7289"/>
          <cell r="F7289"/>
          <cell r="G7289"/>
          <cell r="H7289"/>
          <cell r="I7289"/>
          <cell r="J7289"/>
          <cell r="L7289"/>
        </row>
        <row r="7290">
          <cell r="A7290"/>
          <cell r="D7290"/>
          <cell r="E7290"/>
          <cell r="F7290"/>
          <cell r="G7290"/>
          <cell r="H7290"/>
          <cell r="I7290"/>
          <cell r="J7290"/>
          <cell r="L7290"/>
        </row>
        <row r="7291">
          <cell r="A7291"/>
          <cell r="D7291"/>
          <cell r="E7291"/>
          <cell r="F7291"/>
          <cell r="G7291"/>
          <cell r="H7291"/>
          <cell r="I7291"/>
          <cell r="J7291"/>
          <cell r="L7291"/>
        </row>
        <row r="7292">
          <cell r="A7292"/>
          <cell r="D7292"/>
          <cell r="E7292"/>
          <cell r="F7292"/>
          <cell r="G7292"/>
          <cell r="H7292"/>
          <cell r="I7292"/>
          <cell r="J7292"/>
          <cell r="L7292"/>
        </row>
        <row r="7293">
          <cell r="A7293"/>
          <cell r="D7293"/>
          <cell r="E7293"/>
          <cell r="F7293"/>
          <cell r="G7293"/>
          <cell r="H7293"/>
          <cell r="I7293"/>
          <cell r="J7293"/>
          <cell r="L7293"/>
        </row>
        <row r="7294">
          <cell r="A7294"/>
          <cell r="D7294"/>
          <cell r="E7294"/>
          <cell r="F7294"/>
          <cell r="G7294"/>
          <cell r="H7294"/>
          <cell r="I7294"/>
          <cell r="J7294"/>
          <cell r="L7294"/>
        </row>
        <row r="7295">
          <cell r="A7295"/>
          <cell r="D7295"/>
          <cell r="E7295"/>
          <cell r="F7295"/>
          <cell r="G7295"/>
          <cell r="H7295"/>
          <cell r="I7295"/>
          <cell r="J7295"/>
          <cell r="L7295"/>
        </row>
        <row r="7296">
          <cell r="A7296"/>
          <cell r="D7296"/>
          <cell r="E7296"/>
          <cell r="F7296"/>
          <cell r="G7296"/>
          <cell r="H7296"/>
          <cell r="I7296"/>
          <cell r="J7296"/>
          <cell r="L7296"/>
        </row>
        <row r="7297">
          <cell r="A7297"/>
          <cell r="D7297"/>
          <cell r="E7297"/>
          <cell r="F7297"/>
          <cell r="G7297"/>
          <cell r="H7297"/>
          <cell r="I7297"/>
          <cell r="J7297"/>
          <cell r="L7297"/>
        </row>
        <row r="7298">
          <cell r="A7298"/>
          <cell r="D7298"/>
          <cell r="E7298"/>
          <cell r="F7298"/>
          <cell r="G7298"/>
          <cell r="H7298"/>
          <cell r="I7298"/>
          <cell r="J7298"/>
          <cell r="L7298"/>
        </row>
        <row r="7299">
          <cell r="A7299"/>
          <cell r="D7299"/>
          <cell r="E7299"/>
          <cell r="F7299"/>
          <cell r="G7299"/>
          <cell r="H7299"/>
          <cell r="I7299"/>
          <cell r="J7299"/>
          <cell r="L7299"/>
        </row>
        <row r="7300">
          <cell r="A7300"/>
          <cell r="D7300"/>
          <cell r="E7300"/>
          <cell r="F7300"/>
          <cell r="G7300"/>
          <cell r="H7300"/>
          <cell r="I7300"/>
          <cell r="J7300"/>
          <cell r="L7300"/>
        </row>
        <row r="7301">
          <cell r="A7301"/>
          <cell r="D7301"/>
          <cell r="E7301"/>
          <cell r="F7301"/>
          <cell r="G7301"/>
          <cell r="H7301"/>
          <cell r="I7301"/>
          <cell r="J7301"/>
          <cell r="L7301"/>
        </row>
        <row r="7302">
          <cell r="A7302"/>
          <cell r="D7302"/>
          <cell r="E7302"/>
          <cell r="F7302"/>
          <cell r="G7302"/>
          <cell r="H7302"/>
          <cell r="I7302"/>
          <cell r="J7302"/>
          <cell r="L7302"/>
        </row>
        <row r="7303">
          <cell r="A7303"/>
          <cell r="D7303"/>
          <cell r="E7303"/>
          <cell r="F7303"/>
          <cell r="G7303"/>
          <cell r="H7303"/>
          <cell r="I7303"/>
          <cell r="J7303"/>
          <cell r="L7303"/>
        </row>
        <row r="7304">
          <cell r="A7304"/>
          <cell r="D7304"/>
          <cell r="E7304"/>
          <cell r="F7304"/>
          <cell r="G7304"/>
          <cell r="H7304"/>
          <cell r="I7304"/>
          <cell r="J7304"/>
          <cell r="L7304"/>
        </row>
        <row r="7305">
          <cell r="A7305"/>
          <cell r="D7305"/>
          <cell r="E7305"/>
          <cell r="F7305"/>
          <cell r="G7305"/>
          <cell r="H7305"/>
          <cell r="I7305"/>
          <cell r="J7305"/>
          <cell r="L7305"/>
        </row>
        <row r="7306">
          <cell r="A7306"/>
          <cell r="D7306"/>
          <cell r="E7306"/>
          <cell r="F7306"/>
          <cell r="G7306"/>
          <cell r="H7306"/>
          <cell r="I7306"/>
          <cell r="J7306"/>
          <cell r="L7306"/>
        </row>
        <row r="7307">
          <cell r="A7307"/>
          <cell r="D7307"/>
          <cell r="E7307"/>
          <cell r="F7307"/>
          <cell r="G7307"/>
          <cell r="H7307"/>
          <cell r="I7307"/>
          <cell r="J7307"/>
          <cell r="L7307"/>
        </row>
        <row r="7308">
          <cell r="A7308"/>
          <cell r="D7308"/>
          <cell r="E7308"/>
          <cell r="F7308"/>
          <cell r="G7308"/>
          <cell r="H7308"/>
          <cell r="I7308"/>
          <cell r="J7308"/>
          <cell r="L7308"/>
        </row>
        <row r="7309">
          <cell r="A7309"/>
          <cell r="D7309"/>
          <cell r="E7309"/>
          <cell r="F7309"/>
          <cell r="G7309"/>
          <cell r="H7309"/>
          <cell r="I7309"/>
          <cell r="J7309"/>
          <cell r="L7309"/>
        </row>
        <row r="7310">
          <cell r="A7310"/>
          <cell r="D7310"/>
          <cell r="E7310"/>
          <cell r="F7310"/>
          <cell r="G7310"/>
          <cell r="H7310"/>
          <cell r="I7310"/>
          <cell r="J7310"/>
          <cell r="L7310"/>
        </row>
        <row r="7311">
          <cell r="A7311"/>
          <cell r="D7311"/>
          <cell r="E7311"/>
          <cell r="F7311"/>
          <cell r="G7311"/>
          <cell r="H7311"/>
          <cell r="I7311"/>
          <cell r="J7311"/>
          <cell r="L7311"/>
        </row>
        <row r="7312">
          <cell r="A7312"/>
          <cell r="D7312"/>
          <cell r="E7312"/>
          <cell r="F7312"/>
          <cell r="G7312"/>
          <cell r="H7312"/>
          <cell r="I7312"/>
          <cell r="J7312"/>
          <cell r="L7312"/>
        </row>
        <row r="7313">
          <cell r="A7313"/>
          <cell r="D7313"/>
          <cell r="E7313"/>
          <cell r="F7313"/>
          <cell r="G7313"/>
          <cell r="H7313"/>
          <cell r="I7313"/>
          <cell r="J7313"/>
          <cell r="L7313"/>
        </row>
        <row r="7314">
          <cell r="A7314"/>
          <cell r="D7314"/>
          <cell r="E7314"/>
          <cell r="F7314"/>
          <cell r="G7314"/>
          <cell r="H7314"/>
          <cell r="I7314"/>
          <cell r="J7314"/>
          <cell r="L7314"/>
        </row>
        <row r="7315">
          <cell r="A7315"/>
          <cell r="D7315"/>
          <cell r="E7315"/>
          <cell r="F7315"/>
          <cell r="G7315"/>
          <cell r="H7315"/>
          <cell r="I7315"/>
          <cell r="J7315"/>
          <cell r="L7315"/>
        </row>
        <row r="7316">
          <cell r="A7316"/>
          <cell r="D7316"/>
          <cell r="E7316"/>
          <cell r="F7316"/>
          <cell r="G7316"/>
          <cell r="H7316"/>
          <cell r="I7316"/>
          <cell r="J7316"/>
          <cell r="L7316"/>
        </row>
        <row r="7317">
          <cell r="A7317"/>
          <cell r="D7317"/>
          <cell r="E7317"/>
          <cell r="F7317"/>
          <cell r="G7317"/>
          <cell r="H7317"/>
          <cell r="I7317"/>
          <cell r="J7317"/>
          <cell r="L7317"/>
        </row>
        <row r="7318">
          <cell r="A7318"/>
          <cell r="D7318"/>
          <cell r="E7318"/>
          <cell r="F7318"/>
          <cell r="G7318"/>
          <cell r="H7318"/>
          <cell r="I7318"/>
          <cell r="J7318"/>
          <cell r="L7318"/>
        </row>
        <row r="7319">
          <cell r="A7319"/>
          <cell r="D7319"/>
          <cell r="E7319"/>
          <cell r="F7319"/>
          <cell r="G7319"/>
          <cell r="H7319"/>
          <cell r="I7319"/>
          <cell r="J7319"/>
          <cell r="L7319"/>
        </row>
        <row r="7320">
          <cell r="A7320"/>
          <cell r="D7320"/>
          <cell r="E7320"/>
          <cell r="F7320"/>
          <cell r="G7320"/>
          <cell r="H7320"/>
          <cell r="I7320"/>
          <cell r="J7320"/>
          <cell r="L7320"/>
        </row>
        <row r="7321">
          <cell r="A7321"/>
          <cell r="D7321"/>
          <cell r="E7321"/>
          <cell r="F7321"/>
          <cell r="G7321"/>
          <cell r="H7321"/>
          <cell r="I7321"/>
          <cell r="J7321"/>
          <cell r="L7321"/>
        </row>
        <row r="7322">
          <cell r="A7322"/>
          <cell r="D7322"/>
          <cell r="E7322"/>
          <cell r="F7322"/>
          <cell r="G7322"/>
          <cell r="H7322"/>
          <cell r="I7322"/>
          <cell r="J7322"/>
          <cell r="L7322"/>
        </row>
        <row r="7323">
          <cell r="A7323"/>
          <cell r="D7323"/>
          <cell r="E7323"/>
          <cell r="F7323"/>
          <cell r="G7323"/>
          <cell r="H7323"/>
          <cell r="I7323"/>
          <cell r="J7323"/>
          <cell r="L7323"/>
        </row>
        <row r="7324">
          <cell r="A7324"/>
          <cell r="D7324"/>
          <cell r="E7324"/>
          <cell r="F7324"/>
          <cell r="G7324"/>
          <cell r="H7324"/>
          <cell r="I7324"/>
          <cell r="J7324"/>
          <cell r="L7324"/>
        </row>
        <row r="7325">
          <cell r="A7325"/>
          <cell r="D7325"/>
          <cell r="E7325"/>
          <cell r="F7325"/>
          <cell r="G7325"/>
          <cell r="H7325"/>
          <cell r="I7325"/>
          <cell r="J7325"/>
          <cell r="L7325"/>
        </row>
        <row r="7326">
          <cell r="A7326"/>
          <cell r="D7326"/>
          <cell r="E7326"/>
          <cell r="F7326"/>
          <cell r="G7326"/>
          <cell r="H7326"/>
          <cell r="I7326"/>
          <cell r="J7326"/>
          <cell r="L7326"/>
        </row>
        <row r="7327">
          <cell r="A7327"/>
          <cell r="D7327"/>
          <cell r="E7327"/>
          <cell r="F7327"/>
          <cell r="G7327"/>
          <cell r="H7327"/>
          <cell r="I7327"/>
          <cell r="J7327"/>
          <cell r="L7327"/>
        </row>
        <row r="7328">
          <cell r="A7328"/>
          <cell r="D7328"/>
          <cell r="E7328"/>
          <cell r="F7328"/>
          <cell r="G7328"/>
          <cell r="H7328"/>
          <cell r="I7328"/>
          <cell r="J7328"/>
          <cell r="L7328"/>
        </row>
        <row r="7329">
          <cell r="A7329"/>
          <cell r="D7329"/>
          <cell r="E7329"/>
          <cell r="F7329"/>
          <cell r="G7329"/>
          <cell r="H7329"/>
          <cell r="I7329"/>
          <cell r="J7329"/>
          <cell r="L7329"/>
        </row>
        <row r="7330">
          <cell r="A7330"/>
          <cell r="D7330"/>
          <cell r="E7330"/>
          <cell r="F7330"/>
          <cell r="G7330"/>
          <cell r="H7330"/>
          <cell r="I7330"/>
          <cell r="J7330"/>
          <cell r="L7330"/>
        </row>
        <row r="7331">
          <cell r="A7331"/>
          <cell r="D7331"/>
          <cell r="E7331"/>
          <cell r="F7331"/>
          <cell r="G7331"/>
          <cell r="H7331"/>
          <cell r="I7331"/>
          <cell r="J7331"/>
          <cell r="L7331"/>
        </row>
        <row r="7332">
          <cell r="A7332"/>
          <cell r="D7332"/>
          <cell r="E7332"/>
          <cell r="F7332"/>
          <cell r="G7332"/>
          <cell r="H7332"/>
          <cell r="I7332"/>
          <cell r="J7332"/>
          <cell r="L7332"/>
        </row>
        <row r="7333">
          <cell r="A7333"/>
          <cell r="D7333"/>
          <cell r="E7333"/>
          <cell r="F7333"/>
          <cell r="G7333"/>
          <cell r="H7333"/>
          <cell r="I7333"/>
          <cell r="J7333"/>
          <cell r="L7333"/>
        </row>
        <row r="7334">
          <cell r="A7334"/>
          <cell r="D7334"/>
          <cell r="E7334"/>
          <cell r="F7334"/>
          <cell r="G7334"/>
          <cell r="H7334"/>
          <cell r="I7334"/>
          <cell r="J7334"/>
          <cell r="L7334"/>
        </row>
        <row r="7335">
          <cell r="A7335"/>
          <cell r="D7335"/>
          <cell r="E7335"/>
          <cell r="F7335"/>
          <cell r="G7335"/>
          <cell r="H7335"/>
          <cell r="I7335"/>
          <cell r="J7335"/>
          <cell r="L7335"/>
        </row>
        <row r="7336">
          <cell r="A7336"/>
          <cell r="D7336"/>
          <cell r="E7336"/>
          <cell r="F7336"/>
          <cell r="G7336"/>
          <cell r="H7336"/>
          <cell r="I7336"/>
          <cell r="J7336"/>
          <cell r="L7336"/>
        </row>
        <row r="7337">
          <cell r="A7337"/>
          <cell r="D7337"/>
          <cell r="E7337"/>
          <cell r="F7337"/>
          <cell r="G7337"/>
          <cell r="H7337"/>
          <cell r="I7337"/>
          <cell r="J7337"/>
          <cell r="L7337"/>
        </row>
        <row r="7338">
          <cell r="A7338"/>
          <cell r="D7338"/>
          <cell r="E7338"/>
          <cell r="F7338"/>
          <cell r="G7338"/>
          <cell r="H7338"/>
          <cell r="I7338"/>
          <cell r="J7338"/>
          <cell r="L7338"/>
        </row>
        <row r="7339">
          <cell r="A7339"/>
          <cell r="D7339"/>
          <cell r="E7339"/>
          <cell r="F7339"/>
          <cell r="G7339"/>
          <cell r="H7339"/>
          <cell r="I7339"/>
          <cell r="J7339"/>
          <cell r="L7339"/>
        </row>
        <row r="7340">
          <cell r="A7340"/>
          <cell r="D7340"/>
          <cell r="E7340"/>
          <cell r="F7340"/>
          <cell r="G7340"/>
          <cell r="H7340"/>
          <cell r="I7340"/>
          <cell r="J7340"/>
          <cell r="L7340"/>
        </row>
        <row r="7341">
          <cell r="A7341"/>
          <cell r="D7341"/>
          <cell r="E7341"/>
          <cell r="F7341"/>
          <cell r="G7341"/>
          <cell r="H7341"/>
          <cell r="I7341"/>
          <cell r="J7341"/>
          <cell r="L7341"/>
        </row>
        <row r="7342">
          <cell r="A7342"/>
          <cell r="D7342"/>
          <cell r="E7342"/>
          <cell r="F7342"/>
          <cell r="G7342"/>
          <cell r="H7342"/>
          <cell r="I7342"/>
          <cell r="J7342"/>
          <cell r="L7342"/>
        </row>
        <row r="7343">
          <cell r="A7343"/>
          <cell r="D7343"/>
          <cell r="E7343"/>
          <cell r="F7343"/>
          <cell r="G7343"/>
          <cell r="H7343"/>
          <cell r="I7343"/>
          <cell r="J7343"/>
          <cell r="L7343"/>
        </row>
        <row r="7344">
          <cell r="A7344"/>
          <cell r="D7344"/>
          <cell r="E7344"/>
          <cell r="F7344"/>
          <cell r="G7344"/>
          <cell r="H7344"/>
          <cell r="I7344"/>
          <cell r="J7344"/>
          <cell r="L7344"/>
        </row>
        <row r="7345">
          <cell r="A7345"/>
          <cell r="D7345"/>
          <cell r="E7345"/>
          <cell r="F7345"/>
          <cell r="G7345"/>
          <cell r="H7345"/>
          <cell r="I7345"/>
          <cell r="J7345"/>
          <cell r="L7345"/>
        </row>
        <row r="7346">
          <cell r="A7346"/>
          <cell r="D7346"/>
          <cell r="E7346"/>
          <cell r="F7346"/>
          <cell r="G7346"/>
          <cell r="H7346"/>
          <cell r="I7346"/>
          <cell r="J7346"/>
          <cell r="L7346"/>
        </row>
        <row r="7347">
          <cell r="A7347"/>
          <cell r="D7347"/>
          <cell r="E7347"/>
          <cell r="F7347"/>
          <cell r="G7347"/>
          <cell r="H7347"/>
          <cell r="I7347"/>
          <cell r="J7347"/>
          <cell r="L7347"/>
        </row>
        <row r="7348">
          <cell r="A7348"/>
          <cell r="D7348"/>
          <cell r="E7348"/>
          <cell r="F7348"/>
          <cell r="G7348"/>
          <cell r="H7348"/>
          <cell r="I7348"/>
          <cell r="J7348"/>
          <cell r="L7348"/>
        </row>
        <row r="7349">
          <cell r="A7349"/>
          <cell r="D7349"/>
          <cell r="E7349"/>
          <cell r="F7349"/>
          <cell r="G7349"/>
          <cell r="H7349"/>
          <cell r="I7349"/>
          <cell r="J7349"/>
          <cell r="L7349"/>
        </row>
        <row r="7350">
          <cell r="A7350"/>
          <cell r="D7350"/>
          <cell r="E7350"/>
          <cell r="F7350"/>
          <cell r="G7350"/>
          <cell r="H7350"/>
          <cell r="I7350"/>
          <cell r="J7350"/>
          <cell r="L7350"/>
        </row>
        <row r="7351">
          <cell r="A7351"/>
          <cell r="D7351"/>
          <cell r="E7351"/>
          <cell r="F7351"/>
          <cell r="G7351"/>
          <cell r="H7351"/>
          <cell r="I7351"/>
          <cell r="J7351"/>
          <cell r="L7351"/>
        </row>
        <row r="7352">
          <cell r="A7352"/>
          <cell r="D7352"/>
          <cell r="E7352"/>
          <cell r="F7352"/>
          <cell r="G7352"/>
          <cell r="H7352"/>
          <cell r="I7352"/>
          <cell r="J7352"/>
          <cell r="L7352"/>
        </row>
        <row r="7353">
          <cell r="A7353"/>
          <cell r="D7353"/>
          <cell r="E7353"/>
          <cell r="F7353"/>
          <cell r="G7353"/>
          <cell r="H7353"/>
          <cell r="I7353"/>
          <cell r="J7353"/>
          <cell r="L7353"/>
        </row>
        <row r="7354">
          <cell r="A7354"/>
          <cell r="D7354"/>
          <cell r="E7354"/>
          <cell r="F7354"/>
          <cell r="G7354"/>
          <cell r="H7354"/>
          <cell r="I7354"/>
          <cell r="J7354"/>
          <cell r="L7354"/>
        </row>
        <row r="7355">
          <cell r="A7355"/>
          <cell r="D7355"/>
          <cell r="E7355"/>
          <cell r="F7355"/>
          <cell r="G7355"/>
          <cell r="H7355"/>
          <cell r="I7355"/>
          <cell r="J7355"/>
          <cell r="L7355"/>
        </row>
        <row r="7356">
          <cell r="A7356"/>
          <cell r="D7356"/>
          <cell r="E7356"/>
          <cell r="F7356"/>
          <cell r="G7356"/>
          <cell r="H7356"/>
          <cell r="I7356"/>
          <cell r="J7356"/>
          <cell r="L7356"/>
        </row>
        <row r="7357">
          <cell r="A7357"/>
          <cell r="D7357"/>
          <cell r="E7357"/>
          <cell r="F7357"/>
          <cell r="G7357"/>
          <cell r="H7357"/>
          <cell r="I7357"/>
          <cell r="J7357"/>
          <cell r="L7357"/>
        </row>
        <row r="7358">
          <cell r="A7358"/>
          <cell r="D7358"/>
          <cell r="E7358"/>
          <cell r="F7358"/>
          <cell r="G7358"/>
          <cell r="H7358"/>
          <cell r="I7358"/>
          <cell r="J7358"/>
          <cell r="L7358"/>
        </row>
        <row r="7359">
          <cell r="A7359"/>
          <cell r="D7359"/>
          <cell r="E7359"/>
          <cell r="F7359"/>
          <cell r="G7359"/>
          <cell r="H7359"/>
          <cell r="I7359"/>
          <cell r="J7359"/>
          <cell r="L7359"/>
        </row>
        <row r="7360">
          <cell r="A7360"/>
          <cell r="D7360"/>
          <cell r="E7360"/>
          <cell r="F7360"/>
          <cell r="G7360"/>
          <cell r="H7360"/>
          <cell r="I7360"/>
          <cell r="J7360"/>
          <cell r="L7360"/>
        </row>
        <row r="7361">
          <cell r="A7361"/>
          <cell r="D7361"/>
          <cell r="E7361"/>
          <cell r="F7361"/>
          <cell r="G7361"/>
          <cell r="H7361"/>
          <cell r="I7361"/>
          <cell r="J7361"/>
          <cell r="L7361"/>
        </row>
        <row r="7362">
          <cell r="A7362"/>
          <cell r="D7362"/>
          <cell r="E7362"/>
          <cell r="F7362"/>
          <cell r="G7362"/>
          <cell r="H7362"/>
          <cell r="I7362"/>
          <cell r="J7362"/>
          <cell r="L7362"/>
        </row>
        <row r="7363">
          <cell r="A7363"/>
          <cell r="D7363"/>
          <cell r="E7363"/>
          <cell r="F7363"/>
          <cell r="G7363"/>
          <cell r="H7363"/>
          <cell r="I7363"/>
          <cell r="J7363"/>
          <cell r="L7363"/>
        </row>
        <row r="7364">
          <cell r="A7364"/>
          <cell r="D7364"/>
          <cell r="E7364"/>
          <cell r="F7364"/>
          <cell r="G7364"/>
          <cell r="H7364"/>
          <cell r="I7364"/>
          <cell r="J7364"/>
          <cell r="L7364"/>
        </row>
        <row r="7365">
          <cell r="A7365"/>
          <cell r="D7365"/>
          <cell r="E7365"/>
          <cell r="F7365"/>
          <cell r="G7365"/>
          <cell r="H7365"/>
          <cell r="I7365"/>
          <cell r="J7365"/>
          <cell r="L7365"/>
        </row>
        <row r="7366">
          <cell r="A7366"/>
          <cell r="D7366"/>
          <cell r="E7366"/>
          <cell r="F7366"/>
          <cell r="G7366"/>
          <cell r="H7366"/>
          <cell r="I7366"/>
          <cell r="J7366"/>
          <cell r="L7366"/>
        </row>
        <row r="7367">
          <cell r="A7367"/>
          <cell r="D7367"/>
          <cell r="E7367"/>
          <cell r="F7367"/>
          <cell r="G7367"/>
          <cell r="H7367"/>
          <cell r="I7367"/>
          <cell r="J7367"/>
          <cell r="L7367"/>
        </row>
        <row r="7368">
          <cell r="A7368"/>
          <cell r="D7368"/>
          <cell r="E7368"/>
          <cell r="F7368"/>
          <cell r="G7368"/>
          <cell r="H7368"/>
          <cell r="I7368"/>
          <cell r="J7368"/>
          <cell r="L7368"/>
        </row>
        <row r="7369">
          <cell r="A7369"/>
          <cell r="D7369"/>
          <cell r="E7369"/>
          <cell r="F7369"/>
          <cell r="G7369"/>
          <cell r="H7369"/>
          <cell r="I7369"/>
          <cell r="J7369"/>
          <cell r="L7369"/>
        </row>
        <row r="7370">
          <cell r="A7370"/>
          <cell r="D7370"/>
          <cell r="E7370"/>
          <cell r="F7370"/>
          <cell r="G7370"/>
          <cell r="H7370"/>
          <cell r="I7370"/>
          <cell r="J7370"/>
          <cell r="L7370"/>
        </row>
        <row r="7371">
          <cell r="A7371"/>
          <cell r="D7371"/>
          <cell r="E7371"/>
          <cell r="F7371"/>
          <cell r="G7371"/>
          <cell r="H7371"/>
          <cell r="I7371"/>
          <cell r="J7371"/>
          <cell r="L7371"/>
        </row>
        <row r="7372">
          <cell r="A7372"/>
          <cell r="D7372"/>
          <cell r="E7372"/>
          <cell r="F7372"/>
          <cell r="G7372"/>
          <cell r="H7372"/>
          <cell r="I7372"/>
          <cell r="J7372"/>
          <cell r="L7372"/>
        </row>
        <row r="7373">
          <cell r="A7373"/>
          <cell r="D7373"/>
          <cell r="E7373"/>
          <cell r="F7373"/>
          <cell r="G7373"/>
          <cell r="H7373"/>
          <cell r="I7373"/>
          <cell r="J7373"/>
          <cell r="L7373"/>
        </row>
        <row r="7374">
          <cell r="A7374"/>
          <cell r="D7374"/>
          <cell r="E7374"/>
          <cell r="F7374"/>
          <cell r="G7374"/>
          <cell r="H7374"/>
          <cell r="I7374"/>
          <cell r="J7374"/>
          <cell r="L7374"/>
        </row>
        <row r="7375">
          <cell r="A7375"/>
          <cell r="D7375"/>
          <cell r="E7375"/>
          <cell r="F7375"/>
          <cell r="G7375"/>
          <cell r="H7375"/>
          <cell r="I7375"/>
          <cell r="J7375"/>
          <cell r="L7375"/>
        </row>
        <row r="7376">
          <cell r="A7376"/>
          <cell r="D7376"/>
          <cell r="E7376"/>
          <cell r="F7376"/>
          <cell r="G7376"/>
          <cell r="H7376"/>
          <cell r="I7376"/>
          <cell r="J7376"/>
          <cell r="L7376"/>
        </row>
        <row r="7377">
          <cell r="A7377"/>
          <cell r="D7377"/>
          <cell r="E7377"/>
          <cell r="F7377"/>
          <cell r="G7377"/>
          <cell r="H7377"/>
          <cell r="I7377"/>
          <cell r="J7377"/>
          <cell r="L7377"/>
        </row>
        <row r="7378">
          <cell r="A7378"/>
          <cell r="D7378"/>
          <cell r="E7378"/>
          <cell r="F7378"/>
          <cell r="G7378"/>
          <cell r="H7378"/>
          <cell r="I7378"/>
          <cell r="J7378"/>
          <cell r="L7378"/>
        </row>
        <row r="7379">
          <cell r="A7379"/>
          <cell r="D7379"/>
          <cell r="E7379"/>
          <cell r="F7379"/>
          <cell r="G7379"/>
          <cell r="H7379"/>
          <cell r="I7379"/>
          <cell r="J7379"/>
          <cell r="L7379"/>
        </row>
        <row r="7380">
          <cell r="A7380"/>
          <cell r="D7380"/>
          <cell r="E7380"/>
          <cell r="F7380"/>
          <cell r="G7380"/>
          <cell r="H7380"/>
          <cell r="I7380"/>
          <cell r="J7380"/>
          <cell r="L7380"/>
        </row>
        <row r="7381">
          <cell r="A7381"/>
          <cell r="D7381"/>
          <cell r="E7381"/>
          <cell r="F7381"/>
          <cell r="G7381"/>
          <cell r="H7381"/>
          <cell r="I7381"/>
          <cell r="J7381"/>
          <cell r="L7381"/>
        </row>
        <row r="7382">
          <cell r="A7382"/>
          <cell r="D7382"/>
          <cell r="E7382"/>
          <cell r="F7382"/>
          <cell r="G7382"/>
          <cell r="H7382"/>
          <cell r="I7382"/>
          <cell r="J7382"/>
          <cell r="L7382"/>
        </row>
        <row r="7383">
          <cell r="A7383"/>
          <cell r="D7383"/>
          <cell r="E7383"/>
          <cell r="F7383"/>
          <cell r="G7383"/>
          <cell r="H7383"/>
          <cell r="I7383"/>
          <cell r="J7383"/>
          <cell r="L7383"/>
        </row>
        <row r="7384">
          <cell r="A7384"/>
          <cell r="D7384"/>
          <cell r="E7384"/>
          <cell r="F7384"/>
          <cell r="G7384"/>
          <cell r="H7384"/>
          <cell r="I7384"/>
          <cell r="J7384"/>
          <cell r="L7384"/>
        </row>
        <row r="7385">
          <cell r="A7385"/>
          <cell r="D7385"/>
          <cell r="E7385"/>
          <cell r="F7385"/>
          <cell r="G7385"/>
          <cell r="H7385"/>
          <cell r="I7385"/>
          <cell r="J7385"/>
          <cell r="L7385"/>
        </row>
        <row r="7386">
          <cell r="A7386"/>
          <cell r="D7386"/>
          <cell r="E7386"/>
          <cell r="F7386"/>
          <cell r="G7386"/>
          <cell r="H7386"/>
          <cell r="I7386"/>
          <cell r="J7386"/>
          <cell r="L7386"/>
        </row>
        <row r="7387">
          <cell r="A7387"/>
          <cell r="D7387"/>
          <cell r="E7387"/>
          <cell r="F7387"/>
          <cell r="G7387"/>
          <cell r="H7387"/>
          <cell r="I7387"/>
          <cell r="J7387"/>
          <cell r="L7387"/>
        </row>
        <row r="7388">
          <cell r="A7388"/>
          <cell r="D7388"/>
          <cell r="E7388"/>
          <cell r="F7388"/>
          <cell r="G7388"/>
          <cell r="H7388"/>
          <cell r="I7388"/>
          <cell r="J7388"/>
          <cell r="L7388"/>
        </row>
        <row r="7389">
          <cell r="A7389"/>
          <cell r="D7389"/>
          <cell r="E7389"/>
          <cell r="F7389"/>
          <cell r="G7389"/>
          <cell r="H7389"/>
          <cell r="I7389"/>
          <cell r="J7389"/>
          <cell r="L7389"/>
        </row>
        <row r="7390">
          <cell r="A7390"/>
          <cell r="D7390"/>
          <cell r="E7390"/>
          <cell r="F7390"/>
          <cell r="G7390"/>
          <cell r="H7390"/>
          <cell r="I7390"/>
          <cell r="J7390"/>
          <cell r="L7390"/>
        </row>
        <row r="7391">
          <cell r="A7391"/>
          <cell r="D7391"/>
          <cell r="E7391"/>
          <cell r="F7391"/>
          <cell r="G7391"/>
          <cell r="H7391"/>
          <cell r="I7391"/>
          <cell r="J7391"/>
          <cell r="L7391"/>
        </row>
        <row r="7392">
          <cell r="A7392"/>
          <cell r="D7392"/>
          <cell r="E7392"/>
          <cell r="F7392"/>
          <cell r="G7392"/>
          <cell r="H7392"/>
          <cell r="I7392"/>
          <cell r="J7392"/>
          <cell r="L7392"/>
        </row>
        <row r="7393">
          <cell r="A7393"/>
          <cell r="D7393"/>
          <cell r="E7393"/>
          <cell r="F7393"/>
          <cell r="G7393"/>
          <cell r="H7393"/>
          <cell r="I7393"/>
          <cell r="J7393"/>
          <cell r="L7393"/>
        </row>
        <row r="7394">
          <cell r="A7394"/>
          <cell r="D7394"/>
          <cell r="E7394"/>
          <cell r="F7394"/>
          <cell r="G7394"/>
          <cell r="H7394"/>
          <cell r="I7394"/>
          <cell r="J7394"/>
          <cell r="L7394"/>
        </row>
        <row r="7395">
          <cell r="A7395"/>
          <cell r="D7395"/>
          <cell r="E7395"/>
          <cell r="F7395"/>
          <cell r="G7395"/>
          <cell r="H7395"/>
          <cell r="I7395"/>
          <cell r="J7395"/>
          <cell r="L7395"/>
        </row>
        <row r="7396">
          <cell r="A7396"/>
          <cell r="D7396"/>
          <cell r="E7396"/>
          <cell r="F7396"/>
          <cell r="G7396"/>
          <cell r="H7396"/>
          <cell r="I7396"/>
          <cell r="J7396"/>
          <cell r="L7396"/>
        </row>
        <row r="7397">
          <cell r="A7397"/>
          <cell r="D7397"/>
          <cell r="E7397"/>
          <cell r="F7397"/>
          <cell r="G7397"/>
          <cell r="H7397"/>
          <cell r="I7397"/>
          <cell r="J7397"/>
          <cell r="L7397"/>
        </row>
        <row r="7398">
          <cell r="A7398"/>
          <cell r="D7398"/>
          <cell r="E7398"/>
          <cell r="F7398"/>
          <cell r="G7398"/>
          <cell r="H7398"/>
          <cell r="I7398"/>
          <cell r="J7398"/>
          <cell r="L7398"/>
        </row>
        <row r="7399">
          <cell r="A7399"/>
          <cell r="D7399"/>
          <cell r="E7399"/>
          <cell r="F7399"/>
          <cell r="G7399"/>
          <cell r="H7399"/>
          <cell r="I7399"/>
          <cell r="J7399"/>
          <cell r="L7399"/>
        </row>
        <row r="7400">
          <cell r="A7400"/>
          <cell r="D7400"/>
          <cell r="E7400"/>
          <cell r="F7400"/>
          <cell r="G7400"/>
          <cell r="H7400"/>
          <cell r="I7400"/>
          <cell r="J7400"/>
          <cell r="L7400"/>
        </row>
        <row r="7401">
          <cell r="A7401"/>
          <cell r="D7401"/>
          <cell r="E7401"/>
          <cell r="F7401"/>
          <cell r="G7401"/>
          <cell r="H7401"/>
          <cell r="I7401"/>
          <cell r="J7401"/>
          <cell r="L7401"/>
        </row>
        <row r="7402">
          <cell r="A7402"/>
          <cell r="D7402"/>
          <cell r="E7402"/>
          <cell r="F7402"/>
          <cell r="G7402"/>
          <cell r="H7402"/>
          <cell r="I7402"/>
          <cell r="J7402"/>
          <cell r="L7402"/>
        </row>
        <row r="7403">
          <cell r="A7403"/>
          <cell r="D7403"/>
          <cell r="E7403"/>
          <cell r="F7403"/>
          <cell r="G7403"/>
          <cell r="H7403"/>
          <cell r="I7403"/>
          <cell r="J7403"/>
          <cell r="L7403"/>
        </row>
        <row r="7404">
          <cell r="A7404"/>
          <cell r="D7404"/>
          <cell r="E7404"/>
          <cell r="F7404"/>
          <cell r="G7404"/>
          <cell r="H7404"/>
          <cell r="I7404"/>
          <cell r="J7404"/>
          <cell r="L7404"/>
        </row>
        <row r="7405">
          <cell r="A7405"/>
          <cell r="D7405"/>
          <cell r="E7405"/>
          <cell r="F7405"/>
          <cell r="G7405"/>
          <cell r="H7405"/>
          <cell r="I7405"/>
          <cell r="J7405"/>
          <cell r="L7405"/>
        </row>
        <row r="7406">
          <cell r="A7406"/>
          <cell r="D7406"/>
          <cell r="E7406"/>
          <cell r="F7406"/>
          <cell r="G7406"/>
          <cell r="H7406"/>
          <cell r="I7406"/>
          <cell r="J7406"/>
          <cell r="L7406"/>
        </row>
        <row r="7407">
          <cell r="A7407"/>
          <cell r="D7407"/>
          <cell r="E7407"/>
          <cell r="F7407"/>
          <cell r="G7407"/>
          <cell r="H7407"/>
          <cell r="I7407"/>
          <cell r="J7407"/>
          <cell r="L7407"/>
        </row>
        <row r="7408">
          <cell r="A7408"/>
          <cell r="D7408"/>
          <cell r="E7408"/>
          <cell r="F7408"/>
          <cell r="G7408"/>
          <cell r="H7408"/>
          <cell r="I7408"/>
          <cell r="J7408"/>
          <cell r="L7408"/>
        </row>
        <row r="7409">
          <cell r="A7409"/>
          <cell r="D7409"/>
          <cell r="E7409"/>
          <cell r="F7409"/>
          <cell r="G7409"/>
          <cell r="H7409"/>
          <cell r="I7409"/>
          <cell r="J7409"/>
          <cell r="L7409"/>
        </row>
        <row r="7410">
          <cell r="A7410"/>
          <cell r="D7410"/>
          <cell r="E7410"/>
          <cell r="F7410"/>
          <cell r="G7410"/>
          <cell r="H7410"/>
          <cell r="I7410"/>
          <cell r="J7410"/>
          <cell r="L7410"/>
        </row>
        <row r="7411">
          <cell r="A7411"/>
          <cell r="D7411"/>
          <cell r="E7411"/>
          <cell r="F7411"/>
          <cell r="G7411"/>
          <cell r="H7411"/>
          <cell r="I7411"/>
          <cell r="J7411"/>
          <cell r="L7411"/>
        </row>
        <row r="7412">
          <cell r="A7412"/>
          <cell r="D7412"/>
          <cell r="E7412"/>
          <cell r="F7412"/>
          <cell r="G7412"/>
          <cell r="H7412"/>
          <cell r="I7412"/>
          <cell r="J7412"/>
          <cell r="L7412"/>
        </row>
        <row r="7413">
          <cell r="A7413"/>
          <cell r="D7413"/>
          <cell r="E7413"/>
          <cell r="F7413"/>
          <cell r="G7413"/>
          <cell r="H7413"/>
          <cell r="I7413"/>
          <cell r="J7413"/>
          <cell r="L7413"/>
        </row>
        <row r="7414">
          <cell r="A7414"/>
          <cell r="D7414"/>
          <cell r="E7414"/>
          <cell r="F7414"/>
          <cell r="G7414"/>
          <cell r="H7414"/>
          <cell r="I7414"/>
          <cell r="J7414"/>
          <cell r="L7414"/>
        </row>
        <row r="7415">
          <cell r="A7415"/>
          <cell r="D7415"/>
          <cell r="E7415"/>
          <cell r="F7415"/>
          <cell r="G7415"/>
          <cell r="H7415"/>
          <cell r="I7415"/>
          <cell r="J7415"/>
          <cell r="L7415"/>
        </row>
        <row r="7416">
          <cell r="A7416"/>
          <cell r="D7416"/>
          <cell r="E7416"/>
          <cell r="F7416"/>
          <cell r="G7416"/>
          <cell r="H7416"/>
          <cell r="I7416"/>
          <cell r="J7416"/>
          <cell r="L7416"/>
        </row>
        <row r="7417">
          <cell r="A7417"/>
          <cell r="D7417"/>
          <cell r="E7417"/>
          <cell r="F7417"/>
          <cell r="G7417"/>
          <cell r="H7417"/>
          <cell r="I7417"/>
          <cell r="J7417"/>
          <cell r="L7417"/>
        </row>
        <row r="7418">
          <cell r="A7418"/>
          <cell r="D7418"/>
          <cell r="E7418"/>
          <cell r="F7418"/>
          <cell r="G7418"/>
          <cell r="H7418"/>
          <cell r="I7418"/>
          <cell r="J7418"/>
          <cell r="L7418"/>
        </row>
        <row r="7419">
          <cell r="A7419"/>
          <cell r="D7419"/>
          <cell r="E7419"/>
          <cell r="F7419"/>
          <cell r="G7419"/>
          <cell r="H7419"/>
          <cell r="I7419"/>
          <cell r="J7419"/>
          <cell r="L7419"/>
        </row>
        <row r="7420">
          <cell r="A7420"/>
          <cell r="D7420"/>
          <cell r="E7420"/>
          <cell r="F7420"/>
          <cell r="G7420"/>
          <cell r="H7420"/>
          <cell r="I7420"/>
          <cell r="J7420"/>
          <cell r="L7420"/>
        </row>
        <row r="7421">
          <cell r="A7421"/>
          <cell r="D7421"/>
          <cell r="E7421"/>
          <cell r="F7421"/>
          <cell r="G7421"/>
          <cell r="H7421"/>
          <cell r="I7421"/>
          <cell r="J7421"/>
          <cell r="L7421"/>
        </row>
        <row r="7422">
          <cell r="A7422"/>
          <cell r="D7422"/>
          <cell r="E7422"/>
          <cell r="F7422"/>
          <cell r="G7422"/>
          <cell r="H7422"/>
          <cell r="I7422"/>
          <cell r="J7422"/>
          <cell r="L7422"/>
        </row>
        <row r="7423">
          <cell r="A7423"/>
          <cell r="D7423"/>
          <cell r="E7423"/>
          <cell r="F7423"/>
          <cell r="G7423"/>
          <cell r="H7423"/>
          <cell r="I7423"/>
          <cell r="J7423"/>
          <cell r="L7423"/>
        </row>
        <row r="7424">
          <cell r="A7424"/>
          <cell r="D7424"/>
          <cell r="E7424"/>
          <cell r="F7424"/>
          <cell r="G7424"/>
          <cell r="H7424"/>
          <cell r="I7424"/>
          <cell r="J7424"/>
          <cell r="L7424"/>
        </row>
        <row r="7425">
          <cell r="A7425"/>
          <cell r="D7425"/>
          <cell r="E7425"/>
          <cell r="F7425"/>
          <cell r="G7425"/>
          <cell r="H7425"/>
          <cell r="I7425"/>
          <cell r="J7425"/>
          <cell r="L7425"/>
        </row>
        <row r="7426">
          <cell r="A7426"/>
          <cell r="D7426"/>
          <cell r="E7426"/>
          <cell r="F7426"/>
          <cell r="G7426"/>
          <cell r="H7426"/>
          <cell r="I7426"/>
          <cell r="J7426"/>
          <cell r="L7426"/>
        </row>
        <row r="7427">
          <cell r="A7427"/>
          <cell r="D7427"/>
          <cell r="E7427"/>
          <cell r="F7427"/>
          <cell r="G7427"/>
          <cell r="H7427"/>
          <cell r="I7427"/>
          <cell r="J7427"/>
          <cell r="L7427"/>
        </row>
        <row r="7428">
          <cell r="A7428"/>
          <cell r="D7428"/>
          <cell r="E7428"/>
          <cell r="F7428"/>
          <cell r="G7428"/>
          <cell r="H7428"/>
          <cell r="I7428"/>
          <cell r="J7428"/>
          <cell r="L7428"/>
        </row>
        <row r="7429">
          <cell r="A7429"/>
          <cell r="D7429"/>
          <cell r="E7429"/>
          <cell r="F7429"/>
          <cell r="G7429"/>
          <cell r="H7429"/>
          <cell r="I7429"/>
          <cell r="J7429"/>
          <cell r="L7429"/>
        </row>
        <row r="7430">
          <cell r="A7430"/>
          <cell r="D7430"/>
          <cell r="E7430"/>
          <cell r="F7430"/>
          <cell r="G7430"/>
          <cell r="H7430"/>
          <cell r="I7430"/>
          <cell r="J7430"/>
          <cell r="L7430"/>
        </row>
        <row r="7431">
          <cell r="A7431"/>
          <cell r="D7431"/>
          <cell r="E7431"/>
          <cell r="F7431"/>
          <cell r="G7431"/>
          <cell r="H7431"/>
          <cell r="I7431"/>
          <cell r="J7431"/>
          <cell r="L7431"/>
        </row>
        <row r="7432">
          <cell r="A7432"/>
          <cell r="D7432"/>
          <cell r="E7432"/>
          <cell r="F7432"/>
          <cell r="G7432"/>
          <cell r="H7432"/>
          <cell r="I7432"/>
          <cell r="J7432"/>
          <cell r="L7432"/>
        </row>
        <row r="7433">
          <cell r="A7433"/>
          <cell r="D7433"/>
          <cell r="E7433"/>
          <cell r="F7433"/>
          <cell r="G7433"/>
          <cell r="H7433"/>
          <cell r="I7433"/>
          <cell r="J7433"/>
          <cell r="L7433"/>
        </row>
        <row r="7434">
          <cell r="A7434"/>
          <cell r="D7434"/>
          <cell r="E7434"/>
          <cell r="F7434"/>
          <cell r="G7434"/>
          <cell r="H7434"/>
          <cell r="I7434"/>
          <cell r="J7434"/>
          <cell r="L7434"/>
        </row>
        <row r="7435">
          <cell r="A7435"/>
          <cell r="D7435"/>
          <cell r="E7435"/>
          <cell r="F7435"/>
          <cell r="G7435"/>
          <cell r="H7435"/>
          <cell r="I7435"/>
          <cell r="J7435"/>
          <cell r="L7435"/>
        </row>
        <row r="7436">
          <cell r="A7436"/>
          <cell r="D7436"/>
          <cell r="E7436"/>
          <cell r="F7436"/>
          <cell r="G7436"/>
          <cell r="H7436"/>
          <cell r="I7436"/>
          <cell r="J7436"/>
          <cell r="L7436"/>
        </row>
        <row r="7437">
          <cell r="A7437"/>
          <cell r="D7437"/>
          <cell r="E7437"/>
          <cell r="F7437"/>
          <cell r="G7437"/>
          <cell r="H7437"/>
          <cell r="I7437"/>
          <cell r="J7437"/>
          <cell r="L7437"/>
        </row>
        <row r="7438">
          <cell r="A7438"/>
          <cell r="D7438"/>
          <cell r="E7438"/>
          <cell r="F7438"/>
          <cell r="G7438"/>
          <cell r="H7438"/>
          <cell r="I7438"/>
          <cell r="J7438"/>
          <cell r="L7438"/>
        </row>
        <row r="7439">
          <cell r="A7439"/>
          <cell r="D7439"/>
          <cell r="E7439"/>
          <cell r="F7439"/>
          <cell r="G7439"/>
          <cell r="H7439"/>
          <cell r="I7439"/>
          <cell r="J7439"/>
          <cell r="L7439"/>
        </row>
        <row r="7440">
          <cell r="A7440"/>
          <cell r="D7440"/>
          <cell r="E7440"/>
          <cell r="F7440"/>
          <cell r="G7440"/>
          <cell r="H7440"/>
          <cell r="I7440"/>
          <cell r="J7440"/>
          <cell r="L7440"/>
        </row>
        <row r="7441">
          <cell r="A7441"/>
          <cell r="D7441"/>
          <cell r="E7441"/>
          <cell r="F7441"/>
          <cell r="G7441"/>
          <cell r="H7441"/>
          <cell r="I7441"/>
          <cell r="J7441"/>
          <cell r="L7441"/>
        </row>
        <row r="7442">
          <cell r="A7442"/>
          <cell r="D7442"/>
          <cell r="E7442"/>
          <cell r="F7442"/>
          <cell r="G7442"/>
          <cell r="H7442"/>
          <cell r="I7442"/>
          <cell r="J7442"/>
          <cell r="L7442"/>
        </row>
        <row r="7443">
          <cell r="A7443"/>
          <cell r="D7443"/>
          <cell r="E7443"/>
          <cell r="F7443"/>
          <cell r="G7443"/>
          <cell r="H7443"/>
          <cell r="I7443"/>
          <cell r="J7443"/>
          <cell r="L7443"/>
        </row>
        <row r="7444">
          <cell r="A7444"/>
          <cell r="D7444"/>
          <cell r="E7444"/>
          <cell r="F7444"/>
          <cell r="G7444"/>
          <cell r="H7444"/>
          <cell r="I7444"/>
          <cell r="J7444"/>
          <cell r="L7444"/>
        </row>
        <row r="7445">
          <cell r="A7445"/>
          <cell r="D7445"/>
          <cell r="E7445"/>
          <cell r="F7445"/>
          <cell r="G7445"/>
          <cell r="H7445"/>
          <cell r="I7445"/>
          <cell r="J7445"/>
          <cell r="L7445"/>
        </row>
        <row r="7446">
          <cell r="A7446"/>
          <cell r="D7446"/>
          <cell r="E7446"/>
          <cell r="F7446"/>
          <cell r="G7446"/>
          <cell r="H7446"/>
          <cell r="I7446"/>
          <cell r="J7446"/>
          <cell r="L7446"/>
        </row>
        <row r="7447">
          <cell r="A7447"/>
          <cell r="D7447"/>
          <cell r="E7447"/>
          <cell r="F7447"/>
          <cell r="G7447"/>
          <cell r="H7447"/>
          <cell r="I7447"/>
          <cell r="J7447"/>
          <cell r="L7447"/>
        </row>
        <row r="7448">
          <cell r="A7448"/>
          <cell r="D7448"/>
          <cell r="E7448"/>
          <cell r="F7448"/>
          <cell r="G7448"/>
          <cell r="H7448"/>
          <cell r="I7448"/>
          <cell r="J7448"/>
          <cell r="L7448"/>
        </row>
        <row r="7449">
          <cell r="A7449"/>
          <cell r="D7449"/>
          <cell r="E7449"/>
          <cell r="F7449"/>
          <cell r="G7449"/>
          <cell r="H7449"/>
          <cell r="I7449"/>
          <cell r="J7449"/>
          <cell r="L7449"/>
        </row>
        <row r="7450">
          <cell r="A7450"/>
          <cell r="D7450"/>
          <cell r="E7450"/>
          <cell r="F7450"/>
          <cell r="G7450"/>
          <cell r="H7450"/>
          <cell r="I7450"/>
          <cell r="J7450"/>
          <cell r="L7450"/>
        </row>
        <row r="7451">
          <cell r="A7451"/>
          <cell r="D7451"/>
          <cell r="E7451"/>
          <cell r="F7451"/>
          <cell r="G7451"/>
          <cell r="H7451"/>
          <cell r="I7451"/>
          <cell r="J7451"/>
          <cell r="L7451"/>
        </row>
        <row r="7452">
          <cell r="A7452"/>
          <cell r="D7452"/>
          <cell r="E7452"/>
          <cell r="F7452"/>
          <cell r="G7452"/>
          <cell r="H7452"/>
          <cell r="I7452"/>
          <cell r="J7452"/>
          <cell r="L7452"/>
        </row>
        <row r="7453">
          <cell r="A7453"/>
          <cell r="D7453"/>
          <cell r="E7453"/>
          <cell r="F7453"/>
          <cell r="G7453"/>
          <cell r="H7453"/>
          <cell r="I7453"/>
          <cell r="J7453"/>
          <cell r="L7453"/>
        </row>
        <row r="7454">
          <cell r="A7454"/>
          <cell r="D7454"/>
          <cell r="E7454"/>
          <cell r="F7454"/>
          <cell r="G7454"/>
          <cell r="H7454"/>
          <cell r="I7454"/>
          <cell r="J7454"/>
          <cell r="L7454"/>
        </row>
        <row r="7455">
          <cell r="A7455"/>
          <cell r="D7455"/>
          <cell r="E7455"/>
          <cell r="F7455"/>
          <cell r="G7455"/>
          <cell r="H7455"/>
          <cell r="I7455"/>
          <cell r="J7455"/>
          <cell r="L7455"/>
        </row>
        <row r="7456">
          <cell r="A7456"/>
          <cell r="D7456"/>
          <cell r="E7456"/>
          <cell r="F7456"/>
          <cell r="G7456"/>
          <cell r="H7456"/>
          <cell r="I7456"/>
          <cell r="J7456"/>
          <cell r="L7456"/>
        </row>
        <row r="7457">
          <cell r="A7457"/>
          <cell r="D7457"/>
          <cell r="E7457"/>
          <cell r="F7457"/>
          <cell r="G7457"/>
          <cell r="H7457"/>
          <cell r="I7457"/>
          <cell r="J7457"/>
          <cell r="L7457"/>
        </row>
        <row r="7458">
          <cell r="A7458"/>
          <cell r="D7458"/>
          <cell r="E7458"/>
          <cell r="F7458"/>
          <cell r="G7458"/>
          <cell r="H7458"/>
          <cell r="I7458"/>
          <cell r="J7458"/>
          <cell r="L7458"/>
        </row>
        <row r="7459">
          <cell r="A7459"/>
          <cell r="D7459"/>
          <cell r="E7459"/>
          <cell r="F7459"/>
          <cell r="G7459"/>
          <cell r="H7459"/>
          <cell r="I7459"/>
          <cell r="J7459"/>
          <cell r="L7459"/>
        </row>
        <row r="7460">
          <cell r="A7460"/>
          <cell r="D7460"/>
          <cell r="E7460"/>
          <cell r="F7460"/>
          <cell r="G7460"/>
          <cell r="H7460"/>
          <cell r="I7460"/>
          <cell r="J7460"/>
          <cell r="L7460"/>
        </row>
        <row r="7461">
          <cell r="A7461"/>
          <cell r="D7461"/>
          <cell r="E7461"/>
          <cell r="F7461"/>
          <cell r="G7461"/>
          <cell r="H7461"/>
          <cell r="I7461"/>
          <cell r="J7461"/>
          <cell r="L7461"/>
        </row>
        <row r="7462">
          <cell r="A7462"/>
          <cell r="D7462"/>
          <cell r="E7462"/>
          <cell r="F7462"/>
          <cell r="G7462"/>
          <cell r="H7462"/>
          <cell r="I7462"/>
          <cell r="J7462"/>
          <cell r="L7462"/>
        </row>
        <row r="7463">
          <cell r="A7463"/>
          <cell r="D7463"/>
          <cell r="E7463"/>
          <cell r="F7463"/>
          <cell r="G7463"/>
          <cell r="H7463"/>
          <cell r="I7463"/>
          <cell r="J7463"/>
          <cell r="L7463"/>
        </row>
        <row r="7464">
          <cell r="A7464"/>
          <cell r="D7464"/>
          <cell r="E7464"/>
          <cell r="F7464"/>
          <cell r="G7464"/>
          <cell r="H7464"/>
          <cell r="I7464"/>
          <cell r="J7464"/>
          <cell r="L7464"/>
        </row>
        <row r="7465">
          <cell r="A7465"/>
          <cell r="D7465"/>
          <cell r="E7465"/>
          <cell r="F7465"/>
          <cell r="G7465"/>
          <cell r="H7465"/>
          <cell r="I7465"/>
          <cell r="J7465"/>
          <cell r="L7465"/>
        </row>
        <row r="7466">
          <cell r="A7466"/>
          <cell r="D7466"/>
          <cell r="E7466"/>
          <cell r="F7466"/>
          <cell r="G7466"/>
          <cell r="H7466"/>
          <cell r="I7466"/>
          <cell r="J7466"/>
          <cell r="L7466"/>
        </row>
        <row r="7467">
          <cell r="A7467"/>
          <cell r="D7467"/>
          <cell r="E7467"/>
          <cell r="F7467"/>
          <cell r="G7467"/>
          <cell r="H7467"/>
          <cell r="I7467"/>
          <cell r="J7467"/>
          <cell r="L7467"/>
        </row>
        <row r="7468">
          <cell r="A7468"/>
          <cell r="D7468"/>
          <cell r="E7468"/>
          <cell r="F7468"/>
          <cell r="G7468"/>
          <cell r="H7468"/>
          <cell r="I7468"/>
          <cell r="J7468"/>
          <cell r="L7468"/>
        </row>
        <row r="7469">
          <cell r="A7469"/>
          <cell r="D7469"/>
          <cell r="E7469"/>
          <cell r="F7469"/>
          <cell r="G7469"/>
          <cell r="H7469"/>
          <cell r="I7469"/>
          <cell r="J7469"/>
          <cell r="L7469"/>
        </row>
        <row r="7470">
          <cell r="A7470"/>
          <cell r="D7470"/>
          <cell r="E7470"/>
          <cell r="F7470"/>
          <cell r="G7470"/>
          <cell r="H7470"/>
          <cell r="I7470"/>
          <cell r="J7470"/>
          <cell r="L7470"/>
        </row>
        <row r="7471">
          <cell r="A7471"/>
          <cell r="D7471"/>
          <cell r="E7471"/>
          <cell r="F7471"/>
          <cell r="G7471"/>
          <cell r="H7471"/>
          <cell r="I7471"/>
          <cell r="J7471"/>
          <cell r="L7471"/>
        </row>
        <row r="7472">
          <cell r="A7472"/>
          <cell r="D7472"/>
          <cell r="E7472"/>
          <cell r="F7472"/>
          <cell r="G7472"/>
          <cell r="H7472"/>
          <cell r="I7472"/>
          <cell r="J7472"/>
          <cell r="L7472"/>
        </row>
        <row r="7473">
          <cell r="A7473"/>
          <cell r="D7473"/>
          <cell r="E7473"/>
          <cell r="F7473"/>
          <cell r="G7473"/>
          <cell r="H7473"/>
          <cell r="I7473"/>
          <cell r="J7473"/>
          <cell r="L7473"/>
        </row>
        <row r="7474">
          <cell r="A7474"/>
          <cell r="D7474"/>
          <cell r="E7474"/>
          <cell r="F7474"/>
          <cell r="G7474"/>
          <cell r="H7474"/>
          <cell r="I7474"/>
          <cell r="J7474"/>
          <cell r="L7474"/>
        </row>
        <row r="7475">
          <cell r="A7475"/>
          <cell r="D7475"/>
          <cell r="E7475"/>
          <cell r="F7475"/>
          <cell r="G7475"/>
          <cell r="H7475"/>
          <cell r="I7475"/>
          <cell r="J7475"/>
          <cell r="L7475"/>
        </row>
        <row r="7476">
          <cell r="A7476"/>
          <cell r="D7476"/>
          <cell r="E7476"/>
          <cell r="F7476"/>
          <cell r="G7476"/>
          <cell r="H7476"/>
          <cell r="I7476"/>
          <cell r="J7476"/>
          <cell r="L7476"/>
        </row>
        <row r="7477">
          <cell r="A7477"/>
          <cell r="D7477"/>
          <cell r="E7477"/>
          <cell r="F7477"/>
          <cell r="G7477"/>
          <cell r="H7477"/>
          <cell r="I7477"/>
          <cell r="J7477"/>
          <cell r="L7477"/>
        </row>
        <row r="7478">
          <cell r="A7478"/>
          <cell r="D7478"/>
          <cell r="E7478"/>
          <cell r="F7478"/>
          <cell r="G7478"/>
          <cell r="H7478"/>
          <cell r="I7478"/>
          <cell r="J7478"/>
          <cell r="L7478"/>
        </row>
        <row r="7479">
          <cell r="A7479"/>
          <cell r="D7479"/>
          <cell r="E7479"/>
          <cell r="F7479"/>
          <cell r="G7479"/>
          <cell r="H7479"/>
          <cell r="I7479"/>
          <cell r="J7479"/>
          <cell r="L7479"/>
        </row>
        <row r="7480">
          <cell r="A7480"/>
          <cell r="D7480"/>
          <cell r="E7480"/>
          <cell r="F7480"/>
          <cell r="G7480"/>
          <cell r="H7480"/>
          <cell r="I7480"/>
          <cell r="J7480"/>
          <cell r="L7480"/>
        </row>
        <row r="7481">
          <cell r="A7481"/>
          <cell r="D7481"/>
          <cell r="E7481"/>
          <cell r="F7481"/>
          <cell r="G7481"/>
          <cell r="H7481"/>
          <cell r="I7481"/>
          <cell r="J7481"/>
          <cell r="L7481"/>
        </row>
        <row r="7482">
          <cell r="A7482"/>
          <cell r="D7482"/>
          <cell r="E7482"/>
          <cell r="F7482"/>
          <cell r="G7482"/>
          <cell r="H7482"/>
          <cell r="I7482"/>
          <cell r="J7482"/>
          <cell r="L7482"/>
        </row>
        <row r="7483">
          <cell r="A7483"/>
          <cell r="D7483"/>
          <cell r="E7483"/>
          <cell r="F7483"/>
          <cell r="G7483"/>
          <cell r="H7483"/>
          <cell r="I7483"/>
          <cell r="J7483"/>
          <cell r="L7483"/>
        </row>
        <row r="7484">
          <cell r="A7484"/>
          <cell r="D7484"/>
          <cell r="E7484"/>
          <cell r="F7484"/>
          <cell r="G7484"/>
          <cell r="H7484"/>
          <cell r="I7484"/>
          <cell r="J7484"/>
          <cell r="L7484"/>
        </row>
        <row r="7485">
          <cell r="A7485"/>
          <cell r="D7485"/>
          <cell r="E7485"/>
          <cell r="F7485"/>
          <cell r="G7485"/>
          <cell r="H7485"/>
          <cell r="I7485"/>
          <cell r="J7485"/>
          <cell r="L7485"/>
        </row>
        <row r="7486">
          <cell r="A7486"/>
          <cell r="D7486"/>
          <cell r="E7486"/>
          <cell r="F7486"/>
          <cell r="G7486"/>
          <cell r="H7486"/>
          <cell r="I7486"/>
          <cell r="J7486"/>
          <cell r="L7486"/>
        </row>
        <row r="7487">
          <cell r="A7487"/>
          <cell r="D7487"/>
          <cell r="E7487"/>
          <cell r="F7487"/>
          <cell r="G7487"/>
          <cell r="H7487"/>
          <cell r="I7487"/>
          <cell r="J7487"/>
          <cell r="L7487"/>
        </row>
        <row r="7488">
          <cell r="A7488"/>
          <cell r="D7488"/>
          <cell r="E7488"/>
          <cell r="F7488"/>
          <cell r="G7488"/>
          <cell r="H7488"/>
          <cell r="I7488"/>
          <cell r="J7488"/>
          <cell r="L7488"/>
        </row>
        <row r="7489">
          <cell r="A7489"/>
          <cell r="D7489"/>
          <cell r="E7489"/>
          <cell r="F7489"/>
          <cell r="G7489"/>
          <cell r="H7489"/>
          <cell r="I7489"/>
          <cell r="J7489"/>
          <cell r="L7489"/>
        </row>
        <row r="7490">
          <cell r="A7490"/>
          <cell r="D7490"/>
          <cell r="E7490"/>
          <cell r="F7490"/>
          <cell r="G7490"/>
          <cell r="H7490"/>
          <cell r="I7490"/>
          <cell r="J7490"/>
          <cell r="L7490"/>
        </row>
        <row r="7491">
          <cell r="A7491"/>
          <cell r="D7491"/>
          <cell r="E7491"/>
          <cell r="F7491"/>
          <cell r="G7491"/>
          <cell r="H7491"/>
          <cell r="I7491"/>
          <cell r="J7491"/>
          <cell r="L7491"/>
        </row>
        <row r="7492">
          <cell r="A7492"/>
          <cell r="D7492"/>
          <cell r="E7492"/>
          <cell r="F7492"/>
          <cell r="G7492"/>
          <cell r="H7492"/>
          <cell r="I7492"/>
          <cell r="J7492"/>
          <cell r="L7492"/>
        </row>
        <row r="7493">
          <cell r="A7493"/>
          <cell r="D7493"/>
          <cell r="E7493"/>
          <cell r="F7493"/>
          <cell r="G7493"/>
          <cell r="H7493"/>
          <cell r="I7493"/>
          <cell r="J7493"/>
          <cell r="L7493"/>
        </row>
        <row r="7494">
          <cell r="A7494"/>
          <cell r="D7494"/>
          <cell r="E7494"/>
          <cell r="F7494"/>
          <cell r="G7494"/>
          <cell r="H7494"/>
          <cell r="I7494"/>
          <cell r="J7494"/>
          <cell r="L7494"/>
        </row>
        <row r="7495">
          <cell r="A7495"/>
          <cell r="D7495"/>
          <cell r="E7495"/>
          <cell r="F7495"/>
          <cell r="G7495"/>
          <cell r="H7495"/>
          <cell r="I7495"/>
          <cell r="J7495"/>
          <cell r="L7495"/>
        </row>
        <row r="7496">
          <cell r="A7496"/>
          <cell r="D7496"/>
          <cell r="E7496"/>
          <cell r="F7496"/>
          <cell r="G7496"/>
          <cell r="H7496"/>
          <cell r="I7496"/>
          <cell r="J7496"/>
          <cell r="L7496"/>
        </row>
        <row r="7497">
          <cell r="A7497"/>
          <cell r="D7497"/>
          <cell r="E7497"/>
          <cell r="F7497"/>
          <cell r="G7497"/>
          <cell r="H7497"/>
          <cell r="I7497"/>
          <cell r="J7497"/>
          <cell r="L7497"/>
        </row>
        <row r="7498">
          <cell r="A7498"/>
          <cell r="D7498"/>
          <cell r="E7498"/>
          <cell r="F7498"/>
          <cell r="G7498"/>
          <cell r="H7498"/>
          <cell r="I7498"/>
          <cell r="J7498"/>
          <cell r="L7498"/>
        </row>
        <row r="7499">
          <cell r="A7499"/>
          <cell r="D7499"/>
          <cell r="E7499"/>
          <cell r="F7499"/>
          <cell r="G7499"/>
          <cell r="H7499"/>
          <cell r="I7499"/>
          <cell r="J7499"/>
          <cell r="L7499"/>
        </row>
        <row r="7500">
          <cell r="A7500"/>
          <cell r="D7500"/>
          <cell r="E7500"/>
          <cell r="F7500"/>
          <cell r="G7500"/>
          <cell r="H7500"/>
          <cell r="I7500"/>
          <cell r="J7500"/>
          <cell r="L7500"/>
        </row>
        <row r="7501">
          <cell r="A7501"/>
          <cell r="D7501"/>
          <cell r="E7501"/>
          <cell r="F7501"/>
          <cell r="G7501"/>
          <cell r="H7501"/>
          <cell r="I7501"/>
          <cell r="J7501"/>
          <cell r="L7501"/>
        </row>
        <row r="7502">
          <cell r="A7502"/>
          <cell r="D7502"/>
          <cell r="E7502"/>
          <cell r="F7502"/>
          <cell r="G7502"/>
          <cell r="H7502"/>
          <cell r="I7502"/>
          <cell r="J7502"/>
          <cell r="L7502"/>
        </row>
        <row r="7503">
          <cell r="A7503"/>
          <cell r="D7503"/>
          <cell r="E7503"/>
          <cell r="F7503"/>
          <cell r="G7503"/>
          <cell r="H7503"/>
          <cell r="I7503"/>
          <cell r="J7503"/>
          <cell r="L7503"/>
        </row>
        <row r="7504">
          <cell r="A7504"/>
          <cell r="D7504"/>
          <cell r="E7504"/>
          <cell r="F7504"/>
          <cell r="G7504"/>
          <cell r="H7504"/>
          <cell r="I7504"/>
          <cell r="J7504"/>
          <cell r="L7504"/>
        </row>
        <row r="7505">
          <cell r="A7505"/>
          <cell r="D7505"/>
          <cell r="E7505"/>
          <cell r="F7505"/>
          <cell r="G7505"/>
          <cell r="H7505"/>
          <cell r="I7505"/>
          <cell r="J7505"/>
          <cell r="L7505"/>
        </row>
        <row r="7506">
          <cell r="A7506"/>
          <cell r="D7506"/>
          <cell r="E7506"/>
          <cell r="F7506"/>
          <cell r="G7506"/>
          <cell r="H7506"/>
          <cell r="I7506"/>
          <cell r="J7506"/>
          <cell r="L7506"/>
        </row>
        <row r="7507">
          <cell r="A7507"/>
          <cell r="D7507"/>
          <cell r="E7507"/>
          <cell r="F7507"/>
          <cell r="G7507"/>
          <cell r="H7507"/>
          <cell r="I7507"/>
          <cell r="J7507"/>
          <cell r="L7507"/>
        </row>
        <row r="7508">
          <cell r="A7508"/>
          <cell r="D7508"/>
          <cell r="E7508"/>
          <cell r="F7508"/>
          <cell r="G7508"/>
          <cell r="H7508"/>
          <cell r="I7508"/>
          <cell r="J7508"/>
          <cell r="L7508"/>
        </row>
        <row r="7509">
          <cell r="A7509"/>
          <cell r="D7509"/>
          <cell r="E7509"/>
          <cell r="F7509"/>
          <cell r="G7509"/>
          <cell r="H7509"/>
          <cell r="I7509"/>
          <cell r="J7509"/>
          <cell r="L7509"/>
        </row>
        <row r="7510">
          <cell r="A7510"/>
          <cell r="D7510"/>
          <cell r="E7510"/>
          <cell r="F7510"/>
          <cell r="G7510"/>
          <cell r="H7510"/>
          <cell r="I7510"/>
          <cell r="J7510"/>
          <cell r="L7510"/>
        </row>
        <row r="7511">
          <cell r="A7511"/>
          <cell r="D7511"/>
          <cell r="E7511"/>
          <cell r="F7511"/>
          <cell r="G7511"/>
          <cell r="H7511"/>
          <cell r="I7511"/>
          <cell r="J7511"/>
          <cell r="L7511"/>
        </row>
        <row r="7512">
          <cell r="A7512"/>
          <cell r="D7512"/>
          <cell r="E7512"/>
          <cell r="F7512"/>
          <cell r="G7512"/>
          <cell r="H7512"/>
          <cell r="I7512"/>
          <cell r="J7512"/>
          <cell r="L7512"/>
        </row>
        <row r="7513">
          <cell r="A7513"/>
          <cell r="D7513"/>
          <cell r="E7513"/>
          <cell r="F7513"/>
          <cell r="G7513"/>
          <cell r="H7513"/>
          <cell r="I7513"/>
          <cell r="J7513"/>
          <cell r="L7513"/>
        </row>
        <row r="7514">
          <cell r="A7514"/>
          <cell r="D7514"/>
          <cell r="E7514"/>
          <cell r="F7514"/>
          <cell r="G7514"/>
          <cell r="H7514"/>
          <cell r="I7514"/>
          <cell r="J7514"/>
          <cell r="L7514"/>
        </row>
        <row r="7515">
          <cell r="A7515"/>
          <cell r="D7515"/>
          <cell r="E7515"/>
          <cell r="F7515"/>
          <cell r="G7515"/>
          <cell r="H7515"/>
          <cell r="I7515"/>
          <cell r="J7515"/>
          <cell r="L7515"/>
        </row>
        <row r="7516">
          <cell r="A7516"/>
          <cell r="D7516"/>
          <cell r="E7516"/>
          <cell r="F7516"/>
          <cell r="G7516"/>
          <cell r="H7516"/>
          <cell r="I7516"/>
          <cell r="J7516"/>
          <cell r="L7516"/>
        </row>
        <row r="7517">
          <cell r="A7517"/>
          <cell r="D7517"/>
          <cell r="E7517"/>
          <cell r="F7517"/>
          <cell r="G7517"/>
          <cell r="H7517"/>
          <cell r="I7517"/>
          <cell r="J7517"/>
          <cell r="L7517"/>
        </row>
        <row r="7518">
          <cell r="A7518"/>
          <cell r="D7518"/>
          <cell r="E7518"/>
          <cell r="F7518"/>
          <cell r="G7518"/>
          <cell r="H7518"/>
          <cell r="I7518"/>
          <cell r="J7518"/>
          <cell r="L7518"/>
        </row>
        <row r="7519">
          <cell r="A7519"/>
          <cell r="D7519"/>
          <cell r="E7519"/>
          <cell r="F7519"/>
          <cell r="G7519"/>
          <cell r="H7519"/>
          <cell r="I7519"/>
          <cell r="J7519"/>
          <cell r="L7519"/>
        </row>
        <row r="7520">
          <cell r="A7520"/>
          <cell r="D7520"/>
          <cell r="E7520"/>
          <cell r="F7520"/>
          <cell r="G7520"/>
          <cell r="H7520"/>
          <cell r="I7520"/>
          <cell r="J7520"/>
          <cell r="L7520"/>
        </row>
        <row r="7521">
          <cell r="A7521"/>
          <cell r="D7521"/>
          <cell r="E7521"/>
          <cell r="F7521"/>
          <cell r="G7521"/>
          <cell r="H7521"/>
          <cell r="I7521"/>
          <cell r="J7521"/>
          <cell r="L7521"/>
        </row>
        <row r="7522">
          <cell r="A7522"/>
          <cell r="D7522"/>
          <cell r="E7522"/>
          <cell r="F7522"/>
          <cell r="G7522"/>
          <cell r="H7522"/>
          <cell r="I7522"/>
          <cell r="J7522"/>
          <cell r="L7522"/>
        </row>
        <row r="7523">
          <cell r="A7523"/>
          <cell r="D7523"/>
          <cell r="E7523"/>
          <cell r="F7523"/>
          <cell r="G7523"/>
          <cell r="H7523"/>
          <cell r="I7523"/>
          <cell r="J7523"/>
          <cell r="L7523"/>
        </row>
        <row r="7524">
          <cell r="A7524"/>
          <cell r="D7524"/>
          <cell r="E7524"/>
          <cell r="F7524"/>
          <cell r="G7524"/>
          <cell r="H7524"/>
          <cell r="I7524"/>
          <cell r="J7524"/>
          <cell r="L7524"/>
        </row>
        <row r="7525">
          <cell r="A7525"/>
          <cell r="D7525"/>
          <cell r="E7525"/>
          <cell r="F7525"/>
          <cell r="G7525"/>
          <cell r="H7525"/>
          <cell r="I7525"/>
          <cell r="J7525"/>
          <cell r="L7525"/>
        </row>
        <row r="7526">
          <cell r="A7526"/>
          <cell r="D7526"/>
          <cell r="E7526"/>
          <cell r="F7526"/>
          <cell r="G7526"/>
          <cell r="H7526"/>
          <cell r="I7526"/>
          <cell r="J7526"/>
          <cell r="L7526"/>
        </row>
        <row r="7527">
          <cell r="A7527"/>
          <cell r="D7527"/>
          <cell r="E7527"/>
          <cell r="F7527"/>
          <cell r="G7527"/>
          <cell r="H7527"/>
          <cell r="I7527"/>
          <cell r="J7527"/>
          <cell r="L7527"/>
        </row>
        <row r="7528">
          <cell r="A7528"/>
          <cell r="D7528"/>
          <cell r="E7528"/>
          <cell r="F7528"/>
          <cell r="G7528"/>
          <cell r="H7528"/>
          <cell r="I7528"/>
          <cell r="J7528"/>
          <cell r="L7528"/>
        </row>
        <row r="7529">
          <cell r="A7529"/>
          <cell r="D7529"/>
          <cell r="E7529"/>
          <cell r="F7529"/>
          <cell r="G7529"/>
          <cell r="H7529"/>
          <cell r="I7529"/>
          <cell r="J7529"/>
          <cell r="L7529"/>
        </row>
        <row r="7530">
          <cell r="A7530"/>
          <cell r="D7530"/>
          <cell r="E7530"/>
          <cell r="F7530"/>
          <cell r="G7530"/>
          <cell r="H7530"/>
          <cell r="I7530"/>
          <cell r="J7530"/>
          <cell r="L7530"/>
        </row>
        <row r="7531">
          <cell r="A7531"/>
          <cell r="D7531"/>
          <cell r="E7531"/>
          <cell r="F7531"/>
          <cell r="G7531"/>
          <cell r="H7531"/>
          <cell r="I7531"/>
          <cell r="J7531"/>
          <cell r="L7531"/>
        </row>
        <row r="7532">
          <cell r="A7532"/>
          <cell r="D7532"/>
          <cell r="E7532"/>
          <cell r="F7532"/>
          <cell r="G7532"/>
          <cell r="H7532"/>
          <cell r="I7532"/>
          <cell r="J7532"/>
          <cell r="L7532"/>
        </row>
        <row r="7533">
          <cell r="A7533"/>
          <cell r="D7533"/>
          <cell r="E7533"/>
          <cell r="F7533"/>
          <cell r="G7533"/>
          <cell r="H7533"/>
          <cell r="I7533"/>
          <cell r="J7533"/>
          <cell r="L7533"/>
        </row>
        <row r="7534">
          <cell r="A7534"/>
          <cell r="D7534"/>
          <cell r="E7534"/>
          <cell r="F7534"/>
          <cell r="G7534"/>
          <cell r="H7534"/>
          <cell r="I7534"/>
          <cell r="J7534"/>
          <cell r="L7534"/>
        </row>
        <row r="7535">
          <cell r="A7535"/>
          <cell r="D7535"/>
          <cell r="E7535"/>
          <cell r="F7535"/>
          <cell r="G7535"/>
          <cell r="H7535"/>
          <cell r="I7535"/>
          <cell r="J7535"/>
          <cell r="L7535"/>
        </row>
        <row r="7536">
          <cell r="A7536"/>
          <cell r="D7536"/>
          <cell r="E7536"/>
          <cell r="F7536"/>
          <cell r="G7536"/>
          <cell r="H7536"/>
          <cell r="I7536"/>
          <cell r="J7536"/>
          <cell r="L7536"/>
        </row>
        <row r="7537">
          <cell r="A7537"/>
          <cell r="D7537"/>
          <cell r="E7537"/>
          <cell r="F7537"/>
          <cell r="G7537"/>
          <cell r="H7537"/>
          <cell r="I7537"/>
          <cell r="J7537"/>
          <cell r="L7537"/>
        </row>
        <row r="7538">
          <cell r="A7538"/>
          <cell r="D7538"/>
          <cell r="E7538"/>
          <cell r="F7538"/>
          <cell r="G7538"/>
          <cell r="H7538"/>
          <cell r="I7538"/>
          <cell r="J7538"/>
          <cell r="L7538"/>
        </row>
        <row r="7539">
          <cell r="A7539"/>
          <cell r="D7539"/>
          <cell r="E7539"/>
          <cell r="F7539"/>
          <cell r="G7539"/>
          <cell r="H7539"/>
          <cell r="I7539"/>
          <cell r="J7539"/>
          <cell r="L7539"/>
        </row>
        <row r="7540">
          <cell r="A7540"/>
          <cell r="D7540"/>
          <cell r="E7540"/>
          <cell r="F7540"/>
          <cell r="G7540"/>
          <cell r="H7540"/>
          <cell r="I7540"/>
          <cell r="J7540"/>
          <cell r="L7540"/>
        </row>
        <row r="7541">
          <cell r="A7541"/>
          <cell r="D7541"/>
          <cell r="E7541"/>
          <cell r="F7541"/>
          <cell r="G7541"/>
          <cell r="H7541"/>
          <cell r="I7541"/>
          <cell r="J7541"/>
          <cell r="L7541"/>
        </row>
        <row r="7542">
          <cell r="A7542"/>
          <cell r="D7542"/>
          <cell r="E7542"/>
          <cell r="F7542"/>
          <cell r="G7542"/>
          <cell r="H7542"/>
          <cell r="I7542"/>
          <cell r="J7542"/>
          <cell r="L7542"/>
        </row>
        <row r="7543">
          <cell r="A7543"/>
          <cell r="D7543"/>
          <cell r="E7543"/>
          <cell r="F7543"/>
          <cell r="G7543"/>
          <cell r="H7543"/>
          <cell r="I7543"/>
          <cell r="J7543"/>
          <cell r="L7543"/>
        </row>
        <row r="7544">
          <cell r="A7544"/>
          <cell r="D7544"/>
          <cell r="E7544"/>
          <cell r="F7544"/>
          <cell r="G7544"/>
          <cell r="H7544"/>
          <cell r="I7544"/>
          <cell r="J7544"/>
          <cell r="L7544"/>
        </row>
        <row r="7545">
          <cell r="A7545"/>
          <cell r="D7545"/>
          <cell r="E7545"/>
          <cell r="F7545"/>
          <cell r="G7545"/>
          <cell r="H7545"/>
          <cell r="I7545"/>
          <cell r="J7545"/>
          <cell r="L7545"/>
        </row>
        <row r="7546">
          <cell r="A7546"/>
          <cell r="D7546"/>
          <cell r="E7546"/>
          <cell r="F7546"/>
          <cell r="G7546"/>
          <cell r="H7546"/>
          <cell r="I7546"/>
          <cell r="J7546"/>
          <cell r="L7546"/>
        </row>
        <row r="7547">
          <cell r="A7547"/>
          <cell r="D7547"/>
          <cell r="E7547"/>
          <cell r="F7547"/>
          <cell r="G7547"/>
          <cell r="H7547"/>
          <cell r="I7547"/>
          <cell r="J7547"/>
          <cell r="L7547"/>
        </row>
        <row r="7548">
          <cell r="A7548"/>
          <cell r="D7548"/>
          <cell r="E7548"/>
          <cell r="F7548"/>
          <cell r="G7548"/>
          <cell r="H7548"/>
          <cell r="I7548"/>
          <cell r="J7548"/>
          <cell r="L7548"/>
        </row>
        <row r="7549">
          <cell r="A7549"/>
          <cell r="D7549"/>
          <cell r="E7549"/>
          <cell r="F7549"/>
          <cell r="G7549"/>
          <cell r="H7549"/>
          <cell r="I7549"/>
          <cell r="J7549"/>
          <cell r="L7549"/>
        </row>
        <row r="7550">
          <cell r="A7550"/>
          <cell r="D7550"/>
          <cell r="E7550"/>
          <cell r="F7550"/>
          <cell r="G7550"/>
          <cell r="H7550"/>
          <cell r="I7550"/>
          <cell r="J7550"/>
          <cell r="L7550"/>
        </row>
        <row r="7551">
          <cell r="A7551"/>
          <cell r="D7551"/>
          <cell r="E7551"/>
          <cell r="F7551"/>
          <cell r="G7551"/>
          <cell r="H7551"/>
          <cell r="I7551"/>
          <cell r="J7551"/>
          <cell r="L7551"/>
        </row>
        <row r="7552">
          <cell r="A7552"/>
          <cell r="D7552"/>
          <cell r="E7552"/>
          <cell r="F7552"/>
          <cell r="G7552"/>
          <cell r="H7552"/>
          <cell r="I7552"/>
          <cell r="J7552"/>
          <cell r="L7552"/>
        </row>
        <row r="7553">
          <cell r="A7553"/>
          <cell r="D7553"/>
          <cell r="E7553"/>
          <cell r="F7553"/>
          <cell r="G7553"/>
          <cell r="H7553"/>
          <cell r="I7553"/>
          <cell r="J7553"/>
          <cell r="L7553"/>
        </row>
        <row r="7554">
          <cell r="A7554"/>
          <cell r="D7554"/>
          <cell r="E7554"/>
          <cell r="F7554"/>
          <cell r="G7554"/>
          <cell r="H7554"/>
          <cell r="I7554"/>
          <cell r="J7554"/>
          <cell r="L7554"/>
        </row>
        <row r="7555">
          <cell r="A7555"/>
          <cell r="D7555"/>
          <cell r="E7555"/>
          <cell r="F7555"/>
          <cell r="G7555"/>
          <cell r="H7555"/>
          <cell r="I7555"/>
          <cell r="J7555"/>
          <cell r="L7555"/>
        </row>
        <row r="7556">
          <cell r="A7556"/>
          <cell r="D7556"/>
          <cell r="E7556"/>
          <cell r="F7556"/>
          <cell r="G7556"/>
          <cell r="H7556"/>
          <cell r="I7556"/>
          <cell r="J7556"/>
          <cell r="L7556"/>
        </row>
        <row r="7557">
          <cell r="A7557"/>
          <cell r="D7557"/>
          <cell r="E7557"/>
          <cell r="F7557"/>
          <cell r="G7557"/>
          <cell r="H7557"/>
          <cell r="I7557"/>
          <cell r="J7557"/>
          <cell r="L7557"/>
        </row>
        <row r="7558">
          <cell r="A7558"/>
          <cell r="D7558"/>
          <cell r="E7558"/>
          <cell r="F7558"/>
          <cell r="G7558"/>
          <cell r="H7558"/>
          <cell r="I7558"/>
          <cell r="J7558"/>
          <cell r="L7558"/>
        </row>
        <row r="7559">
          <cell r="A7559"/>
          <cell r="D7559"/>
          <cell r="E7559"/>
          <cell r="F7559"/>
          <cell r="G7559"/>
          <cell r="H7559"/>
          <cell r="I7559"/>
          <cell r="J7559"/>
          <cell r="L7559"/>
        </row>
        <row r="7560">
          <cell r="A7560"/>
          <cell r="D7560"/>
          <cell r="E7560"/>
          <cell r="F7560"/>
          <cell r="G7560"/>
          <cell r="H7560"/>
          <cell r="I7560"/>
          <cell r="J7560"/>
          <cell r="L7560"/>
        </row>
        <row r="7561">
          <cell r="A7561"/>
          <cell r="D7561"/>
          <cell r="E7561"/>
          <cell r="F7561"/>
          <cell r="G7561"/>
          <cell r="H7561"/>
          <cell r="I7561"/>
          <cell r="J7561"/>
          <cell r="L7561"/>
        </row>
        <row r="7562">
          <cell r="A7562"/>
          <cell r="D7562"/>
          <cell r="E7562"/>
          <cell r="F7562"/>
          <cell r="G7562"/>
          <cell r="H7562"/>
          <cell r="I7562"/>
          <cell r="J7562"/>
          <cell r="L7562"/>
        </row>
        <row r="7563">
          <cell r="A7563"/>
          <cell r="D7563"/>
          <cell r="E7563"/>
          <cell r="F7563"/>
          <cell r="G7563"/>
          <cell r="H7563"/>
          <cell r="I7563"/>
          <cell r="J7563"/>
          <cell r="L7563"/>
        </row>
        <row r="7564">
          <cell r="A7564"/>
          <cell r="D7564"/>
          <cell r="E7564"/>
          <cell r="F7564"/>
          <cell r="G7564"/>
          <cell r="H7564"/>
          <cell r="I7564"/>
          <cell r="J7564"/>
          <cell r="L7564"/>
        </row>
        <row r="7565">
          <cell r="A7565"/>
          <cell r="D7565"/>
          <cell r="E7565"/>
          <cell r="F7565"/>
          <cell r="G7565"/>
          <cell r="H7565"/>
          <cell r="I7565"/>
          <cell r="J7565"/>
          <cell r="L7565"/>
        </row>
        <row r="7566">
          <cell r="A7566"/>
          <cell r="D7566"/>
          <cell r="E7566"/>
          <cell r="F7566"/>
          <cell r="G7566"/>
          <cell r="H7566"/>
          <cell r="I7566"/>
          <cell r="J7566"/>
          <cell r="L7566"/>
        </row>
        <row r="7567">
          <cell r="A7567"/>
          <cell r="D7567"/>
          <cell r="E7567"/>
          <cell r="F7567"/>
          <cell r="G7567"/>
          <cell r="H7567"/>
          <cell r="I7567"/>
          <cell r="J7567"/>
          <cell r="L7567"/>
        </row>
        <row r="7568">
          <cell r="A7568"/>
          <cell r="D7568"/>
          <cell r="E7568"/>
          <cell r="F7568"/>
          <cell r="G7568"/>
          <cell r="H7568"/>
          <cell r="I7568"/>
          <cell r="J7568"/>
          <cell r="L7568"/>
        </row>
        <row r="7569">
          <cell r="A7569"/>
          <cell r="D7569"/>
          <cell r="E7569"/>
          <cell r="F7569"/>
          <cell r="G7569"/>
          <cell r="H7569"/>
          <cell r="I7569"/>
          <cell r="J7569"/>
          <cell r="L7569"/>
        </row>
        <row r="7570">
          <cell r="A7570"/>
          <cell r="D7570"/>
          <cell r="E7570"/>
          <cell r="F7570"/>
          <cell r="G7570"/>
          <cell r="H7570"/>
          <cell r="I7570"/>
          <cell r="J7570"/>
          <cell r="L7570"/>
        </row>
        <row r="7571">
          <cell r="A7571"/>
          <cell r="D7571"/>
          <cell r="E7571"/>
          <cell r="F7571"/>
          <cell r="G7571"/>
          <cell r="H7571"/>
          <cell r="I7571"/>
          <cell r="J7571"/>
          <cell r="L7571"/>
        </row>
        <row r="7572">
          <cell r="A7572"/>
          <cell r="D7572"/>
          <cell r="E7572"/>
          <cell r="F7572"/>
          <cell r="G7572"/>
          <cell r="H7572"/>
          <cell r="I7572"/>
          <cell r="J7572"/>
          <cell r="L7572"/>
        </row>
        <row r="7573">
          <cell r="A7573"/>
          <cell r="D7573"/>
          <cell r="E7573"/>
          <cell r="F7573"/>
          <cell r="G7573"/>
          <cell r="H7573"/>
          <cell r="I7573"/>
          <cell r="J7573"/>
          <cell r="L7573"/>
        </row>
        <row r="7574">
          <cell r="A7574"/>
          <cell r="D7574"/>
          <cell r="E7574"/>
          <cell r="F7574"/>
          <cell r="G7574"/>
          <cell r="H7574"/>
          <cell r="I7574"/>
          <cell r="J7574"/>
          <cell r="L7574"/>
        </row>
        <row r="7575">
          <cell r="A7575"/>
          <cell r="D7575"/>
          <cell r="E7575"/>
          <cell r="F7575"/>
          <cell r="G7575"/>
          <cell r="H7575"/>
          <cell r="I7575"/>
          <cell r="J7575"/>
          <cell r="L7575"/>
        </row>
        <row r="7576">
          <cell r="A7576"/>
          <cell r="D7576"/>
          <cell r="E7576"/>
          <cell r="F7576"/>
          <cell r="G7576"/>
          <cell r="H7576"/>
          <cell r="I7576"/>
          <cell r="J7576"/>
          <cell r="L7576"/>
        </row>
        <row r="7577">
          <cell r="A7577"/>
          <cell r="D7577"/>
          <cell r="E7577"/>
          <cell r="F7577"/>
          <cell r="G7577"/>
          <cell r="H7577"/>
          <cell r="I7577"/>
          <cell r="J7577"/>
          <cell r="L7577"/>
        </row>
        <row r="7578">
          <cell r="A7578"/>
          <cell r="D7578"/>
          <cell r="E7578"/>
          <cell r="F7578"/>
          <cell r="G7578"/>
          <cell r="H7578"/>
          <cell r="I7578"/>
          <cell r="J7578"/>
          <cell r="L7578"/>
        </row>
        <row r="7579">
          <cell r="A7579"/>
          <cell r="D7579"/>
          <cell r="E7579"/>
          <cell r="F7579"/>
          <cell r="G7579"/>
          <cell r="H7579"/>
          <cell r="I7579"/>
          <cell r="J7579"/>
          <cell r="L7579"/>
        </row>
        <row r="7580">
          <cell r="A7580"/>
          <cell r="D7580"/>
          <cell r="E7580"/>
          <cell r="F7580"/>
          <cell r="G7580"/>
          <cell r="H7580"/>
          <cell r="I7580"/>
          <cell r="J7580"/>
          <cell r="L7580"/>
        </row>
        <row r="7581">
          <cell r="A7581"/>
          <cell r="D7581"/>
          <cell r="E7581"/>
          <cell r="F7581"/>
          <cell r="G7581"/>
          <cell r="H7581"/>
          <cell r="I7581"/>
          <cell r="J7581"/>
          <cell r="L7581"/>
        </row>
        <row r="7582">
          <cell r="A7582"/>
          <cell r="D7582"/>
          <cell r="E7582"/>
          <cell r="F7582"/>
          <cell r="G7582"/>
          <cell r="H7582"/>
          <cell r="I7582"/>
          <cell r="J7582"/>
          <cell r="L7582"/>
        </row>
        <row r="7583">
          <cell r="A7583"/>
          <cell r="D7583"/>
          <cell r="E7583"/>
          <cell r="F7583"/>
          <cell r="G7583"/>
          <cell r="H7583"/>
          <cell r="I7583"/>
          <cell r="J7583"/>
          <cell r="L7583"/>
        </row>
        <row r="7584">
          <cell r="A7584"/>
          <cell r="D7584"/>
          <cell r="E7584"/>
          <cell r="F7584"/>
          <cell r="G7584"/>
          <cell r="H7584"/>
          <cell r="I7584"/>
          <cell r="J7584"/>
          <cell r="L7584"/>
        </row>
        <row r="7585">
          <cell r="A7585"/>
          <cell r="D7585"/>
          <cell r="E7585"/>
          <cell r="F7585"/>
          <cell r="G7585"/>
          <cell r="H7585"/>
          <cell r="I7585"/>
          <cell r="J7585"/>
          <cell r="L7585"/>
        </row>
        <row r="7586">
          <cell r="A7586"/>
          <cell r="D7586"/>
          <cell r="E7586"/>
          <cell r="F7586"/>
          <cell r="G7586"/>
          <cell r="H7586"/>
          <cell r="I7586"/>
          <cell r="J7586"/>
          <cell r="L7586"/>
        </row>
        <row r="7587">
          <cell r="A7587"/>
          <cell r="D7587"/>
          <cell r="E7587"/>
          <cell r="F7587"/>
          <cell r="G7587"/>
          <cell r="H7587"/>
          <cell r="I7587"/>
          <cell r="J7587"/>
          <cell r="L7587"/>
        </row>
        <row r="7588">
          <cell r="A7588"/>
          <cell r="D7588"/>
          <cell r="E7588"/>
          <cell r="F7588"/>
          <cell r="G7588"/>
          <cell r="H7588"/>
          <cell r="I7588"/>
          <cell r="J7588"/>
          <cell r="L7588"/>
        </row>
        <row r="7589">
          <cell r="A7589"/>
          <cell r="D7589"/>
          <cell r="E7589"/>
          <cell r="F7589"/>
          <cell r="G7589"/>
          <cell r="H7589"/>
          <cell r="I7589"/>
          <cell r="J7589"/>
          <cell r="L7589"/>
        </row>
        <row r="7590">
          <cell r="A7590"/>
          <cell r="D7590"/>
          <cell r="E7590"/>
          <cell r="F7590"/>
          <cell r="G7590"/>
          <cell r="H7590"/>
          <cell r="I7590"/>
          <cell r="J7590"/>
          <cell r="L7590"/>
        </row>
        <row r="7591">
          <cell r="A7591"/>
          <cell r="D7591"/>
          <cell r="E7591"/>
          <cell r="F7591"/>
          <cell r="G7591"/>
          <cell r="H7591"/>
          <cell r="I7591"/>
          <cell r="J7591"/>
          <cell r="L7591"/>
        </row>
        <row r="7592">
          <cell r="A7592"/>
          <cell r="D7592"/>
          <cell r="E7592"/>
          <cell r="F7592"/>
          <cell r="G7592"/>
          <cell r="H7592"/>
          <cell r="I7592"/>
          <cell r="J7592"/>
          <cell r="L7592"/>
        </row>
        <row r="7593">
          <cell r="A7593"/>
          <cell r="D7593"/>
          <cell r="E7593"/>
          <cell r="F7593"/>
          <cell r="G7593"/>
          <cell r="H7593"/>
          <cell r="I7593"/>
          <cell r="J7593"/>
          <cell r="L7593"/>
        </row>
        <row r="7594">
          <cell r="A7594"/>
          <cell r="D7594"/>
          <cell r="E7594"/>
          <cell r="F7594"/>
          <cell r="G7594"/>
          <cell r="H7594"/>
          <cell r="I7594"/>
          <cell r="J7594"/>
          <cell r="L7594"/>
        </row>
        <row r="7595">
          <cell r="A7595"/>
          <cell r="D7595"/>
          <cell r="E7595"/>
          <cell r="F7595"/>
          <cell r="G7595"/>
          <cell r="H7595"/>
          <cell r="I7595"/>
          <cell r="J7595"/>
          <cell r="L7595"/>
        </row>
        <row r="7596">
          <cell r="A7596"/>
          <cell r="D7596"/>
          <cell r="E7596"/>
          <cell r="F7596"/>
          <cell r="G7596"/>
          <cell r="H7596"/>
          <cell r="I7596"/>
          <cell r="J7596"/>
          <cell r="L7596"/>
        </row>
        <row r="7597">
          <cell r="A7597"/>
          <cell r="D7597"/>
          <cell r="E7597"/>
          <cell r="F7597"/>
          <cell r="G7597"/>
          <cell r="H7597"/>
          <cell r="I7597"/>
          <cell r="J7597"/>
          <cell r="L7597"/>
        </row>
        <row r="7598">
          <cell r="A7598"/>
          <cell r="D7598"/>
          <cell r="E7598"/>
          <cell r="F7598"/>
          <cell r="G7598"/>
          <cell r="H7598"/>
          <cell r="I7598"/>
          <cell r="J7598"/>
          <cell r="L7598"/>
        </row>
        <row r="7599">
          <cell r="A7599"/>
          <cell r="D7599"/>
          <cell r="E7599"/>
          <cell r="F7599"/>
          <cell r="G7599"/>
          <cell r="H7599"/>
          <cell r="I7599"/>
          <cell r="J7599"/>
          <cell r="L7599"/>
        </row>
        <row r="7600">
          <cell r="A7600"/>
          <cell r="D7600"/>
          <cell r="E7600"/>
          <cell r="F7600"/>
          <cell r="G7600"/>
          <cell r="H7600"/>
          <cell r="I7600"/>
          <cell r="J7600"/>
          <cell r="L7600"/>
        </row>
        <row r="7601">
          <cell r="A7601"/>
          <cell r="D7601"/>
          <cell r="E7601"/>
          <cell r="F7601"/>
          <cell r="G7601"/>
          <cell r="H7601"/>
          <cell r="I7601"/>
          <cell r="J7601"/>
          <cell r="L7601"/>
        </row>
        <row r="7602">
          <cell r="A7602"/>
          <cell r="D7602"/>
          <cell r="E7602"/>
          <cell r="F7602"/>
          <cell r="G7602"/>
          <cell r="H7602"/>
          <cell r="I7602"/>
          <cell r="J7602"/>
          <cell r="L7602"/>
        </row>
        <row r="7603">
          <cell r="A7603"/>
          <cell r="D7603"/>
          <cell r="E7603"/>
          <cell r="F7603"/>
          <cell r="G7603"/>
          <cell r="H7603"/>
          <cell r="I7603"/>
          <cell r="J7603"/>
          <cell r="L7603"/>
        </row>
        <row r="7604">
          <cell r="A7604"/>
          <cell r="D7604"/>
          <cell r="E7604"/>
          <cell r="F7604"/>
          <cell r="G7604"/>
          <cell r="H7604"/>
          <cell r="I7604"/>
          <cell r="J7604"/>
          <cell r="L7604"/>
        </row>
        <row r="7605">
          <cell r="A7605"/>
          <cell r="D7605"/>
          <cell r="E7605"/>
          <cell r="F7605"/>
          <cell r="G7605"/>
          <cell r="H7605"/>
          <cell r="I7605"/>
          <cell r="J7605"/>
          <cell r="L7605"/>
        </row>
        <row r="7606">
          <cell r="A7606"/>
          <cell r="D7606"/>
          <cell r="E7606"/>
          <cell r="F7606"/>
          <cell r="G7606"/>
          <cell r="H7606"/>
          <cell r="I7606"/>
          <cell r="J7606"/>
          <cell r="L7606"/>
        </row>
        <row r="7607">
          <cell r="A7607"/>
          <cell r="D7607"/>
          <cell r="E7607"/>
          <cell r="F7607"/>
          <cell r="G7607"/>
          <cell r="H7607"/>
          <cell r="I7607"/>
          <cell r="J7607"/>
          <cell r="L7607"/>
        </row>
        <row r="7608">
          <cell r="A7608"/>
          <cell r="D7608"/>
          <cell r="E7608"/>
          <cell r="F7608"/>
          <cell r="G7608"/>
          <cell r="H7608"/>
          <cell r="I7608"/>
          <cell r="J7608"/>
          <cell r="L7608"/>
        </row>
        <row r="7609">
          <cell r="A7609"/>
          <cell r="D7609"/>
          <cell r="E7609"/>
          <cell r="F7609"/>
          <cell r="G7609"/>
          <cell r="H7609"/>
          <cell r="I7609"/>
          <cell r="J7609"/>
          <cell r="L7609"/>
        </row>
        <row r="7610">
          <cell r="A7610"/>
          <cell r="D7610"/>
          <cell r="E7610"/>
          <cell r="F7610"/>
          <cell r="G7610"/>
          <cell r="H7610"/>
          <cell r="I7610"/>
          <cell r="J7610"/>
          <cell r="L7610"/>
        </row>
        <row r="7611">
          <cell r="A7611"/>
          <cell r="D7611"/>
          <cell r="E7611"/>
          <cell r="F7611"/>
          <cell r="G7611"/>
          <cell r="H7611"/>
          <cell r="I7611"/>
          <cell r="J7611"/>
          <cell r="L7611"/>
        </row>
        <row r="7612">
          <cell r="A7612"/>
          <cell r="D7612"/>
          <cell r="E7612"/>
          <cell r="F7612"/>
          <cell r="G7612"/>
          <cell r="H7612"/>
          <cell r="I7612"/>
          <cell r="J7612"/>
          <cell r="L7612"/>
        </row>
        <row r="7613">
          <cell r="A7613"/>
          <cell r="D7613"/>
          <cell r="E7613"/>
          <cell r="F7613"/>
          <cell r="G7613"/>
          <cell r="H7613"/>
          <cell r="I7613"/>
          <cell r="J7613"/>
          <cell r="L7613"/>
        </row>
        <row r="7614">
          <cell r="A7614"/>
          <cell r="D7614"/>
          <cell r="E7614"/>
          <cell r="F7614"/>
          <cell r="G7614"/>
          <cell r="H7614"/>
          <cell r="I7614"/>
          <cell r="J7614"/>
          <cell r="L7614"/>
        </row>
        <row r="7615">
          <cell r="A7615"/>
          <cell r="D7615"/>
          <cell r="E7615"/>
          <cell r="F7615"/>
          <cell r="G7615"/>
          <cell r="H7615"/>
          <cell r="I7615"/>
          <cell r="J7615"/>
          <cell r="L7615"/>
        </row>
        <row r="7616">
          <cell r="A7616"/>
          <cell r="D7616"/>
          <cell r="E7616"/>
          <cell r="F7616"/>
          <cell r="G7616"/>
          <cell r="H7616"/>
          <cell r="I7616"/>
          <cell r="J7616"/>
          <cell r="L7616"/>
        </row>
        <row r="7617">
          <cell r="A7617"/>
          <cell r="D7617"/>
          <cell r="E7617"/>
          <cell r="F7617"/>
          <cell r="G7617"/>
          <cell r="H7617"/>
          <cell r="I7617"/>
          <cell r="J7617"/>
          <cell r="L7617"/>
        </row>
        <row r="7618">
          <cell r="A7618"/>
          <cell r="D7618"/>
          <cell r="E7618"/>
          <cell r="F7618"/>
          <cell r="G7618"/>
          <cell r="H7618"/>
          <cell r="I7618"/>
          <cell r="J7618"/>
          <cell r="L7618"/>
        </row>
        <row r="7619">
          <cell r="A7619"/>
          <cell r="D7619"/>
          <cell r="E7619"/>
          <cell r="F7619"/>
          <cell r="G7619"/>
          <cell r="H7619"/>
          <cell r="I7619"/>
          <cell r="J7619"/>
          <cell r="L7619"/>
        </row>
        <row r="7620">
          <cell r="A7620"/>
          <cell r="D7620"/>
          <cell r="E7620"/>
          <cell r="F7620"/>
          <cell r="G7620"/>
          <cell r="H7620"/>
          <cell r="I7620"/>
          <cell r="J7620"/>
          <cell r="L7620"/>
        </row>
        <row r="7621">
          <cell r="A7621"/>
          <cell r="D7621"/>
          <cell r="E7621"/>
          <cell r="F7621"/>
          <cell r="G7621"/>
          <cell r="H7621"/>
          <cell r="I7621"/>
          <cell r="J7621"/>
          <cell r="L7621"/>
        </row>
        <row r="7622">
          <cell r="A7622"/>
          <cell r="D7622"/>
          <cell r="E7622"/>
          <cell r="F7622"/>
          <cell r="G7622"/>
          <cell r="H7622"/>
          <cell r="I7622"/>
          <cell r="J7622"/>
          <cell r="L7622"/>
        </row>
        <row r="7623">
          <cell r="A7623"/>
          <cell r="D7623"/>
          <cell r="E7623"/>
          <cell r="F7623"/>
          <cell r="G7623"/>
          <cell r="H7623"/>
          <cell r="I7623"/>
          <cell r="J7623"/>
          <cell r="L7623"/>
        </row>
        <row r="7624">
          <cell r="A7624"/>
          <cell r="D7624"/>
          <cell r="E7624"/>
          <cell r="F7624"/>
          <cell r="G7624"/>
          <cell r="H7624"/>
          <cell r="I7624"/>
          <cell r="J7624"/>
          <cell r="L7624"/>
        </row>
        <row r="7625">
          <cell r="A7625"/>
          <cell r="D7625"/>
          <cell r="E7625"/>
          <cell r="F7625"/>
          <cell r="G7625"/>
          <cell r="H7625"/>
          <cell r="I7625"/>
          <cell r="J7625"/>
          <cell r="L7625"/>
        </row>
        <row r="7626">
          <cell r="A7626"/>
          <cell r="D7626"/>
          <cell r="E7626"/>
          <cell r="F7626"/>
          <cell r="G7626"/>
          <cell r="H7626"/>
          <cell r="I7626"/>
          <cell r="J7626"/>
          <cell r="L7626"/>
        </row>
        <row r="7627">
          <cell r="A7627"/>
          <cell r="D7627"/>
          <cell r="E7627"/>
          <cell r="F7627"/>
          <cell r="G7627"/>
          <cell r="H7627"/>
          <cell r="I7627"/>
          <cell r="J7627"/>
          <cell r="L7627"/>
        </row>
        <row r="7628">
          <cell r="A7628"/>
          <cell r="D7628"/>
          <cell r="E7628"/>
          <cell r="F7628"/>
          <cell r="G7628"/>
          <cell r="H7628"/>
          <cell r="I7628"/>
          <cell r="J7628"/>
          <cell r="L7628"/>
        </row>
        <row r="7629">
          <cell r="A7629"/>
          <cell r="D7629"/>
          <cell r="E7629"/>
          <cell r="F7629"/>
          <cell r="G7629"/>
          <cell r="H7629"/>
          <cell r="I7629"/>
          <cell r="J7629"/>
          <cell r="L7629"/>
        </row>
        <row r="7630">
          <cell r="A7630"/>
          <cell r="D7630"/>
          <cell r="E7630"/>
          <cell r="F7630"/>
          <cell r="G7630"/>
          <cell r="H7630"/>
          <cell r="I7630"/>
          <cell r="J7630"/>
          <cell r="L7630"/>
        </row>
        <row r="7631">
          <cell r="A7631"/>
          <cell r="D7631"/>
          <cell r="E7631"/>
          <cell r="F7631"/>
          <cell r="G7631"/>
          <cell r="H7631"/>
          <cell r="I7631"/>
          <cell r="J7631"/>
          <cell r="L7631"/>
        </row>
        <row r="7632">
          <cell r="A7632"/>
          <cell r="D7632"/>
          <cell r="E7632"/>
          <cell r="F7632"/>
          <cell r="G7632"/>
          <cell r="H7632"/>
          <cell r="I7632"/>
          <cell r="J7632"/>
          <cell r="L7632"/>
        </row>
        <row r="7633">
          <cell r="A7633"/>
          <cell r="D7633"/>
          <cell r="E7633"/>
          <cell r="F7633"/>
          <cell r="G7633"/>
          <cell r="H7633"/>
          <cell r="I7633"/>
          <cell r="J7633"/>
          <cell r="L7633"/>
        </row>
        <row r="7634">
          <cell r="A7634"/>
          <cell r="D7634"/>
          <cell r="E7634"/>
          <cell r="F7634"/>
          <cell r="G7634"/>
          <cell r="H7634"/>
          <cell r="I7634"/>
          <cell r="J7634"/>
          <cell r="L7634"/>
        </row>
        <row r="7635">
          <cell r="A7635"/>
          <cell r="D7635"/>
          <cell r="E7635"/>
          <cell r="F7635"/>
          <cell r="G7635"/>
          <cell r="H7635"/>
          <cell r="I7635"/>
          <cell r="J7635"/>
          <cell r="L7635"/>
        </row>
        <row r="7636">
          <cell r="A7636"/>
          <cell r="D7636"/>
          <cell r="E7636"/>
          <cell r="F7636"/>
          <cell r="G7636"/>
          <cell r="H7636"/>
          <cell r="I7636"/>
          <cell r="J7636"/>
          <cell r="L7636"/>
        </row>
        <row r="7637">
          <cell r="A7637"/>
          <cell r="D7637"/>
          <cell r="E7637"/>
          <cell r="F7637"/>
          <cell r="G7637"/>
          <cell r="H7637"/>
          <cell r="I7637"/>
          <cell r="J7637"/>
          <cell r="L7637"/>
        </row>
        <row r="7638">
          <cell r="A7638"/>
          <cell r="D7638"/>
          <cell r="E7638"/>
          <cell r="F7638"/>
          <cell r="G7638"/>
          <cell r="H7638"/>
          <cell r="I7638"/>
          <cell r="J7638"/>
          <cell r="L7638"/>
        </row>
        <row r="7639">
          <cell r="A7639"/>
          <cell r="D7639"/>
          <cell r="E7639"/>
          <cell r="F7639"/>
          <cell r="G7639"/>
          <cell r="H7639"/>
          <cell r="I7639"/>
          <cell r="J7639"/>
          <cell r="L7639"/>
        </row>
        <row r="7640">
          <cell r="A7640"/>
          <cell r="D7640"/>
          <cell r="E7640"/>
          <cell r="F7640"/>
          <cell r="G7640"/>
          <cell r="H7640"/>
          <cell r="I7640"/>
          <cell r="J7640"/>
          <cell r="L7640"/>
        </row>
        <row r="7641">
          <cell r="A7641"/>
          <cell r="D7641"/>
          <cell r="E7641"/>
          <cell r="F7641"/>
          <cell r="G7641"/>
          <cell r="H7641"/>
          <cell r="I7641"/>
          <cell r="J7641"/>
          <cell r="L7641"/>
        </row>
        <row r="7642">
          <cell r="A7642"/>
          <cell r="D7642"/>
          <cell r="E7642"/>
          <cell r="F7642"/>
          <cell r="G7642"/>
          <cell r="H7642"/>
          <cell r="I7642"/>
          <cell r="J7642"/>
          <cell r="L7642"/>
        </row>
        <row r="7643">
          <cell r="A7643"/>
          <cell r="D7643"/>
          <cell r="E7643"/>
          <cell r="F7643"/>
          <cell r="G7643"/>
          <cell r="H7643"/>
          <cell r="I7643"/>
          <cell r="J7643"/>
          <cell r="L7643"/>
        </row>
        <row r="7644">
          <cell r="A7644"/>
          <cell r="D7644"/>
          <cell r="E7644"/>
          <cell r="F7644"/>
          <cell r="G7644"/>
          <cell r="H7644"/>
          <cell r="I7644"/>
          <cell r="J7644"/>
          <cell r="L7644"/>
        </row>
        <row r="7645">
          <cell r="A7645"/>
          <cell r="D7645"/>
          <cell r="E7645"/>
          <cell r="F7645"/>
          <cell r="G7645"/>
          <cell r="H7645"/>
          <cell r="I7645"/>
          <cell r="J7645"/>
          <cell r="L7645"/>
        </row>
        <row r="7646">
          <cell r="A7646"/>
          <cell r="D7646"/>
          <cell r="E7646"/>
          <cell r="F7646"/>
          <cell r="G7646"/>
          <cell r="H7646"/>
          <cell r="I7646"/>
          <cell r="J7646"/>
          <cell r="L7646"/>
        </row>
        <row r="7647">
          <cell r="A7647"/>
          <cell r="D7647"/>
          <cell r="E7647"/>
          <cell r="F7647"/>
          <cell r="G7647"/>
          <cell r="H7647"/>
          <cell r="I7647"/>
          <cell r="J7647"/>
          <cell r="L7647"/>
        </row>
        <row r="7648">
          <cell r="A7648"/>
          <cell r="D7648"/>
          <cell r="E7648"/>
          <cell r="F7648"/>
          <cell r="G7648"/>
          <cell r="H7648"/>
          <cell r="I7648"/>
          <cell r="J7648"/>
          <cell r="L7648"/>
        </row>
        <row r="7649">
          <cell r="A7649"/>
          <cell r="D7649"/>
          <cell r="E7649"/>
          <cell r="F7649"/>
          <cell r="G7649"/>
          <cell r="H7649"/>
          <cell r="I7649"/>
          <cell r="J7649"/>
          <cell r="L7649"/>
        </row>
        <row r="7650">
          <cell r="A7650"/>
          <cell r="D7650"/>
          <cell r="E7650"/>
          <cell r="F7650"/>
          <cell r="G7650"/>
          <cell r="H7650"/>
          <cell r="I7650"/>
          <cell r="J7650"/>
          <cell r="L7650"/>
        </row>
        <row r="7651">
          <cell r="A7651"/>
          <cell r="D7651"/>
          <cell r="E7651"/>
          <cell r="F7651"/>
          <cell r="G7651"/>
          <cell r="H7651"/>
          <cell r="I7651"/>
          <cell r="J7651"/>
          <cell r="L7651"/>
        </row>
        <row r="7652">
          <cell r="A7652"/>
          <cell r="D7652"/>
          <cell r="E7652"/>
          <cell r="F7652"/>
          <cell r="G7652"/>
          <cell r="H7652"/>
          <cell r="I7652"/>
          <cell r="J7652"/>
          <cell r="L7652"/>
        </row>
        <row r="7653">
          <cell r="A7653"/>
          <cell r="D7653"/>
          <cell r="E7653"/>
          <cell r="F7653"/>
          <cell r="G7653"/>
          <cell r="H7653"/>
          <cell r="I7653"/>
          <cell r="J7653"/>
          <cell r="L7653"/>
        </row>
        <row r="7654">
          <cell r="A7654"/>
          <cell r="D7654"/>
          <cell r="E7654"/>
          <cell r="F7654"/>
          <cell r="G7654"/>
          <cell r="H7654"/>
          <cell r="I7654"/>
          <cell r="J7654"/>
          <cell r="L7654"/>
        </row>
        <row r="7655">
          <cell r="A7655"/>
          <cell r="D7655"/>
          <cell r="E7655"/>
          <cell r="F7655"/>
          <cell r="G7655"/>
          <cell r="H7655"/>
          <cell r="I7655"/>
          <cell r="J7655"/>
          <cell r="L7655"/>
        </row>
        <row r="7656">
          <cell r="A7656"/>
          <cell r="D7656"/>
          <cell r="E7656"/>
          <cell r="F7656"/>
          <cell r="G7656"/>
          <cell r="H7656"/>
          <cell r="I7656"/>
          <cell r="J7656"/>
          <cell r="L7656"/>
        </row>
        <row r="7657">
          <cell r="A7657"/>
          <cell r="D7657"/>
          <cell r="E7657"/>
          <cell r="F7657"/>
          <cell r="G7657"/>
          <cell r="H7657"/>
          <cell r="I7657"/>
          <cell r="J7657"/>
          <cell r="L7657"/>
        </row>
        <row r="7658">
          <cell r="A7658"/>
          <cell r="D7658"/>
          <cell r="E7658"/>
          <cell r="F7658"/>
          <cell r="G7658"/>
          <cell r="H7658"/>
          <cell r="I7658"/>
          <cell r="J7658"/>
          <cell r="L7658"/>
        </row>
        <row r="7659">
          <cell r="A7659"/>
          <cell r="D7659"/>
          <cell r="E7659"/>
          <cell r="F7659"/>
          <cell r="G7659"/>
          <cell r="H7659"/>
          <cell r="I7659"/>
          <cell r="J7659"/>
          <cell r="L7659"/>
        </row>
        <row r="7660">
          <cell r="A7660"/>
          <cell r="D7660"/>
          <cell r="E7660"/>
          <cell r="F7660"/>
          <cell r="G7660"/>
          <cell r="H7660"/>
          <cell r="I7660"/>
          <cell r="J7660"/>
          <cell r="L7660"/>
        </row>
        <row r="7661">
          <cell r="A7661"/>
          <cell r="D7661"/>
          <cell r="E7661"/>
          <cell r="F7661"/>
          <cell r="G7661"/>
          <cell r="H7661"/>
          <cell r="I7661"/>
          <cell r="J7661"/>
          <cell r="L7661"/>
        </row>
        <row r="7662">
          <cell r="A7662"/>
          <cell r="D7662"/>
          <cell r="E7662"/>
          <cell r="F7662"/>
          <cell r="G7662"/>
          <cell r="H7662"/>
          <cell r="I7662"/>
          <cell r="J7662"/>
          <cell r="L7662"/>
        </row>
        <row r="7663">
          <cell r="A7663"/>
          <cell r="D7663"/>
          <cell r="E7663"/>
          <cell r="F7663"/>
          <cell r="G7663"/>
          <cell r="H7663"/>
          <cell r="I7663"/>
          <cell r="J7663"/>
          <cell r="L7663"/>
        </row>
        <row r="7664">
          <cell r="A7664"/>
          <cell r="D7664"/>
          <cell r="E7664"/>
          <cell r="F7664"/>
          <cell r="G7664"/>
          <cell r="H7664"/>
          <cell r="I7664"/>
          <cell r="J7664"/>
          <cell r="L7664"/>
        </row>
        <row r="7665">
          <cell r="A7665"/>
          <cell r="D7665"/>
          <cell r="E7665"/>
          <cell r="F7665"/>
          <cell r="G7665"/>
          <cell r="H7665"/>
          <cell r="I7665"/>
          <cell r="J7665"/>
          <cell r="L7665"/>
        </row>
        <row r="7666">
          <cell r="A7666"/>
          <cell r="D7666"/>
          <cell r="E7666"/>
          <cell r="F7666"/>
          <cell r="G7666"/>
          <cell r="H7666"/>
          <cell r="I7666"/>
          <cell r="J7666"/>
          <cell r="L7666"/>
        </row>
        <row r="7667">
          <cell r="A7667"/>
          <cell r="D7667"/>
          <cell r="E7667"/>
          <cell r="F7667"/>
          <cell r="G7667"/>
          <cell r="H7667"/>
          <cell r="I7667"/>
          <cell r="J7667"/>
          <cell r="L7667"/>
        </row>
        <row r="7668">
          <cell r="A7668"/>
          <cell r="D7668"/>
          <cell r="E7668"/>
          <cell r="F7668"/>
          <cell r="G7668"/>
          <cell r="H7668"/>
          <cell r="I7668"/>
          <cell r="J7668"/>
          <cell r="L7668"/>
        </row>
        <row r="7669">
          <cell r="A7669"/>
          <cell r="D7669"/>
          <cell r="E7669"/>
          <cell r="F7669"/>
          <cell r="G7669"/>
          <cell r="H7669"/>
          <cell r="I7669"/>
          <cell r="J7669"/>
          <cell r="L7669"/>
        </row>
        <row r="7670">
          <cell r="A7670"/>
          <cell r="D7670"/>
          <cell r="E7670"/>
          <cell r="F7670"/>
          <cell r="G7670"/>
          <cell r="H7670"/>
          <cell r="I7670"/>
          <cell r="J7670"/>
          <cell r="L7670"/>
        </row>
        <row r="7671">
          <cell r="A7671"/>
          <cell r="D7671"/>
          <cell r="E7671"/>
          <cell r="F7671"/>
          <cell r="G7671"/>
          <cell r="H7671"/>
          <cell r="I7671"/>
          <cell r="J7671"/>
          <cell r="L7671"/>
        </row>
        <row r="7672">
          <cell r="A7672"/>
          <cell r="D7672"/>
          <cell r="E7672"/>
          <cell r="F7672"/>
          <cell r="G7672"/>
          <cell r="H7672"/>
          <cell r="I7672"/>
          <cell r="J7672"/>
          <cell r="L7672"/>
        </row>
        <row r="7673">
          <cell r="A7673"/>
          <cell r="D7673"/>
          <cell r="E7673"/>
          <cell r="F7673"/>
          <cell r="G7673"/>
          <cell r="H7673"/>
          <cell r="I7673"/>
          <cell r="J7673"/>
          <cell r="L7673"/>
        </row>
        <row r="7674">
          <cell r="A7674"/>
          <cell r="D7674"/>
          <cell r="E7674"/>
          <cell r="F7674"/>
          <cell r="G7674"/>
          <cell r="H7674"/>
          <cell r="I7674"/>
          <cell r="J7674"/>
          <cell r="L7674"/>
        </row>
        <row r="7675">
          <cell r="A7675"/>
          <cell r="D7675"/>
          <cell r="E7675"/>
          <cell r="F7675"/>
          <cell r="G7675"/>
          <cell r="H7675"/>
          <cell r="I7675"/>
          <cell r="J7675"/>
          <cell r="L7675"/>
        </row>
        <row r="7676">
          <cell r="A7676"/>
          <cell r="D7676"/>
          <cell r="E7676"/>
          <cell r="F7676"/>
          <cell r="G7676"/>
          <cell r="H7676"/>
          <cell r="I7676"/>
          <cell r="J7676"/>
          <cell r="L7676"/>
        </row>
        <row r="7677">
          <cell r="A7677"/>
          <cell r="D7677"/>
          <cell r="E7677"/>
          <cell r="F7677"/>
          <cell r="G7677"/>
          <cell r="H7677"/>
          <cell r="I7677"/>
          <cell r="J7677"/>
          <cell r="L7677"/>
        </row>
        <row r="7678">
          <cell r="A7678"/>
          <cell r="D7678"/>
          <cell r="E7678"/>
          <cell r="F7678"/>
          <cell r="G7678"/>
          <cell r="H7678"/>
          <cell r="I7678"/>
          <cell r="J7678"/>
          <cell r="L7678"/>
        </row>
        <row r="7679">
          <cell r="A7679"/>
          <cell r="D7679"/>
          <cell r="E7679"/>
          <cell r="F7679"/>
          <cell r="G7679"/>
          <cell r="H7679"/>
          <cell r="I7679"/>
          <cell r="J7679"/>
          <cell r="L7679"/>
        </row>
        <row r="7680">
          <cell r="A7680"/>
          <cell r="D7680"/>
          <cell r="E7680"/>
          <cell r="F7680"/>
          <cell r="G7680"/>
          <cell r="H7680"/>
          <cell r="I7680"/>
          <cell r="J7680"/>
          <cell r="L7680"/>
        </row>
        <row r="7681">
          <cell r="A7681"/>
          <cell r="D7681"/>
          <cell r="E7681"/>
          <cell r="F7681"/>
          <cell r="G7681"/>
          <cell r="H7681"/>
          <cell r="I7681"/>
          <cell r="J7681"/>
          <cell r="L7681"/>
        </row>
        <row r="7682">
          <cell r="A7682"/>
          <cell r="D7682"/>
          <cell r="E7682"/>
          <cell r="F7682"/>
          <cell r="G7682"/>
          <cell r="H7682"/>
          <cell r="I7682"/>
          <cell r="J7682"/>
          <cell r="L7682"/>
        </row>
        <row r="7683">
          <cell r="A7683"/>
          <cell r="D7683"/>
          <cell r="E7683"/>
          <cell r="F7683"/>
          <cell r="G7683"/>
          <cell r="H7683"/>
          <cell r="I7683"/>
          <cell r="J7683"/>
          <cell r="L7683"/>
        </row>
        <row r="7684">
          <cell r="A7684"/>
          <cell r="D7684"/>
          <cell r="E7684"/>
          <cell r="F7684"/>
          <cell r="G7684"/>
          <cell r="H7684"/>
          <cell r="I7684"/>
          <cell r="J7684"/>
          <cell r="L7684"/>
        </row>
        <row r="7685">
          <cell r="A7685"/>
          <cell r="D7685"/>
          <cell r="E7685"/>
          <cell r="F7685"/>
          <cell r="G7685"/>
          <cell r="H7685"/>
          <cell r="I7685"/>
          <cell r="J7685"/>
          <cell r="L7685"/>
        </row>
        <row r="7686">
          <cell r="A7686"/>
          <cell r="D7686"/>
          <cell r="E7686"/>
          <cell r="F7686"/>
          <cell r="G7686"/>
          <cell r="H7686"/>
          <cell r="I7686"/>
          <cell r="J7686"/>
          <cell r="L7686"/>
        </row>
        <row r="7687">
          <cell r="A7687"/>
          <cell r="D7687"/>
          <cell r="E7687"/>
          <cell r="F7687"/>
          <cell r="G7687"/>
          <cell r="H7687"/>
          <cell r="I7687"/>
          <cell r="J7687"/>
          <cell r="L7687"/>
        </row>
        <row r="7688">
          <cell r="A7688"/>
          <cell r="D7688"/>
          <cell r="E7688"/>
          <cell r="F7688"/>
          <cell r="G7688"/>
          <cell r="H7688"/>
          <cell r="I7688"/>
          <cell r="J7688"/>
          <cell r="L7688"/>
        </row>
        <row r="7689">
          <cell r="A7689"/>
          <cell r="D7689"/>
          <cell r="E7689"/>
          <cell r="F7689"/>
          <cell r="G7689"/>
          <cell r="H7689"/>
          <cell r="I7689"/>
          <cell r="J7689"/>
          <cell r="L7689"/>
        </row>
        <row r="7690">
          <cell r="A7690"/>
          <cell r="D7690"/>
          <cell r="E7690"/>
          <cell r="F7690"/>
          <cell r="G7690"/>
          <cell r="H7690"/>
          <cell r="I7690"/>
          <cell r="J7690"/>
          <cell r="L7690"/>
        </row>
        <row r="7691">
          <cell r="A7691"/>
          <cell r="D7691"/>
          <cell r="E7691"/>
          <cell r="F7691"/>
          <cell r="G7691"/>
          <cell r="H7691"/>
          <cell r="I7691"/>
          <cell r="J7691"/>
          <cell r="L7691"/>
        </row>
        <row r="7692">
          <cell r="A7692"/>
          <cell r="D7692"/>
          <cell r="E7692"/>
          <cell r="F7692"/>
          <cell r="G7692"/>
          <cell r="H7692"/>
          <cell r="I7692"/>
          <cell r="J7692"/>
          <cell r="L7692"/>
        </row>
        <row r="7693">
          <cell r="A7693"/>
          <cell r="D7693"/>
          <cell r="E7693"/>
          <cell r="F7693"/>
          <cell r="G7693"/>
          <cell r="H7693"/>
          <cell r="I7693"/>
          <cell r="J7693"/>
          <cell r="L7693"/>
        </row>
        <row r="7694">
          <cell r="A7694"/>
          <cell r="D7694"/>
          <cell r="E7694"/>
          <cell r="F7694"/>
          <cell r="G7694"/>
          <cell r="H7694"/>
          <cell r="I7694"/>
          <cell r="J7694"/>
          <cell r="L7694"/>
        </row>
        <row r="7695">
          <cell r="A7695"/>
          <cell r="D7695"/>
          <cell r="E7695"/>
          <cell r="F7695"/>
          <cell r="G7695"/>
          <cell r="H7695"/>
          <cell r="I7695"/>
          <cell r="J7695"/>
          <cell r="L7695"/>
        </row>
        <row r="7696">
          <cell r="A7696"/>
          <cell r="D7696"/>
          <cell r="E7696"/>
          <cell r="F7696"/>
          <cell r="G7696"/>
          <cell r="H7696"/>
          <cell r="I7696"/>
          <cell r="J7696"/>
          <cell r="L7696"/>
        </row>
        <row r="7697">
          <cell r="A7697"/>
          <cell r="D7697"/>
          <cell r="E7697"/>
          <cell r="F7697"/>
          <cell r="G7697"/>
          <cell r="H7697"/>
          <cell r="I7697"/>
          <cell r="J7697"/>
          <cell r="L7697"/>
        </row>
        <row r="7698">
          <cell r="A7698"/>
          <cell r="D7698"/>
          <cell r="E7698"/>
          <cell r="F7698"/>
          <cell r="G7698"/>
          <cell r="H7698"/>
          <cell r="I7698"/>
          <cell r="J7698"/>
          <cell r="L7698"/>
        </row>
        <row r="7699">
          <cell r="A7699"/>
          <cell r="D7699"/>
          <cell r="E7699"/>
          <cell r="F7699"/>
          <cell r="G7699"/>
          <cell r="H7699"/>
          <cell r="I7699"/>
          <cell r="J7699"/>
          <cell r="L7699"/>
        </row>
        <row r="7700">
          <cell r="A7700"/>
          <cell r="D7700"/>
          <cell r="E7700"/>
          <cell r="F7700"/>
          <cell r="G7700"/>
          <cell r="H7700"/>
          <cell r="I7700"/>
          <cell r="J7700"/>
          <cell r="L7700"/>
        </row>
        <row r="7701">
          <cell r="A7701"/>
          <cell r="D7701"/>
          <cell r="E7701"/>
          <cell r="F7701"/>
          <cell r="G7701"/>
          <cell r="H7701"/>
          <cell r="I7701"/>
          <cell r="J7701"/>
          <cell r="L7701"/>
        </row>
        <row r="7702">
          <cell r="A7702"/>
          <cell r="D7702"/>
          <cell r="E7702"/>
          <cell r="F7702"/>
          <cell r="G7702"/>
          <cell r="H7702"/>
          <cell r="I7702"/>
          <cell r="J7702"/>
          <cell r="L7702"/>
        </row>
        <row r="7703">
          <cell r="A7703"/>
          <cell r="D7703"/>
          <cell r="E7703"/>
          <cell r="F7703"/>
          <cell r="G7703"/>
          <cell r="H7703"/>
          <cell r="I7703"/>
          <cell r="J7703"/>
          <cell r="L7703"/>
        </row>
        <row r="7704">
          <cell r="A7704"/>
          <cell r="D7704"/>
          <cell r="E7704"/>
          <cell r="F7704"/>
          <cell r="G7704"/>
          <cell r="H7704"/>
          <cell r="I7704"/>
          <cell r="J7704"/>
          <cell r="L7704"/>
        </row>
        <row r="7705">
          <cell r="A7705"/>
          <cell r="D7705"/>
          <cell r="E7705"/>
          <cell r="F7705"/>
          <cell r="G7705"/>
          <cell r="H7705"/>
          <cell r="I7705"/>
          <cell r="J7705"/>
          <cell r="L7705"/>
        </row>
        <row r="7706">
          <cell r="A7706"/>
          <cell r="D7706"/>
          <cell r="E7706"/>
          <cell r="F7706"/>
          <cell r="G7706"/>
          <cell r="H7706"/>
          <cell r="I7706"/>
          <cell r="J7706"/>
          <cell r="L7706"/>
        </row>
        <row r="7707">
          <cell r="A7707"/>
          <cell r="D7707"/>
          <cell r="E7707"/>
          <cell r="F7707"/>
          <cell r="G7707"/>
          <cell r="H7707"/>
          <cell r="I7707"/>
          <cell r="J7707"/>
          <cell r="L7707"/>
        </row>
        <row r="7708">
          <cell r="A7708"/>
          <cell r="D7708"/>
          <cell r="E7708"/>
          <cell r="F7708"/>
          <cell r="G7708"/>
          <cell r="H7708"/>
          <cell r="I7708"/>
          <cell r="J7708"/>
          <cell r="L7708"/>
        </row>
        <row r="7709">
          <cell r="A7709"/>
          <cell r="D7709"/>
          <cell r="E7709"/>
          <cell r="F7709"/>
          <cell r="G7709"/>
          <cell r="H7709"/>
          <cell r="I7709"/>
          <cell r="J7709"/>
          <cell r="L7709"/>
        </row>
        <row r="7710">
          <cell r="A7710"/>
          <cell r="D7710"/>
          <cell r="E7710"/>
          <cell r="F7710"/>
          <cell r="G7710"/>
          <cell r="H7710"/>
          <cell r="I7710"/>
          <cell r="J7710"/>
          <cell r="L7710"/>
        </row>
        <row r="7711">
          <cell r="A7711"/>
          <cell r="D7711"/>
          <cell r="E7711"/>
          <cell r="F7711"/>
          <cell r="G7711"/>
          <cell r="H7711"/>
          <cell r="I7711"/>
          <cell r="J7711"/>
          <cell r="L7711"/>
        </row>
        <row r="7712">
          <cell r="A7712"/>
          <cell r="D7712"/>
          <cell r="E7712"/>
          <cell r="F7712"/>
          <cell r="G7712"/>
          <cell r="H7712"/>
          <cell r="I7712"/>
          <cell r="J7712"/>
          <cell r="L7712"/>
        </row>
        <row r="7713">
          <cell r="A7713"/>
          <cell r="D7713"/>
          <cell r="E7713"/>
          <cell r="F7713"/>
          <cell r="G7713"/>
          <cell r="H7713"/>
          <cell r="I7713"/>
          <cell r="J7713"/>
          <cell r="L7713"/>
        </row>
        <row r="7714">
          <cell r="A7714"/>
          <cell r="D7714"/>
          <cell r="E7714"/>
          <cell r="F7714"/>
          <cell r="G7714"/>
          <cell r="H7714"/>
          <cell r="I7714"/>
          <cell r="J7714"/>
          <cell r="L7714"/>
        </row>
        <row r="7715">
          <cell r="A7715"/>
          <cell r="D7715"/>
          <cell r="E7715"/>
          <cell r="F7715"/>
          <cell r="G7715"/>
          <cell r="H7715"/>
          <cell r="I7715"/>
          <cell r="J7715"/>
          <cell r="L7715"/>
        </row>
        <row r="7716">
          <cell r="A7716"/>
          <cell r="D7716"/>
          <cell r="E7716"/>
          <cell r="F7716"/>
          <cell r="G7716"/>
          <cell r="H7716"/>
          <cell r="I7716"/>
          <cell r="J7716"/>
          <cell r="L7716"/>
        </row>
        <row r="7717">
          <cell r="A7717"/>
          <cell r="D7717"/>
          <cell r="E7717"/>
          <cell r="F7717"/>
          <cell r="G7717"/>
          <cell r="H7717"/>
          <cell r="I7717"/>
          <cell r="J7717"/>
          <cell r="L7717"/>
        </row>
        <row r="7718">
          <cell r="A7718"/>
          <cell r="D7718"/>
          <cell r="E7718"/>
          <cell r="F7718"/>
          <cell r="G7718"/>
          <cell r="H7718"/>
          <cell r="I7718"/>
          <cell r="J7718"/>
          <cell r="L7718"/>
        </row>
        <row r="7719">
          <cell r="A7719"/>
          <cell r="D7719"/>
          <cell r="E7719"/>
          <cell r="F7719"/>
          <cell r="G7719"/>
          <cell r="H7719"/>
          <cell r="I7719"/>
          <cell r="J7719"/>
          <cell r="L7719"/>
        </row>
        <row r="7720">
          <cell r="A7720"/>
          <cell r="D7720"/>
          <cell r="E7720"/>
          <cell r="F7720"/>
          <cell r="G7720"/>
          <cell r="H7720"/>
          <cell r="I7720"/>
          <cell r="J7720"/>
          <cell r="L7720"/>
        </row>
        <row r="7721">
          <cell r="A7721"/>
          <cell r="D7721"/>
          <cell r="E7721"/>
          <cell r="F7721"/>
          <cell r="G7721"/>
          <cell r="H7721"/>
          <cell r="I7721"/>
          <cell r="J7721"/>
          <cell r="L7721"/>
        </row>
        <row r="7722">
          <cell r="A7722"/>
          <cell r="D7722"/>
          <cell r="E7722"/>
          <cell r="F7722"/>
          <cell r="G7722"/>
          <cell r="H7722"/>
          <cell r="I7722"/>
          <cell r="J7722"/>
          <cell r="L7722"/>
        </row>
        <row r="7723">
          <cell r="A7723"/>
          <cell r="D7723"/>
          <cell r="E7723"/>
          <cell r="F7723"/>
          <cell r="G7723"/>
          <cell r="H7723"/>
          <cell r="I7723"/>
          <cell r="J7723"/>
          <cell r="L7723"/>
        </row>
        <row r="7724">
          <cell r="A7724"/>
          <cell r="D7724"/>
          <cell r="E7724"/>
          <cell r="F7724"/>
          <cell r="G7724"/>
          <cell r="H7724"/>
          <cell r="I7724"/>
          <cell r="J7724"/>
          <cell r="L7724"/>
        </row>
        <row r="7725">
          <cell r="A7725"/>
          <cell r="D7725"/>
          <cell r="E7725"/>
          <cell r="F7725"/>
          <cell r="G7725"/>
          <cell r="H7725"/>
          <cell r="I7725"/>
          <cell r="J7725"/>
          <cell r="L7725"/>
        </row>
        <row r="7726">
          <cell r="A7726"/>
          <cell r="D7726"/>
          <cell r="E7726"/>
          <cell r="F7726"/>
          <cell r="G7726"/>
          <cell r="H7726"/>
          <cell r="I7726"/>
          <cell r="J7726"/>
          <cell r="L7726"/>
        </row>
        <row r="7727">
          <cell r="A7727"/>
          <cell r="D7727"/>
          <cell r="E7727"/>
          <cell r="F7727"/>
          <cell r="G7727"/>
          <cell r="H7727"/>
          <cell r="I7727"/>
          <cell r="J7727"/>
          <cell r="L7727"/>
        </row>
        <row r="7728">
          <cell r="A7728"/>
          <cell r="D7728"/>
          <cell r="E7728"/>
          <cell r="F7728"/>
          <cell r="G7728"/>
          <cell r="H7728"/>
          <cell r="I7728"/>
          <cell r="J7728"/>
          <cell r="L7728"/>
        </row>
        <row r="7729">
          <cell r="A7729"/>
          <cell r="D7729"/>
          <cell r="E7729"/>
          <cell r="F7729"/>
          <cell r="G7729"/>
          <cell r="H7729"/>
          <cell r="I7729"/>
          <cell r="J7729"/>
          <cell r="L7729"/>
        </row>
        <row r="7730">
          <cell r="A7730"/>
          <cell r="D7730"/>
          <cell r="E7730"/>
          <cell r="F7730"/>
          <cell r="G7730"/>
          <cell r="H7730"/>
          <cell r="I7730"/>
          <cell r="J7730"/>
          <cell r="L7730"/>
        </row>
        <row r="7731">
          <cell r="A7731"/>
          <cell r="D7731"/>
          <cell r="E7731"/>
          <cell r="F7731"/>
          <cell r="G7731"/>
          <cell r="H7731"/>
          <cell r="I7731"/>
          <cell r="J7731"/>
          <cell r="L7731"/>
        </row>
        <row r="7732">
          <cell r="A7732"/>
          <cell r="D7732"/>
          <cell r="E7732"/>
          <cell r="F7732"/>
          <cell r="G7732"/>
          <cell r="H7732"/>
          <cell r="I7732"/>
          <cell r="J7732"/>
          <cell r="L7732"/>
        </row>
        <row r="7733">
          <cell r="A7733"/>
          <cell r="D7733"/>
          <cell r="E7733"/>
          <cell r="F7733"/>
          <cell r="G7733"/>
          <cell r="H7733"/>
          <cell r="I7733"/>
          <cell r="J7733"/>
          <cell r="L7733"/>
        </row>
        <row r="7734">
          <cell r="A7734"/>
          <cell r="D7734"/>
          <cell r="E7734"/>
          <cell r="F7734"/>
          <cell r="G7734"/>
          <cell r="H7734"/>
          <cell r="I7734"/>
          <cell r="J7734"/>
          <cell r="L7734"/>
        </row>
        <row r="7735">
          <cell r="A7735"/>
          <cell r="D7735"/>
          <cell r="E7735"/>
          <cell r="F7735"/>
          <cell r="G7735"/>
          <cell r="H7735"/>
          <cell r="I7735"/>
          <cell r="J7735"/>
          <cell r="L7735"/>
        </row>
        <row r="7736">
          <cell r="A7736"/>
          <cell r="D7736"/>
          <cell r="E7736"/>
          <cell r="F7736"/>
          <cell r="G7736"/>
          <cell r="H7736"/>
          <cell r="I7736"/>
          <cell r="J7736"/>
          <cell r="L7736"/>
        </row>
        <row r="7737">
          <cell r="A7737"/>
          <cell r="D7737"/>
          <cell r="E7737"/>
          <cell r="F7737"/>
          <cell r="G7737"/>
          <cell r="H7737"/>
          <cell r="I7737"/>
          <cell r="J7737"/>
          <cell r="L7737"/>
        </row>
        <row r="7738">
          <cell r="A7738"/>
          <cell r="D7738"/>
          <cell r="E7738"/>
          <cell r="F7738"/>
          <cell r="G7738"/>
          <cell r="H7738"/>
          <cell r="I7738"/>
          <cell r="J7738"/>
          <cell r="L7738"/>
        </row>
        <row r="7739">
          <cell r="A7739"/>
          <cell r="D7739"/>
          <cell r="E7739"/>
          <cell r="F7739"/>
          <cell r="G7739"/>
          <cell r="H7739"/>
          <cell r="I7739"/>
          <cell r="J7739"/>
          <cell r="L7739"/>
        </row>
        <row r="7740">
          <cell r="A7740"/>
          <cell r="D7740"/>
          <cell r="E7740"/>
          <cell r="F7740"/>
          <cell r="G7740"/>
          <cell r="H7740"/>
          <cell r="I7740"/>
          <cell r="J7740"/>
          <cell r="L7740"/>
        </row>
        <row r="7741">
          <cell r="A7741"/>
          <cell r="D7741"/>
          <cell r="E7741"/>
          <cell r="F7741"/>
          <cell r="G7741"/>
          <cell r="H7741"/>
          <cell r="I7741"/>
          <cell r="J7741"/>
          <cell r="L7741"/>
        </row>
        <row r="7742">
          <cell r="A7742"/>
          <cell r="D7742"/>
          <cell r="E7742"/>
          <cell r="F7742"/>
          <cell r="G7742"/>
          <cell r="H7742"/>
          <cell r="I7742"/>
          <cell r="J7742"/>
          <cell r="L7742"/>
        </row>
        <row r="7743">
          <cell r="A7743"/>
          <cell r="D7743"/>
          <cell r="E7743"/>
          <cell r="F7743"/>
          <cell r="G7743"/>
          <cell r="H7743"/>
          <cell r="I7743"/>
          <cell r="J7743"/>
          <cell r="L7743"/>
        </row>
        <row r="7744">
          <cell r="A7744"/>
          <cell r="D7744"/>
          <cell r="E7744"/>
          <cell r="F7744"/>
          <cell r="G7744"/>
          <cell r="H7744"/>
          <cell r="I7744"/>
          <cell r="J7744"/>
          <cell r="L7744"/>
        </row>
        <row r="7745">
          <cell r="A7745"/>
          <cell r="D7745"/>
          <cell r="E7745"/>
          <cell r="F7745"/>
          <cell r="G7745"/>
          <cell r="H7745"/>
          <cell r="I7745"/>
          <cell r="J7745"/>
          <cell r="L7745"/>
        </row>
        <row r="7746">
          <cell r="A7746"/>
          <cell r="D7746"/>
          <cell r="E7746"/>
          <cell r="F7746"/>
          <cell r="G7746"/>
          <cell r="H7746"/>
          <cell r="I7746"/>
          <cell r="J7746"/>
          <cell r="L7746"/>
        </row>
        <row r="7747">
          <cell r="A7747"/>
          <cell r="D7747"/>
          <cell r="E7747"/>
          <cell r="F7747"/>
          <cell r="G7747"/>
          <cell r="H7747"/>
          <cell r="I7747"/>
          <cell r="J7747"/>
          <cell r="L7747"/>
        </row>
        <row r="7748">
          <cell r="A7748"/>
          <cell r="D7748"/>
          <cell r="E7748"/>
          <cell r="F7748"/>
          <cell r="G7748"/>
          <cell r="H7748"/>
          <cell r="I7748"/>
          <cell r="J7748"/>
          <cell r="L7748"/>
        </row>
        <row r="7749">
          <cell r="A7749"/>
          <cell r="D7749"/>
          <cell r="E7749"/>
          <cell r="F7749"/>
          <cell r="G7749"/>
          <cell r="H7749"/>
          <cell r="I7749"/>
          <cell r="J7749"/>
          <cell r="L7749"/>
        </row>
        <row r="7750">
          <cell r="A7750"/>
          <cell r="D7750"/>
          <cell r="E7750"/>
          <cell r="F7750"/>
          <cell r="G7750"/>
          <cell r="H7750"/>
          <cell r="I7750"/>
          <cell r="J7750"/>
          <cell r="L7750"/>
        </row>
        <row r="7751">
          <cell r="A7751"/>
          <cell r="D7751"/>
          <cell r="E7751"/>
          <cell r="F7751"/>
          <cell r="G7751"/>
          <cell r="H7751"/>
          <cell r="I7751"/>
          <cell r="J7751"/>
          <cell r="L7751"/>
        </row>
        <row r="7752">
          <cell r="A7752"/>
          <cell r="D7752"/>
          <cell r="E7752"/>
          <cell r="F7752"/>
          <cell r="G7752"/>
          <cell r="H7752"/>
          <cell r="I7752"/>
          <cell r="J7752"/>
          <cell r="L7752"/>
        </row>
        <row r="7753">
          <cell r="A7753"/>
          <cell r="D7753"/>
          <cell r="E7753"/>
          <cell r="F7753"/>
          <cell r="G7753"/>
          <cell r="H7753"/>
          <cell r="I7753"/>
          <cell r="J7753"/>
          <cell r="L7753"/>
        </row>
        <row r="7754">
          <cell r="A7754"/>
          <cell r="D7754"/>
          <cell r="E7754"/>
          <cell r="F7754"/>
          <cell r="G7754"/>
          <cell r="H7754"/>
          <cell r="I7754"/>
          <cell r="J7754"/>
          <cell r="L7754"/>
        </row>
        <row r="7755">
          <cell r="A7755"/>
          <cell r="D7755"/>
          <cell r="E7755"/>
          <cell r="F7755"/>
          <cell r="G7755"/>
          <cell r="H7755"/>
          <cell r="I7755"/>
          <cell r="J7755"/>
          <cell r="L7755"/>
        </row>
        <row r="7756">
          <cell r="A7756"/>
          <cell r="D7756"/>
          <cell r="E7756"/>
          <cell r="F7756"/>
          <cell r="G7756"/>
          <cell r="H7756"/>
          <cell r="I7756"/>
          <cell r="J7756"/>
          <cell r="L7756"/>
        </row>
        <row r="7757">
          <cell r="A7757"/>
          <cell r="D7757"/>
          <cell r="E7757"/>
          <cell r="F7757"/>
          <cell r="G7757"/>
          <cell r="H7757"/>
          <cell r="I7757"/>
          <cell r="J7757"/>
          <cell r="L7757"/>
        </row>
        <row r="7758">
          <cell r="A7758"/>
          <cell r="D7758"/>
          <cell r="E7758"/>
          <cell r="F7758"/>
          <cell r="G7758"/>
          <cell r="H7758"/>
          <cell r="I7758"/>
          <cell r="J7758"/>
          <cell r="L7758"/>
        </row>
        <row r="7759">
          <cell r="A7759"/>
          <cell r="D7759"/>
          <cell r="E7759"/>
          <cell r="F7759"/>
          <cell r="G7759"/>
          <cell r="H7759"/>
          <cell r="I7759"/>
          <cell r="J7759"/>
          <cell r="L7759"/>
        </row>
        <row r="7760">
          <cell r="A7760"/>
          <cell r="D7760"/>
          <cell r="E7760"/>
          <cell r="F7760"/>
          <cell r="G7760"/>
          <cell r="H7760"/>
          <cell r="I7760"/>
          <cell r="J7760"/>
          <cell r="L7760"/>
        </row>
        <row r="7761">
          <cell r="A7761"/>
          <cell r="D7761"/>
          <cell r="E7761"/>
          <cell r="F7761"/>
          <cell r="G7761"/>
          <cell r="H7761"/>
          <cell r="I7761"/>
          <cell r="J7761"/>
          <cell r="L7761"/>
        </row>
        <row r="7762">
          <cell r="A7762"/>
          <cell r="D7762"/>
          <cell r="E7762"/>
          <cell r="F7762"/>
          <cell r="G7762"/>
          <cell r="H7762"/>
          <cell r="I7762"/>
          <cell r="J7762"/>
          <cell r="L7762"/>
        </row>
        <row r="7763">
          <cell r="A7763"/>
          <cell r="D7763"/>
          <cell r="E7763"/>
          <cell r="F7763"/>
          <cell r="G7763"/>
          <cell r="H7763"/>
          <cell r="I7763"/>
          <cell r="J7763"/>
          <cell r="L7763"/>
        </row>
        <row r="7764">
          <cell r="A7764"/>
          <cell r="D7764"/>
          <cell r="E7764"/>
          <cell r="F7764"/>
          <cell r="G7764"/>
          <cell r="H7764"/>
          <cell r="I7764"/>
          <cell r="J7764"/>
          <cell r="L7764"/>
        </row>
        <row r="7765">
          <cell r="A7765"/>
          <cell r="D7765"/>
          <cell r="E7765"/>
          <cell r="F7765"/>
          <cell r="G7765"/>
          <cell r="H7765"/>
          <cell r="I7765"/>
          <cell r="J7765"/>
          <cell r="L7765"/>
        </row>
        <row r="7766">
          <cell r="A7766"/>
          <cell r="D7766"/>
          <cell r="E7766"/>
          <cell r="F7766"/>
          <cell r="G7766"/>
          <cell r="H7766"/>
          <cell r="I7766"/>
          <cell r="J7766"/>
          <cell r="L7766"/>
        </row>
        <row r="7767">
          <cell r="A7767"/>
          <cell r="D7767"/>
          <cell r="E7767"/>
          <cell r="F7767"/>
          <cell r="G7767"/>
          <cell r="H7767"/>
          <cell r="I7767"/>
          <cell r="J7767"/>
          <cell r="L7767"/>
        </row>
        <row r="7768">
          <cell r="A7768"/>
          <cell r="D7768"/>
          <cell r="E7768"/>
          <cell r="F7768"/>
          <cell r="G7768"/>
          <cell r="H7768"/>
          <cell r="I7768"/>
          <cell r="J7768"/>
          <cell r="L7768"/>
        </row>
        <row r="7769">
          <cell r="A7769"/>
          <cell r="D7769"/>
          <cell r="E7769"/>
          <cell r="F7769"/>
          <cell r="G7769"/>
          <cell r="H7769"/>
          <cell r="I7769"/>
          <cell r="J7769"/>
          <cell r="L7769"/>
        </row>
        <row r="7770">
          <cell r="A7770"/>
          <cell r="D7770"/>
          <cell r="E7770"/>
          <cell r="F7770"/>
          <cell r="G7770"/>
          <cell r="H7770"/>
          <cell r="I7770"/>
          <cell r="J7770"/>
          <cell r="L7770"/>
        </row>
        <row r="7771">
          <cell r="A7771"/>
          <cell r="D7771"/>
          <cell r="E7771"/>
          <cell r="F7771"/>
          <cell r="G7771"/>
          <cell r="H7771"/>
          <cell r="I7771"/>
          <cell r="J7771"/>
          <cell r="L7771"/>
        </row>
        <row r="7772">
          <cell r="A7772"/>
          <cell r="D7772"/>
          <cell r="E7772"/>
          <cell r="F7772"/>
          <cell r="G7772"/>
          <cell r="H7772"/>
          <cell r="I7772"/>
          <cell r="J7772"/>
          <cell r="L7772"/>
        </row>
        <row r="7773">
          <cell r="A7773"/>
          <cell r="D7773"/>
          <cell r="E7773"/>
          <cell r="F7773"/>
          <cell r="G7773"/>
          <cell r="H7773"/>
          <cell r="I7773"/>
          <cell r="J7773"/>
          <cell r="L7773"/>
        </row>
        <row r="7774">
          <cell r="A7774"/>
          <cell r="D7774"/>
          <cell r="E7774"/>
          <cell r="F7774"/>
          <cell r="G7774"/>
          <cell r="H7774"/>
          <cell r="I7774"/>
          <cell r="J7774"/>
          <cell r="L7774"/>
        </row>
        <row r="7775">
          <cell r="A7775"/>
          <cell r="D7775"/>
          <cell r="E7775"/>
          <cell r="F7775"/>
          <cell r="G7775"/>
          <cell r="H7775"/>
          <cell r="I7775"/>
          <cell r="J7775"/>
          <cell r="L7775"/>
        </row>
        <row r="7776">
          <cell r="A7776"/>
          <cell r="D7776"/>
          <cell r="E7776"/>
          <cell r="F7776"/>
          <cell r="G7776"/>
          <cell r="H7776"/>
          <cell r="I7776"/>
          <cell r="J7776"/>
          <cell r="L7776"/>
        </row>
        <row r="7777">
          <cell r="A7777"/>
          <cell r="D7777"/>
          <cell r="E7777"/>
          <cell r="F7777"/>
          <cell r="G7777"/>
          <cell r="H7777"/>
          <cell r="I7777"/>
          <cell r="J7777"/>
          <cell r="L7777"/>
        </row>
        <row r="7778">
          <cell r="A7778"/>
          <cell r="D7778"/>
          <cell r="E7778"/>
          <cell r="F7778"/>
          <cell r="G7778"/>
          <cell r="H7778"/>
          <cell r="I7778"/>
          <cell r="J7778"/>
          <cell r="L7778"/>
        </row>
        <row r="7779">
          <cell r="A7779"/>
          <cell r="D7779"/>
          <cell r="E7779"/>
          <cell r="F7779"/>
          <cell r="G7779"/>
          <cell r="H7779"/>
          <cell r="I7779"/>
          <cell r="J7779"/>
          <cell r="L7779"/>
        </row>
        <row r="7780">
          <cell r="A7780"/>
          <cell r="D7780"/>
          <cell r="E7780"/>
          <cell r="F7780"/>
          <cell r="G7780"/>
          <cell r="H7780"/>
          <cell r="I7780"/>
          <cell r="J7780"/>
          <cell r="L7780"/>
        </row>
        <row r="7781">
          <cell r="A7781"/>
          <cell r="D7781"/>
          <cell r="E7781"/>
          <cell r="F7781"/>
          <cell r="G7781"/>
          <cell r="H7781"/>
          <cell r="I7781"/>
          <cell r="J7781"/>
          <cell r="L7781"/>
        </row>
        <row r="7782">
          <cell r="A7782"/>
          <cell r="D7782"/>
          <cell r="E7782"/>
          <cell r="F7782"/>
          <cell r="G7782"/>
          <cell r="H7782"/>
          <cell r="I7782"/>
          <cell r="J7782"/>
          <cell r="L7782"/>
        </row>
        <row r="7783">
          <cell r="A7783"/>
          <cell r="D7783"/>
          <cell r="E7783"/>
          <cell r="F7783"/>
          <cell r="G7783"/>
          <cell r="H7783"/>
          <cell r="I7783"/>
          <cell r="J7783"/>
          <cell r="L7783"/>
        </row>
        <row r="7784">
          <cell r="A7784"/>
          <cell r="D7784"/>
          <cell r="E7784"/>
          <cell r="F7784"/>
          <cell r="G7784"/>
          <cell r="H7784"/>
          <cell r="I7784"/>
          <cell r="J7784"/>
          <cell r="L7784"/>
        </row>
        <row r="7785">
          <cell r="A7785"/>
          <cell r="D7785"/>
          <cell r="E7785"/>
          <cell r="F7785"/>
          <cell r="G7785"/>
          <cell r="H7785"/>
          <cell r="I7785"/>
          <cell r="J7785"/>
          <cell r="L7785"/>
        </row>
        <row r="7786">
          <cell r="A7786"/>
          <cell r="D7786"/>
          <cell r="E7786"/>
          <cell r="F7786"/>
          <cell r="G7786"/>
          <cell r="H7786"/>
          <cell r="I7786"/>
          <cell r="J7786"/>
          <cell r="L7786"/>
        </row>
        <row r="7787">
          <cell r="A7787"/>
          <cell r="D7787"/>
          <cell r="E7787"/>
          <cell r="F7787"/>
          <cell r="G7787"/>
          <cell r="H7787"/>
          <cell r="I7787"/>
          <cell r="J7787"/>
          <cell r="L7787"/>
        </row>
        <row r="7788">
          <cell r="A7788"/>
          <cell r="D7788"/>
          <cell r="E7788"/>
          <cell r="F7788"/>
          <cell r="G7788"/>
          <cell r="H7788"/>
          <cell r="I7788"/>
          <cell r="J7788"/>
          <cell r="L7788"/>
        </row>
        <row r="7789">
          <cell r="A7789"/>
          <cell r="D7789"/>
          <cell r="E7789"/>
          <cell r="F7789"/>
          <cell r="G7789"/>
          <cell r="H7789"/>
          <cell r="I7789"/>
          <cell r="J7789"/>
          <cell r="L7789"/>
        </row>
        <row r="7790">
          <cell r="A7790"/>
          <cell r="D7790"/>
          <cell r="E7790"/>
          <cell r="F7790"/>
          <cell r="G7790"/>
          <cell r="H7790"/>
          <cell r="I7790"/>
          <cell r="J7790"/>
          <cell r="L7790"/>
        </row>
        <row r="7791">
          <cell r="A7791"/>
          <cell r="D7791"/>
          <cell r="E7791"/>
          <cell r="F7791"/>
          <cell r="G7791"/>
          <cell r="H7791"/>
          <cell r="I7791"/>
          <cell r="J7791"/>
          <cell r="L7791"/>
        </row>
        <row r="7792">
          <cell r="A7792"/>
          <cell r="D7792"/>
          <cell r="E7792"/>
          <cell r="F7792"/>
          <cell r="G7792"/>
          <cell r="H7792"/>
          <cell r="I7792"/>
          <cell r="J7792"/>
          <cell r="L7792"/>
        </row>
        <row r="7793">
          <cell r="A7793"/>
          <cell r="D7793"/>
          <cell r="E7793"/>
          <cell r="F7793"/>
          <cell r="G7793"/>
          <cell r="H7793"/>
          <cell r="I7793"/>
          <cell r="J7793"/>
          <cell r="L7793"/>
        </row>
        <row r="7794">
          <cell r="A7794"/>
          <cell r="D7794"/>
          <cell r="E7794"/>
          <cell r="F7794"/>
          <cell r="G7794"/>
          <cell r="H7794"/>
          <cell r="I7794"/>
          <cell r="J7794"/>
          <cell r="L7794"/>
        </row>
        <row r="7795">
          <cell r="A7795"/>
          <cell r="D7795"/>
          <cell r="E7795"/>
          <cell r="F7795"/>
          <cell r="G7795"/>
          <cell r="H7795"/>
          <cell r="I7795"/>
          <cell r="J7795"/>
          <cell r="L7795"/>
        </row>
        <row r="7796">
          <cell r="A7796"/>
          <cell r="D7796"/>
          <cell r="E7796"/>
          <cell r="F7796"/>
          <cell r="G7796"/>
          <cell r="H7796"/>
          <cell r="I7796"/>
          <cell r="J7796"/>
          <cell r="L7796"/>
        </row>
        <row r="7797">
          <cell r="A7797"/>
          <cell r="D7797"/>
          <cell r="E7797"/>
          <cell r="F7797"/>
          <cell r="G7797"/>
          <cell r="H7797"/>
          <cell r="I7797"/>
          <cell r="J7797"/>
          <cell r="L7797"/>
        </row>
        <row r="7798">
          <cell r="A7798"/>
          <cell r="D7798"/>
          <cell r="E7798"/>
          <cell r="F7798"/>
          <cell r="G7798"/>
          <cell r="H7798"/>
          <cell r="I7798"/>
          <cell r="J7798"/>
          <cell r="L7798"/>
        </row>
        <row r="7799">
          <cell r="A7799"/>
          <cell r="D7799"/>
          <cell r="E7799"/>
          <cell r="F7799"/>
          <cell r="G7799"/>
          <cell r="H7799"/>
          <cell r="I7799"/>
          <cell r="J7799"/>
          <cell r="L7799"/>
        </row>
        <row r="7800">
          <cell r="A7800"/>
          <cell r="D7800"/>
          <cell r="E7800"/>
          <cell r="F7800"/>
          <cell r="G7800"/>
          <cell r="H7800"/>
          <cell r="I7800"/>
          <cell r="J7800"/>
          <cell r="L7800"/>
        </row>
        <row r="7801">
          <cell r="A7801"/>
          <cell r="D7801"/>
          <cell r="E7801"/>
          <cell r="F7801"/>
          <cell r="G7801"/>
          <cell r="H7801"/>
          <cell r="I7801"/>
          <cell r="J7801"/>
          <cell r="L7801"/>
        </row>
        <row r="7802">
          <cell r="A7802"/>
          <cell r="D7802"/>
          <cell r="E7802"/>
          <cell r="F7802"/>
          <cell r="G7802"/>
          <cell r="H7802"/>
          <cell r="I7802"/>
          <cell r="J7802"/>
          <cell r="L7802"/>
        </row>
        <row r="7803">
          <cell r="A7803"/>
          <cell r="D7803"/>
          <cell r="E7803"/>
          <cell r="F7803"/>
          <cell r="G7803"/>
          <cell r="H7803"/>
          <cell r="I7803"/>
          <cell r="J7803"/>
          <cell r="L7803"/>
        </row>
        <row r="7804">
          <cell r="A7804"/>
          <cell r="D7804"/>
          <cell r="E7804"/>
          <cell r="F7804"/>
          <cell r="G7804"/>
          <cell r="H7804"/>
          <cell r="I7804"/>
          <cell r="J7804"/>
          <cell r="L7804"/>
        </row>
        <row r="7805">
          <cell r="A7805"/>
          <cell r="D7805"/>
          <cell r="E7805"/>
          <cell r="F7805"/>
          <cell r="G7805"/>
          <cell r="H7805"/>
          <cell r="I7805"/>
          <cell r="J7805"/>
          <cell r="L7805"/>
        </row>
        <row r="7806">
          <cell r="A7806"/>
          <cell r="D7806"/>
          <cell r="E7806"/>
          <cell r="F7806"/>
          <cell r="G7806"/>
          <cell r="H7806"/>
          <cell r="I7806"/>
          <cell r="J7806"/>
          <cell r="L7806"/>
        </row>
        <row r="7807">
          <cell r="A7807"/>
          <cell r="D7807"/>
          <cell r="E7807"/>
          <cell r="F7807"/>
          <cell r="G7807"/>
          <cell r="H7807"/>
          <cell r="I7807"/>
          <cell r="J7807"/>
          <cell r="L7807"/>
        </row>
        <row r="7808">
          <cell r="A7808"/>
          <cell r="D7808"/>
          <cell r="E7808"/>
          <cell r="F7808"/>
          <cell r="G7808"/>
          <cell r="H7808"/>
          <cell r="I7808"/>
          <cell r="J7808"/>
          <cell r="L7808"/>
        </row>
        <row r="7809">
          <cell r="A7809"/>
          <cell r="D7809"/>
          <cell r="E7809"/>
          <cell r="F7809"/>
          <cell r="G7809"/>
          <cell r="H7809"/>
          <cell r="I7809"/>
          <cell r="J7809"/>
          <cell r="L7809"/>
        </row>
        <row r="7810">
          <cell r="A7810"/>
          <cell r="D7810"/>
          <cell r="E7810"/>
          <cell r="F7810"/>
          <cell r="G7810"/>
          <cell r="H7810"/>
          <cell r="I7810"/>
          <cell r="J7810"/>
          <cell r="L7810"/>
        </row>
        <row r="7811">
          <cell r="A7811"/>
          <cell r="D7811"/>
          <cell r="E7811"/>
          <cell r="F7811"/>
          <cell r="G7811"/>
          <cell r="H7811"/>
          <cell r="I7811"/>
          <cell r="J7811"/>
          <cell r="L7811"/>
        </row>
        <row r="7812">
          <cell r="A7812"/>
          <cell r="D7812"/>
          <cell r="E7812"/>
          <cell r="F7812"/>
          <cell r="G7812"/>
          <cell r="H7812"/>
          <cell r="I7812"/>
          <cell r="J7812"/>
          <cell r="L7812"/>
        </row>
        <row r="7813">
          <cell r="A7813"/>
          <cell r="D7813"/>
          <cell r="E7813"/>
          <cell r="F7813"/>
          <cell r="G7813"/>
          <cell r="H7813"/>
          <cell r="I7813"/>
          <cell r="J7813"/>
          <cell r="L7813"/>
        </row>
        <row r="7814">
          <cell r="A7814"/>
          <cell r="D7814"/>
          <cell r="E7814"/>
          <cell r="F7814"/>
          <cell r="G7814"/>
          <cell r="H7814"/>
          <cell r="I7814"/>
          <cell r="J7814"/>
          <cell r="L7814"/>
        </row>
        <row r="7815">
          <cell r="A7815"/>
          <cell r="D7815"/>
          <cell r="E7815"/>
          <cell r="F7815"/>
          <cell r="G7815"/>
          <cell r="H7815"/>
          <cell r="I7815"/>
          <cell r="J7815"/>
          <cell r="L7815"/>
        </row>
        <row r="7816">
          <cell r="A7816"/>
          <cell r="D7816"/>
          <cell r="E7816"/>
          <cell r="F7816"/>
          <cell r="G7816"/>
          <cell r="H7816"/>
          <cell r="I7816"/>
          <cell r="J7816"/>
          <cell r="L7816"/>
        </row>
        <row r="7817">
          <cell r="A7817"/>
          <cell r="D7817"/>
          <cell r="E7817"/>
          <cell r="F7817"/>
          <cell r="G7817"/>
          <cell r="H7817"/>
          <cell r="I7817"/>
          <cell r="J7817"/>
          <cell r="L7817"/>
        </row>
        <row r="7818">
          <cell r="A7818"/>
          <cell r="D7818"/>
          <cell r="E7818"/>
          <cell r="F7818"/>
          <cell r="G7818"/>
          <cell r="H7818"/>
          <cell r="I7818"/>
          <cell r="J7818"/>
          <cell r="L7818"/>
        </row>
        <row r="7819">
          <cell r="A7819"/>
          <cell r="D7819"/>
          <cell r="E7819"/>
          <cell r="F7819"/>
          <cell r="G7819"/>
          <cell r="H7819"/>
          <cell r="I7819"/>
          <cell r="J7819"/>
          <cell r="L7819"/>
        </row>
        <row r="7820">
          <cell r="A7820"/>
          <cell r="D7820"/>
          <cell r="E7820"/>
          <cell r="F7820"/>
          <cell r="G7820"/>
          <cell r="H7820"/>
          <cell r="I7820"/>
          <cell r="J7820"/>
          <cell r="L7820"/>
        </row>
        <row r="7821">
          <cell r="A7821"/>
          <cell r="D7821"/>
          <cell r="E7821"/>
          <cell r="F7821"/>
          <cell r="G7821"/>
          <cell r="H7821"/>
          <cell r="I7821"/>
          <cell r="J7821"/>
          <cell r="L7821"/>
        </row>
        <row r="7822">
          <cell r="A7822"/>
          <cell r="D7822"/>
          <cell r="E7822"/>
          <cell r="F7822"/>
          <cell r="G7822"/>
          <cell r="H7822"/>
          <cell r="I7822"/>
          <cell r="J7822"/>
          <cell r="L7822"/>
        </row>
        <row r="7823">
          <cell r="A7823"/>
          <cell r="D7823"/>
          <cell r="E7823"/>
          <cell r="F7823"/>
          <cell r="G7823"/>
          <cell r="H7823"/>
          <cell r="I7823"/>
          <cell r="J7823"/>
          <cell r="L7823"/>
        </row>
        <row r="7824">
          <cell r="A7824"/>
          <cell r="D7824"/>
          <cell r="E7824"/>
          <cell r="F7824"/>
          <cell r="G7824"/>
          <cell r="H7824"/>
          <cell r="I7824"/>
          <cell r="J7824"/>
          <cell r="L7824"/>
        </row>
        <row r="7825">
          <cell r="A7825"/>
          <cell r="D7825"/>
          <cell r="E7825"/>
          <cell r="F7825"/>
          <cell r="G7825"/>
          <cell r="H7825"/>
          <cell r="I7825"/>
          <cell r="J7825"/>
          <cell r="L7825"/>
        </row>
        <row r="7826">
          <cell r="A7826"/>
          <cell r="D7826"/>
          <cell r="E7826"/>
          <cell r="F7826"/>
          <cell r="G7826"/>
          <cell r="H7826"/>
          <cell r="I7826"/>
          <cell r="J7826"/>
          <cell r="L7826"/>
        </row>
        <row r="7827">
          <cell r="A7827"/>
          <cell r="D7827"/>
          <cell r="E7827"/>
          <cell r="F7827"/>
          <cell r="G7827"/>
          <cell r="H7827"/>
          <cell r="I7827"/>
          <cell r="J7827"/>
          <cell r="L7827"/>
        </row>
        <row r="7828">
          <cell r="A7828"/>
          <cell r="D7828"/>
          <cell r="E7828"/>
          <cell r="F7828"/>
          <cell r="G7828"/>
          <cell r="H7828"/>
          <cell r="I7828"/>
          <cell r="J7828"/>
          <cell r="L7828"/>
        </row>
        <row r="7829">
          <cell r="A7829"/>
          <cell r="D7829"/>
          <cell r="E7829"/>
          <cell r="F7829"/>
          <cell r="G7829"/>
          <cell r="H7829"/>
          <cell r="I7829"/>
          <cell r="J7829"/>
          <cell r="L7829"/>
        </row>
        <row r="7830">
          <cell r="A7830"/>
          <cell r="D7830"/>
          <cell r="E7830"/>
          <cell r="F7830"/>
          <cell r="G7830"/>
          <cell r="H7830"/>
          <cell r="I7830"/>
          <cell r="J7830"/>
          <cell r="L7830"/>
        </row>
        <row r="7831">
          <cell r="A7831"/>
          <cell r="D7831"/>
          <cell r="E7831"/>
          <cell r="F7831"/>
          <cell r="G7831"/>
          <cell r="H7831"/>
          <cell r="I7831"/>
          <cell r="J7831"/>
          <cell r="L7831"/>
        </row>
        <row r="7832">
          <cell r="A7832"/>
          <cell r="D7832"/>
          <cell r="E7832"/>
          <cell r="F7832"/>
          <cell r="G7832"/>
          <cell r="H7832"/>
          <cell r="I7832"/>
          <cell r="J7832"/>
          <cell r="L7832"/>
        </row>
        <row r="7833">
          <cell r="A7833"/>
          <cell r="D7833"/>
          <cell r="E7833"/>
          <cell r="F7833"/>
          <cell r="G7833"/>
          <cell r="H7833"/>
          <cell r="I7833"/>
          <cell r="J7833"/>
          <cell r="L7833"/>
        </row>
        <row r="7834">
          <cell r="A7834"/>
          <cell r="D7834"/>
          <cell r="E7834"/>
          <cell r="F7834"/>
          <cell r="G7834"/>
          <cell r="H7834"/>
          <cell r="I7834"/>
          <cell r="J7834"/>
          <cell r="L7834"/>
        </row>
        <row r="7835">
          <cell r="A7835"/>
          <cell r="D7835"/>
          <cell r="E7835"/>
          <cell r="F7835"/>
          <cell r="G7835"/>
          <cell r="H7835"/>
          <cell r="I7835"/>
          <cell r="J7835"/>
          <cell r="L7835"/>
        </row>
        <row r="7836">
          <cell r="A7836"/>
          <cell r="D7836"/>
          <cell r="E7836"/>
          <cell r="F7836"/>
          <cell r="G7836"/>
          <cell r="H7836"/>
          <cell r="I7836"/>
          <cell r="J7836"/>
          <cell r="L7836"/>
        </row>
        <row r="7837">
          <cell r="A7837"/>
          <cell r="D7837"/>
          <cell r="E7837"/>
          <cell r="F7837"/>
          <cell r="G7837"/>
          <cell r="H7837"/>
          <cell r="I7837"/>
          <cell r="J7837"/>
          <cell r="L7837"/>
        </row>
        <row r="7838">
          <cell r="A7838"/>
          <cell r="D7838"/>
          <cell r="E7838"/>
          <cell r="F7838"/>
          <cell r="G7838"/>
          <cell r="H7838"/>
          <cell r="I7838"/>
          <cell r="J7838"/>
          <cell r="L7838"/>
        </row>
        <row r="7839">
          <cell r="A7839"/>
          <cell r="D7839"/>
          <cell r="E7839"/>
          <cell r="F7839"/>
          <cell r="G7839"/>
          <cell r="H7839"/>
          <cell r="I7839"/>
          <cell r="J7839"/>
          <cell r="L7839"/>
        </row>
        <row r="7840">
          <cell r="A7840"/>
          <cell r="D7840"/>
          <cell r="E7840"/>
          <cell r="F7840"/>
          <cell r="G7840"/>
          <cell r="H7840"/>
          <cell r="I7840"/>
          <cell r="J7840"/>
          <cell r="L7840"/>
        </row>
        <row r="7841">
          <cell r="A7841"/>
          <cell r="D7841"/>
          <cell r="E7841"/>
          <cell r="F7841"/>
          <cell r="G7841"/>
          <cell r="H7841"/>
          <cell r="I7841"/>
          <cell r="J7841"/>
          <cell r="L7841"/>
        </row>
        <row r="7842">
          <cell r="A7842"/>
          <cell r="D7842"/>
          <cell r="E7842"/>
          <cell r="F7842"/>
          <cell r="G7842"/>
          <cell r="H7842"/>
          <cell r="I7842"/>
          <cell r="J7842"/>
          <cell r="L7842"/>
        </row>
        <row r="7843">
          <cell r="A7843"/>
          <cell r="D7843"/>
          <cell r="E7843"/>
          <cell r="F7843"/>
          <cell r="G7843"/>
          <cell r="H7843"/>
          <cell r="I7843"/>
          <cell r="J7843"/>
          <cell r="L7843"/>
        </row>
        <row r="7844">
          <cell r="A7844"/>
          <cell r="D7844"/>
          <cell r="E7844"/>
          <cell r="F7844"/>
          <cell r="G7844"/>
          <cell r="H7844"/>
          <cell r="I7844"/>
          <cell r="J7844"/>
          <cell r="L7844"/>
        </row>
        <row r="7845">
          <cell r="A7845"/>
          <cell r="D7845"/>
          <cell r="E7845"/>
          <cell r="F7845"/>
          <cell r="G7845"/>
          <cell r="H7845"/>
          <cell r="I7845"/>
          <cell r="J7845"/>
          <cell r="L7845"/>
        </row>
        <row r="7846">
          <cell r="A7846"/>
          <cell r="D7846"/>
          <cell r="E7846"/>
          <cell r="F7846"/>
          <cell r="G7846"/>
          <cell r="H7846"/>
          <cell r="I7846"/>
          <cell r="J7846"/>
          <cell r="L7846"/>
        </row>
        <row r="7847">
          <cell r="A7847"/>
          <cell r="D7847"/>
          <cell r="E7847"/>
          <cell r="F7847"/>
          <cell r="G7847"/>
          <cell r="H7847"/>
          <cell r="I7847"/>
          <cell r="J7847"/>
          <cell r="L7847"/>
        </row>
        <row r="7848">
          <cell r="A7848"/>
          <cell r="D7848"/>
          <cell r="E7848"/>
          <cell r="F7848"/>
          <cell r="G7848"/>
          <cell r="H7848"/>
          <cell r="I7848"/>
          <cell r="J7848"/>
          <cell r="L7848"/>
        </row>
        <row r="7849">
          <cell r="A7849"/>
          <cell r="D7849"/>
          <cell r="E7849"/>
          <cell r="F7849"/>
          <cell r="G7849"/>
          <cell r="H7849"/>
          <cell r="I7849"/>
          <cell r="J7849"/>
          <cell r="L7849"/>
        </row>
        <row r="7850">
          <cell r="A7850"/>
          <cell r="D7850"/>
          <cell r="E7850"/>
          <cell r="F7850"/>
          <cell r="G7850"/>
          <cell r="H7850"/>
          <cell r="I7850"/>
          <cell r="J7850"/>
          <cell r="L7850"/>
        </row>
        <row r="7851">
          <cell r="A7851"/>
          <cell r="D7851"/>
          <cell r="E7851"/>
          <cell r="F7851"/>
          <cell r="G7851"/>
          <cell r="H7851"/>
          <cell r="I7851"/>
          <cell r="J7851"/>
          <cell r="L7851"/>
        </row>
        <row r="7852">
          <cell r="A7852"/>
          <cell r="D7852"/>
          <cell r="E7852"/>
          <cell r="F7852"/>
          <cell r="G7852"/>
          <cell r="H7852"/>
          <cell r="I7852"/>
          <cell r="J7852"/>
          <cell r="L7852"/>
        </row>
        <row r="7853">
          <cell r="A7853"/>
          <cell r="D7853"/>
          <cell r="E7853"/>
          <cell r="F7853"/>
          <cell r="G7853"/>
          <cell r="H7853"/>
          <cell r="I7853"/>
          <cell r="J7853"/>
          <cell r="L7853"/>
        </row>
        <row r="7854">
          <cell r="A7854"/>
          <cell r="D7854"/>
          <cell r="E7854"/>
          <cell r="F7854"/>
          <cell r="G7854"/>
          <cell r="H7854"/>
          <cell r="I7854"/>
          <cell r="J7854"/>
          <cell r="L7854"/>
        </row>
        <row r="7855">
          <cell r="A7855"/>
          <cell r="D7855"/>
          <cell r="E7855"/>
          <cell r="F7855"/>
          <cell r="G7855"/>
          <cell r="H7855"/>
          <cell r="I7855"/>
          <cell r="J7855"/>
          <cell r="L7855"/>
        </row>
        <row r="7856">
          <cell r="A7856"/>
          <cell r="D7856"/>
          <cell r="E7856"/>
          <cell r="F7856"/>
          <cell r="G7856"/>
          <cell r="H7856"/>
          <cell r="I7856"/>
          <cell r="J7856"/>
          <cell r="L7856"/>
        </row>
        <row r="7857">
          <cell r="A7857"/>
          <cell r="D7857"/>
          <cell r="E7857"/>
          <cell r="F7857"/>
          <cell r="G7857"/>
          <cell r="H7857"/>
          <cell r="I7857"/>
          <cell r="J7857"/>
          <cell r="L7857"/>
        </row>
        <row r="7858">
          <cell r="A7858"/>
          <cell r="D7858"/>
          <cell r="E7858"/>
          <cell r="F7858"/>
          <cell r="G7858"/>
          <cell r="H7858"/>
          <cell r="I7858"/>
          <cell r="J7858"/>
          <cell r="L7858"/>
        </row>
        <row r="7859">
          <cell r="A7859"/>
          <cell r="D7859"/>
          <cell r="E7859"/>
          <cell r="F7859"/>
          <cell r="G7859"/>
          <cell r="H7859"/>
          <cell r="I7859"/>
          <cell r="J7859"/>
          <cell r="L7859"/>
        </row>
        <row r="7860">
          <cell r="A7860"/>
          <cell r="D7860"/>
          <cell r="E7860"/>
          <cell r="F7860"/>
          <cell r="G7860"/>
          <cell r="H7860"/>
          <cell r="I7860"/>
          <cell r="J7860"/>
          <cell r="L7860"/>
        </row>
        <row r="7861">
          <cell r="A7861"/>
          <cell r="D7861"/>
          <cell r="E7861"/>
          <cell r="F7861"/>
          <cell r="G7861"/>
          <cell r="H7861"/>
          <cell r="I7861"/>
          <cell r="J7861"/>
          <cell r="L7861"/>
        </row>
        <row r="7862">
          <cell r="A7862"/>
          <cell r="D7862"/>
          <cell r="E7862"/>
          <cell r="F7862"/>
          <cell r="G7862"/>
          <cell r="H7862"/>
          <cell r="I7862"/>
          <cell r="J7862"/>
          <cell r="L7862"/>
        </row>
        <row r="7863">
          <cell r="A7863"/>
          <cell r="D7863"/>
          <cell r="E7863"/>
          <cell r="F7863"/>
          <cell r="G7863"/>
          <cell r="H7863"/>
          <cell r="I7863"/>
          <cell r="J7863"/>
          <cell r="L7863"/>
        </row>
        <row r="7864">
          <cell r="A7864"/>
          <cell r="D7864"/>
          <cell r="E7864"/>
          <cell r="F7864"/>
          <cell r="G7864"/>
          <cell r="H7864"/>
          <cell r="I7864"/>
          <cell r="J7864"/>
          <cell r="L7864"/>
        </row>
        <row r="7865">
          <cell r="A7865"/>
          <cell r="D7865"/>
          <cell r="E7865"/>
          <cell r="F7865"/>
          <cell r="G7865"/>
          <cell r="H7865"/>
          <cell r="I7865"/>
          <cell r="J7865"/>
          <cell r="L7865"/>
        </row>
        <row r="7866">
          <cell r="A7866"/>
          <cell r="D7866"/>
          <cell r="E7866"/>
          <cell r="F7866"/>
          <cell r="G7866"/>
          <cell r="H7866"/>
          <cell r="I7866"/>
          <cell r="J7866"/>
          <cell r="L7866"/>
        </row>
        <row r="7867">
          <cell r="A7867"/>
          <cell r="D7867"/>
          <cell r="E7867"/>
          <cell r="F7867"/>
          <cell r="G7867"/>
          <cell r="H7867"/>
          <cell r="I7867"/>
          <cell r="J7867"/>
          <cell r="L7867"/>
        </row>
        <row r="7868">
          <cell r="A7868"/>
          <cell r="D7868"/>
          <cell r="E7868"/>
          <cell r="F7868"/>
          <cell r="G7868"/>
          <cell r="H7868"/>
          <cell r="I7868"/>
          <cell r="J7868"/>
          <cell r="L7868"/>
        </row>
        <row r="7869">
          <cell r="A7869"/>
          <cell r="D7869"/>
          <cell r="E7869"/>
          <cell r="F7869"/>
          <cell r="G7869"/>
          <cell r="H7869"/>
          <cell r="I7869"/>
          <cell r="J7869"/>
          <cell r="L7869"/>
        </row>
        <row r="7870">
          <cell r="A7870"/>
          <cell r="D7870"/>
          <cell r="E7870"/>
          <cell r="F7870"/>
          <cell r="G7870"/>
          <cell r="H7870"/>
          <cell r="I7870"/>
          <cell r="J7870"/>
          <cell r="L7870"/>
        </row>
        <row r="7871">
          <cell r="A7871"/>
          <cell r="D7871"/>
          <cell r="E7871"/>
          <cell r="F7871"/>
          <cell r="G7871"/>
          <cell r="H7871"/>
          <cell r="I7871"/>
          <cell r="J7871"/>
          <cell r="L7871"/>
        </row>
        <row r="7872">
          <cell r="A7872"/>
          <cell r="D7872"/>
          <cell r="E7872"/>
          <cell r="F7872"/>
          <cell r="G7872"/>
          <cell r="H7872"/>
          <cell r="I7872"/>
          <cell r="J7872"/>
          <cell r="L7872"/>
        </row>
        <row r="7873">
          <cell r="A7873"/>
          <cell r="D7873"/>
          <cell r="E7873"/>
          <cell r="F7873"/>
          <cell r="G7873"/>
          <cell r="H7873"/>
          <cell r="I7873"/>
          <cell r="J7873"/>
          <cell r="L7873"/>
        </row>
        <row r="7874">
          <cell r="A7874"/>
          <cell r="D7874"/>
          <cell r="E7874"/>
          <cell r="F7874"/>
          <cell r="G7874"/>
          <cell r="H7874"/>
          <cell r="I7874"/>
          <cell r="J7874"/>
          <cell r="L7874"/>
        </row>
        <row r="7875">
          <cell r="A7875"/>
          <cell r="D7875"/>
          <cell r="E7875"/>
          <cell r="F7875"/>
          <cell r="G7875"/>
          <cell r="H7875"/>
          <cell r="I7875"/>
          <cell r="J7875"/>
          <cell r="L7875"/>
        </row>
        <row r="7876">
          <cell r="A7876"/>
          <cell r="D7876"/>
          <cell r="E7876"/>
          <cell r="F7876"/>
          <cell r="G7876"/>
          <cell r="H7876"/>
          <cell r="I7876"/>
          <cell r="J7876"/>
          <cell r="L7876"/>
        </row>
        <row r="7877">
          <cell r="A7877"/>
          <cell r="D7877"/>
          <cell r="E7877"/>
          <cell r="F7877"/>
          <cell r="G7877"/>
          <cell r="H7877"/>
          <cell r="I7877"/>
          <cell r="J7877"/>
          <cell r="L7877"/>
        </row>
        <row r="7878">
          <cell r="A7878"/>
          <cell r="D7878"/>
          <cell r="E7878"/>
          <cell r="F7878"/>
          <cell r="G7878"/>
          <cell r="H7878"/>
          <cell r="I7878"/>
          <cell r="J7878"/>
          <cell r="L7878"/>
        </row>
        <row r="7879">
          <cell r="A7879"/>
          <cell r="D7879"/>
          <cell r="E7879"/>
          <cell r="F7879"/>
          <cell r="G7879"/>
          <cell r="H7879"/>
          <cell r="I7879"/>
          <cell r="J7879"/>
          <cell r="L7879"/>
        </row>
        <row r="7880">
          <cell r="A7880"/>
          <cell r="D7880"/>
          <cell r="E7880"/>
          <cell r="F7880"/>
          <cell r="G7880"/>
          <cell r="H7880"/>
          <cell r="I7880"/>
          <cell r="J7880"/>
          <cell r="L7880"/>
        </row>
        <row r="7881">
          <cell r="A7881"/>
          <cell r="D7881"/>
          <cell r="E7881"/>
          <cell r="F7881"/>
          <cell r="G7881"/>
          <cell r="H7881"/>
          <cell r="I7881"/>
          <cell r="J7881"/>
          <cell r="L7881"/>
        </row>
        <row r="7882">
          <cell r="A7882"/>
          <cell r="D7882"/>
          <cell r="E7882"/>
          <cell r="F7882"/>
          <cell r="G7882"/>
          <cell r="H7882"/>
          <cell r="I7882"/>
          <cell r="J7882"/>
          <cell r="L7882"/>
        </row>
        <row r="7883">
          <cell r="A7883"/>
          <cell r="D7883"/>
          <cell r="E7883"/>
          <cell r="F7883"/>
          <cell r="G7883"/>
          <cell r="H7883"/>
          <cell r="I7883"/>
          <cell r="J7883"/>
          <cell r="L7883"/>
        </row>
        <row r="7884">
          <cell r="A7884"/>
          <cell r="D7884"/>
          <cell r="E7884"/>
          <cell r="F7884"/>
          <cell r="G7884"/>
          <cell r="H7884"/>
          <cell r="I7884"/>
          <cell r="J7884"/>
          <cell r="L7884"/>
        </row>
        <row r="7885">
          <cell r="A7885"/>
          <cell r="D7885"/>
          <cell r="E7885"/>
          <cell r="F7885"/>
          <cell r="G7885"/>
          <cell r="H7885"/>
          <cell r="I7885"/>
          <cell r="J7885"/>
          <cell r="L7885"/>
        </row>
        <row r="7886">
          <cell r="A7886"/>
          <cell r="D7886"/>
          <cell r="E7886"/>
          <cell r="F7886"/>
          <cell r="G7886"/>
          <cell r="H7886"/>
          <cell r="I7886"/>
          <cell r="J7886"/>
          <cell r="L7886"/>
        </row>
        <row r="7887">
          <cell r="A7887"/>
          <cell r="D7887"/>
          <cell r="E7887"/>
          <cell r="F7887"/>
          <cell r="G7887"/>
          <cell r="H7887"/>
          <cell r="I7887"/>
          <cell r="J7887"/>
          <cell r="L7887"/>
        </row>
        <row r="7888">
          <cell r="A7888"/>
          <cell r="D7888"/>
          <cell r="E7888"/>
          <cell r="F7888"/>
          <cell r="G7888"/>
          <cell r="H7888"/>
          <cell r="I7888"/>
          <cell r="J7888"/>
          <cell r="L7888"/>
        </row>
        <row r="7889">
          <cell r="A7889"/>
          <cell r="D7889"/>
          <cell r="E7889"/>
          <cell r="F7889"/>
          <cell r="G7889"/>
          <cell r="H7889"/>
          <cell r="I7889"/>
          <cell r="J7889"/>
          <cell r="L7889"/>
        </row>
        <row r="7890">
          <cell r="A7890"/>
          <cell r="D7890"/>
          <cell r="E7890"/>
          <cell r="F7890"/>
          <cell r="G7890"/>
          <cell r="H7890"/>
          <cell r="I7890"/>
          <cell r="J7890"/>
          <cell r="L7890"/>
        </row>
        <row r="7891">
          <cell r="A7891"/>
          <cell r="D7891"/>
          <cell r="E7891"/>
          <cell r="F7891"/>
          <cell r="G7891"/>
          <cell r="H7891"/>
          <cell r="I7891"/>
          <cell r="J7891"/>
          <cell r="L7891"/>
        </row>
        <row r="7892">
          <cell r="A7892"/>
          <cell r="D7892"/>
          <cell r="E7892"/>
          <cell r="F7892"/>
          <cell r="G7892"/>
          <cell r="H7892"/>
          <cell r="I7892"/>
          <cell r="J7892"/>
          <cell r="L7892"/>
        </row>
        <row r="7893">
          <cell r="A7893"/>
          <cell r="D7893"/>
          <cell r="E7893"/>
          <cell r="F7893"/>
          <cell r="G7893"/>
          <cell r="H7893"/>
          <cell r="I7893"/>
          <cell r="J7893"/>
          <cell r="L7893"/>
        </row>
        <row r="7894">
          <cell r="A7894"/>
          <cell r="D7894"/>
          <cell r="E7894"/>
          <cell r="F7894"/>
          <cell r="G7894"/>
          <cell r="H7894"/>
          <cell r="I7894"/>
          <cell r="J7894"/>
          <cell r="L7894"/>
        </row>
        <row r="7895">
          <cell r="A7895"/>
          <cell r="D7895"/>
          <cell r="E7895"/>
          <cell r="F7895"/>
          <cell r="G7895"/>
          <cell r="H7895"/>
          <cell r="I7895"/>
          <cell r="J7895"/>
          <cell r="L7895"/>
        </row>
        <row r="7896">
          <cell r="A7896"/>
          <cell r="D7896"/>
          <cell r="E7896"/>
          <cell r="F7896"/>
          <cell r="G7896"/>
          <cell r="H7896"/>
          <cell r="I7896"/>
          <cell r="J7896"/>
          <cell r="L7896"/>
        </row>
        <row r="7897">
          <cell r="A7897"/>
          <cell r="D7897"/>
          <cell r="E7897"/>
          <cell r="F7897"/>
          <cell r="G7897"/>
          <cell r="H7897"/>
          <cell r="I7897"/>
          <cell r="J7897"/>
          <cell r="L7897"/>
        </row>
        <row r="7898">
          <cell r="A7898"/>
          <cell r="D7898"/>
          <cell r="E7898"/>
          <cell r="F7898"/>
          <cell r="G7898"/>
          <cell r="H7898"/>
          <cell r="I7898"/>
          <cell r="J7898"/>
          <cell r="L7898"/>
        </row>
        <row r="7899">
          <cell r="A7899"/>
          <cell r="D7899"/>
          <cell r="E7899"/>
          <cell r="F7899"/>
          <cell r="G7899"/>
          <cell r="H7899"/>
          <cell r="I7899"/>
          <cell r="J7899"/>
          <cell r="L7899"/>
        </row>
        <row r="7900">
          <cell r="A7900"/>
          <cell r="D7900"/>
          <cell r="E7900"/>
          <cell r="F7900"/>
          <cell r="G7900"/>
          <cell r="H7900"/>
          <cell r="I7900"/>
          <cell r="J7900"/>
          <cell r="L7900"/>
        </row>
        <row r="7901">
          <cell r="A7901"/>
          <cell r="D7901"/>
          <cell r="E7901"/>
          <cell r="F7901"/>
          <cell r="G7901"/>
          <cell r="H7901"/>
          <cell r="I7901"/>
          <cell r="J7901"/>
          <cell r="L7901"/>
        </row>
        <row r="7902">
          <cell r="A7902"/>
          <cell r="D7902"/>
          <cell r="E7902"/>
          <cell r="F7902"/>
          <cell r="G7902"/>
          <cell r="H7902"/>
          <cell r="I7902"/>
          <cell r="J7902"/>
          <cell r="L7902"/>
        </row>
        <row r="7903">
          <cell r="A7903"/>
          <cell r="D7903"/>
          <cell r="E7903"/>
          <cell r="F7903"/>
          <cell r="G7903"/>
          <cell r="H7903"/>
          <cell r="I7903"/>
          <cell r="J7903"/>
          <cell r="L7903"/>
        </row>
        <row r="7904">
          <cell r="A7904"/>
          <cell r="D7904"/>
          <cell r="E7904"/>
          <cell r="F7904"/>
          <cell r="G7904"/>
          <cell r="H7904"/>
          <cell r="I7904"/>
          <cell r="J7904"/>
          <cell r="L7904"/>
        </row>
        <row r="7905">
          <cell r="A7905"/>
          <cell r="D7905"/>
          <cell r="E7905"/>
          <cell r="F7905"/>
          <cell r="G7905"/>
          <cell r="H7905"/>
          <cell r="I7905"/>
          <cell r="J7905"/>
          <cell r="L7905"/>
        </row>
        <row r="7906">
          <cell r="A7906"/>
          <cell r="D7906"/>
          <cell r="E7906"/>
          <cell r="F7906"/>
          <cell r="G7906"/>
          <cell r="H7906"/>
          <cell r="I7906"/>
          <cell r="J7906"/>
          <cell r="L7906"/>
        </row>
        <row r="7907">
          <cell r="A7907"/>
          <cell r="D7907"/>
          <cell r="E7907"/>
          <cell r="F7907"/>
          <cell r="G7907"/>
          <cell r="H7907"/>
          <cell r="I7907"/>
          <cell r="J7907"/>
          <cell r="L7907"/>
        </row>
        <row r="7908">
          <cell r="A7908"/>
          <cell r="D7908"/>
          <cell r="E7908"/>
          <cell r="F7908"/>
          <cell r="G7908"/>
          <cell r="H7908"/>
          <cell r="I7908"/>
          <cell r="J7908"/>
          <cell r="L7908"/>
        </row>
        <row r="7909">
          <cell r="A7909"/>
          <cell r="D7909"/>
          <cell r="E7909"/>
          <cell r="F7909"/>
          <cell r="G7909"/>
          <cell r="H7909"/>
          <cell r="I7909"/>
          <cell r="J7909"/>
          <cell r="L7909"/>
        </row>
        <row r="7910">
          <cell r="A7910"/>
          <cell r="D7910"/>
          <cell r="E7910"/>
          <cell r="F7910"/>
          <cell r="G7910"/>
          <cell r="H7910"/>
          <cell r="I7910"/>
          <cell r="J7910"/>
          <cell r="L7910"/>
        </row>
        <row r="7911">
          <cell r="A7911"/>
          <cell r="D7911"/>
          <cell r="E7911"/>
          <cell r="F7911"/>
          <cell r="G7911"/>
          <cell r="H7911"/>
          <cell r="I7911"/>
          <cell r="J7911"/>
          <cell r="L7911"/>
        </row>
        <row r="7912">
          <cell r="A7912"/>
          <cell r="D7912"/>
          <cell r="E7912"/>
          <cell r="F7912"/>
          <cell r="G7912"/>
          <cell r="H7912"/>
          <cell r="I7912"/>
          <cell r="J7912"/>
          <cell r="L7912"/>
        </row>
        <row r="7913">
          <cell r="A7913"/>
          <cell r="D7913"/>
          <cell r="E7913"/>
          <cell r="F7913"/>
          <cell r="G7913"/>
          <cell r="H7913"/>
          <cell r="I7913"/>
          <cell r="J7913"/>
          <cell r="L7913"/>
        </row>
        <row r="7914">
          <cell r="A7914"/>
          <cell r="D7914"/>
          <cell r="E7914"/>
          <cell r="F7914"/>
          <cell r="G7914"/>
          <cell r="H7914"/>
          <cell r="I7914"/>
          <cell r="J7914"/>
          <cell r="L7914"/>
        </row>
        <row r="7915">
          <cell r="A7915"/>
          <cell r="D7915"/>
          <cell r="E7915"/>
          <cell r="F7915"/>
          <cell r="G7915"/>
          <cell r="H7915"/>
          <cell r="I7915"/>
          <cell r="J7915"/>
          <cell r="L7915"/>
        </row>
        <row r="7916">
          <cell r="A7916"/>
          <cell r="D7916"/>
          <cell r="E7916"/>
          <cell r="F7916"/>
          <cell r="G7916"/>
          <cell r="H7916"/>
          <cell r="I7916"/>
          <cell r="J7916"/>
          <cell r="L7916"/>
        </row>
        <row r="7917">
          <cell r="A7917"/>
          <cell r="D7917"/>
          <cell r="E7917"/>
          <cell r="F7917"/>
          <cell r="G7917"/>
          <cell r="H7917"/>
          <cell r="I7917"/>
          <cell r="J7917"/>
          <cell r="L7917"/>
        </row>
        <row r="7918">
          <cell r="A7918"/>
          <cell r="D7918"/>
          <cell r="E7918"/>
          <cell r="F7918"/>
          <cell r="G7918"/>
          <cell r="H7918"/>
          <cell r="I7918"/>
          <cell r="J7918"/>
          <cell r="L7918"/>
        </row>
        <row r="7919">
          <cell r="A7919"/>
          <cell r="D7919"/>
          <cell r="E7919"/>
          <cell r="F7919"/>
          <cell r="G7919"/>
          <cell r="H7919"/>
          <cell r="I7919"/>
          <cell r="J7919"/>
          <cell r="L7919"/>
        </row>
        <row r="7920">
          <cell r="A7920"/>
          <cell r="D7920"/>
          <cell r="E7920"/>
          <cell r="F7920"/>
          <cell r="G7920"/>
          <cell r="H7920"/>
          <cell r="I7920"/>
          <cell r="J7920"/>
          <cell r="L7920"/>
        </row>
        <row r="7921">
          <cell r="A7921"/>
          <cell r="D7921"/>
          <cell r="E7921"/>
          <cell r="F7921"/>
          <cell r="G7921"/>
          <cell r="H7921"/>
          <cell r="I7921"/>
          <cell r="J7921"/>
          <cell r="L7921"/>
        </row>
        <row r="7922">
          <cell r="A7922"/>
          <cell r="D7922"/>
          <cell r="E7922"/>
          <cell r="F7922"/>
          <cell r="G7922"/>
          <cell r="H7922"/>
          <cell r="I7922"/>
          <cell r="J7922"/>
          <cell r="L7922"/>
        </row>
        <row r="7923">
          <cell r="A7923"/>
          <cell r="D7923"/>
          <cell r="E7923"/>
          <cell r="F7923"/>
          <cell r="G7923"/>
          <cell r="H7923"/>
          <cell r="I7923"/>
          <cell r="J7923"/>
          <cell r="L7923"/>
        </row>
        <row r="7924">
          <cell r="A7924"/>
          <cell r="D7924"/>
          <cell r="E7924"/>
          <cell r="F7924"/>
          <cell r="G7924"/>
          <cell r="H7924"/>
          <cell r="I7924"/>
          <cell r="J7924"/>
          <cell r="L7924"/>
        </row>
        <row r="7925">
          <cell r="A7925"/>
          <cell r="D7925"/>
          <cell r="E7925"/>
          <cell r="F7925"/>
          <cell r="G7925"/>
          <cell r="H7925"/>
          <cell r="I7925"/>
          <cell r="J7925"/>
          <cell r="L7925"/>
        </row>
        <row r="7926">
          <cell r="A7926"/>
          <cell r="D7926"/>
          <cell r="E7926"/>
          <cell r="F7926"/>
          <cell r="G7926"/>
          <cell r="H7926"/>
          <cell r="I7926"/>
          <cell r="J7926"/>
          <cell r="L7926"/>
        </row>
        <row r="7927">
          <cell r="A7927"/>
          <cell r="D7927"/>
          <cell r="E7927"/>
          <cell r="F7927"/>
          <cell r="G7927"/>
          <cell r="H7927"/>
          <cell r="I7927"/>
          <cell r="J7927"/>
          <cell r="L7927"/>
        </row>
        <row r="7928">
          <cell r="A7928"/>
          <cell r="D7928"/>
          <cell r="E7928"/>
          <cell r="F7928"/>
          <cell r="G7928"/>
          <cell r="H7928"/>
          <cell r="I7928"/>
          <cell r="J7928"/>
          <cell r="L7928"/>
        </row>
        <row r="7929">
          <cell r="A7929"/>
          <cell r="D7929"/>
          <cell r="E7929"/>
          <cell r="F7929"/>
          <cell r="G7929"/>
          <cell r="H7929"/>
          <cell r="I7929"/>
          <cell r="J7929"/>
          <cell r="L7929"/>
        </row>
        <row r="7930">
          <cell r="A7930"/>
          <cell r="D7930"/>
          <cell r="E7930"/>
          <cell r="F7930"/>
          <cell r="G7930"/>
          <cell r="H7930"/>
          <cell r="I7930"/>
          <cell r="J7930"/>
          <cell r="L7930"/>
        </row>
        <row r="7931">
          <cell r="A7931"/>
          <cell r="D7931"/>
          <cell r="E7931"/>
          <cell r="F7931"/>
          <cell r="G7931"/>
          <cell r="H7931"/>
          <cell r="I7931"/>
          <cell r="J7931"/>
          <cell r="L7931"/>
        </row>
        <row r="7932">
          <cell r="A7932"/>
          <cell r="D7932"/>
          <cell r="E7932"/>
          <cell r="F7932"/>
          <cell r="G7932"/>
          <cell r="H7932"/>
          <cell r="I7932"/>
          <cell r="J7932"/>
          <cell r="L7932"/>
        </row>
        <row r="7933">
          <cell r="A7933"/>
          <cell r="D7933"/>
          <cell r="E7933"/>
          <cell r="F7933"/>
          <cell r="G7933"/>
          <cell r="H7933"/>
          <cell r="I7933"/>
          <cell r="J7933"/>
          <cell r="L7933"/>
        </row>
        <row r="7934">
          <cell r="A7934"/>
          <cell r="D7934"/>
          <cell r="E7934"/>
          <cell r="F7934"/>
          <cell r="G7934"/>
          <cell r="H7934"/>
          <cell r="I7934"/>
          <cell r="J7934"/>
          <cell r="L7934"/>
        </row>
        <row r="7935">
          <cell r="A7935"/>
          <cell r="D7935"/>
          <cell r="E7935"/>
          <cell r="F7935"/>
          <cell r="G7935"/>
          <cell r="H7935"/>
          <cell r="I7935"/>
          <cell r="J7935"/>
          <cell r="L7935"/>
        </row>
        <row r="7936">
          <cell r="A7936"/>
          <cell r="D7936"/>
          <cell r="E7936"/>
          <cell r="F7936"/>
          <cell r="G7936"/>
          <cell r="H7936"/>
          <cell r="I7936"/>
          <cell r="J7936"/>
          <cell r="L7936"/>
        </row>
        <row r="7937">
          <cell r="A7937"/>
          <cell r="D7937"/>
          <cell r="E7937"/>
          <cell r="F7937"/>
          <cell r="G7937"/>
          <cell r="H7937"/>
          <cell r="I7937"/>
          <cell r="J7937"/>
          <cell r="L7937"/>
        </row>
        <row r="7938">
          <cell r="A7938"/>
          <cell r="D7938"/>
          <cell r="E7938"/>
          <cell r="F7938"/>
          <cell r="G7938"/>
          <cell r="H7938"/>
          <cell r="I7938"/>
          <cell r="J7938"/>
          <cell r="L7938"/>
        </row>
        <row r="7939">
          <cell r="A7939"/>
          <cell r="D7939"/>
          <cell r="E7939"/>
          <cell r="F7939"/>
          <cell r="G7939"/>
          <cell r="H7939"/>
          <cell r="I7939"/>
          <cell r="J7939"/>
          <cell r="L7939"/>
        </row>
        <row r="7940">
          <cell r="A7940"/>
          <cell r="D7940"/>
          <cell r="E7940"/>
          <cell r="F7940"/>
          <cell r="G7940"/>
          <cell r="H7940"/>
          <cell r="I7940"/>
          <cell r="J7940"/>
          <cell r="L7940"/>
        </row>
        <row r="7941">
          <cell r="A7941"/>
          <cell r="D7941"/>
          <cell r="E7941"/>
          <cell r="F7941"/>
          <cell r="G7941"/>
          <cell r="H7941"/>
          <cell r="I7941"/>
          <cell r="J7941"/>
          <cell r="L7941"/>
        </row>
        <row r="7942">
          <cell r="A7942"/>
          <cell r="D7942"/>
          <cell r="E7942"/>
          <cell r="F7942"/>
          <cell r="G7942"/>
          <cell r="H7942"/>
          <cell r="I7942"/>
          <cell r="J7942"/>
          <cell r="L7942"/>
        </row>
        <row r="7943">
          <cell r="A7943"/>
          <cell r="D7943"/>
          <cell r="E7943"/>
          <cell r="F7943"/>
          <cell r="G7943"/>
          <cell r="H7943"/>
          <cell r="I7943"/>
          <cell r="J7943"/>
          <cell r="L7943"/>
        </row>
        <row r="7944">
          <cell r="A7944"/>
          <cell r="D7944"/>
          <cell r="E7944"/>
          <cell r="F7944"/>
          <cell r="G7944"/>
          <cell r="H7944"/>
          <cell r="I7944"/>
          <cell r="J7944"/>
          <cell r="L7944"/>
        </row>
        <row r="7945">
          <cell r="A7945"/>
          <cell r="D7945"/>
          <cell r="E7945"/>
          <cell r="F7945"/>
          <cell r="G7945"/>
          <cell r="H7945"/>
          <cell r="I7945"/>
          <cell r="J7945"/>
          <cell r="L7945"/>
        </row>
        <row r="7946">
          <cell r="A7946"/>
          <cell r="D7946"/>
          <cell r="E7946"/>
          <cell r="F7946"/>
          <cell r="G7946"/>
          <cell r="H7946"/>
          <cell r="I7946"/>
          <cell r="J7946"/>
          <cell r="L7946"/>
        </row>
        <row r="7947">
          <cell r="A7947"/>
          <cell r="D7947"/>
          <cell r="E7947"/>
          <cell r="F7947"/>
          <cell r="G7947"/>
          <cell r="H7947"/>
          <cell r="I7947"/>
          <cell r="J7947"/>
          <cell r="L7947"/>
        </row>
        <row r="7948">
          <cell r="A7948"/>
          <cell r="D7948"/>
          <cell r="E7948"/>
          <cell r="F7948"/>
          <cell r="G7948"/>
          <cell r="H7948"/>
          <cell r="I7948"/>
          <cell r="J7948"/>
          <cell r="L7948"/>
        </row>
        <row r="7949">
          <cell r="A7949"/>
          <cell r="D7949"/>
          <cell r="E7949"/>
          <cell r="F7949"/>
          <cell r="G7949"/>
          <cell r="H7949"/>
          <cell r="I7949"/>
          <cell r="J7949"/>
          <cell r="L7949"/>
        </row>
        <row r="7950">
          <cell r="A7950"/>
          <cell r="D7950"/>
          <cell r="E7950"/>
          <cell r="F7950"/>
          <cell r="G7950"/>
          <cell r="H7950"/>
          <cell r="I7950"/>
          <cell r="J7950"/>
          <cell r="L7950"/>
        </row>
        <row r="7951">
          <cell r="A7951"/>
          <cell r="D7951"/>
          <cell r="E7951"/>
          <cell r="F7951"/>
          <cell r="G7951"/>
          <cell r="H7951"/>
          <cell r="I7951"/>
          <cell r="J7951"/>
          <cell r="L7951"/>
        </row>
        <row r="7952">
          <cell r="A7952"/>
          <cell r="D7952"/>
          <cell r="E7952"/>
          <cell r="F7952"/>
          <cell r="G7952"/>
          <cell r="H7952"/>
          <cell r="I7952"/>
          <cell r="J7952"/>
          <cell r="L7952"/>
        </row>
        <row r="7953">
          <cell r="A7953"/>
          <cell r="D7953"/>
          <cell r="E7953"/>
          <cell r="F7953"/>
          <cell r="G7953"/>
          <cell r="H7953"/>
          <cell r="I7953"/>
          <cell r="J7953"/>
          <cell r="L7953"/>
        </row>
        <row r="7954">
          <cell r="A7954"/>
          <cell r="D7954"/>
          <cell r="E7954"/>
          <cell r="F7954"/>
          <cell r="G7954"/>
          <cell r="H7954"/>
          <cell r="I7954"/>
          <cell r="J7954"/>
          <cell r="L7954"/>
        </row>
        <row r="7955">
          <cell r="A7955"/>
          <cell r="D7955"/>
          <cell r="E7955"/>
          <cell r="F7955"/>
          <cell r="G7955"/>
          <cell r="H7955"/>
          <cell r="I7955"/>
          <cell r="J7955"/>
          <cell r="L7955"/>
        </row>
        <row r="7956">
          <cell r="A7956"/>
          <cell r="D7956"/>
          <cell r="E7956"/>
          <cell r="F7956"/>
          <cell r="G7956"/>
          <cell r="H7956"/>
          <cell r="I7956"/>
          <cell r="J7956"/>
          <cell r="L7956"/>
        </row>
        <row r="7957">
          <cell r="A7957"/>
          <cell r="D7957"/>
          <cell r="E7957"/>
          <cell r="F7957"/>
          <cell r="G7957"/>
          <cell r="H7957"/>
          <cell r="I7957"/>
          <cell r="J7957"/>
          <cell r="L7957"/>
        </row>
        <row r="7958">
          <cell r="A7958"/>
          <cell r="D7958"/>
          <cell r="E7958"/>
          <cell r="F7958"/>
          <cell r="G7958"/>
          <cell r="H7958"/>
          <cell r="I7958"/>
          <cell r="J7958"/>
          <cell r="L7958"/>
        </row>
        <row r="7959">
          <cell r="A7959"/>
          <cell r="D7959"/>
          <cell r="E7959"/>
          <cell r="F7959"/>
          <cell r="G7959"/>
          <cell r="H7959"/>
          <cell r="I7959"/>
          <cell r="J7959"/>
          <cell r="L7959"/>
        </row>
        <row r="7960">
          <cell r="A7960"/>
          <cell r="D7960"/>
          <cell r="E7960"/>
          <cell r="F7960"/>
          <cell r="G7960"/>
          <cell r="H7960"/>
          <cell r="I7960"/>
          <cell r="J7960"/>
          <cell r="L7960"/>
        </row>
        <row r="7961">
          <cell r="A7961"/>
          <cell r="D7961"/>
          <cell r="E7961"/>
          <cell r="F7961"/>
          <cell r="G7961"/>
          <cell r="H7961"/>
          <cell r="I7961"/>
          <cell r="J7961"/>
          <cell r="L7961"/>
        </row>
        <row r="7962">
          <cell r="A7962"/>
          <cell r="D7962"/>
          <cell r="E7962"/>
          <cell r="F7962"/>
          <cell r="G7962"/>
          <cell r="H7962"/>
          <cell r="I7962"/>
          <cell r="J7962"/>
          <cell r="L7962"/>
        </row>
        <row r="7963">
          <cell r="A7963"/>
          <cell r="D7963"/>
          <cell r="E7963"/>
          <cell r="F7963"/>
          <cell r="G7963"/>
          <cell r="H7963"/>
          <cell r="I7963"/>
          <cell r="J7963"/>
          <cell r="L7963"/>
        </row>
        <row r="7964">
          <cell r="A7964"/>
          <cell r="D7964"/>
          <cell r="E7964"/>
          <cell r="F7964"/>
          <cell r="G7964"/>
          <cell r="H7964"/>
          <cell r="I7964"/>
          <cell r="J7964"/>
          <cell r="L7964"/>
        </row>
        <row r="7965">
          <cell r="A7965"/>
          <cell r="D7965"/>
          <cell r="E7965"/>
          <cell r="F7965"/>
          <cell r="G7965"/>
          <cell r="H7965"/>
          <cell r="I7965"/>
          <cell r="J7965"/>
          <cell r="L7965"/>
        </row>
        <row r="7966">
          <cell r="A7966"/>
          <cell r="D7966"/>
          <cell r="E7966"/>
          <cell r="F7966"/>
          <cell r="G7966"/>
          <cell r="H7966"/>
          <cell r="I7966"/>
          <cell r="J7966"/>
          <cell r="L7966"/>
        </row>
        <row r="7967">
          <cell r="A7967"/>
          <cell r="D7967"/>
          <cell r="E7967"/>
          <cell r="F7967"/>
          <cell r="G7967"/>
          <cell r="H7967"/>
          <cell r="I7967"/>
          <cell r="J7967"/>
          <cell r="L7967"/>
        </row>
        <row r="7968">
          <cell r="A7968"/>
          <cell r="D7968"/>
          <cell r="E7968"/>
          <cell r="F7968"/>
          <cell r="G7968"/>
          <cell r="H7968"/>
          <cell r="I7968"/>
          <cell r="J7968"/>
          <cell r="L7968"/>
        </row>
        <row r="7969">
          <cell r="A7969"/>
          <cell r="D7969"/>
          <cell r="E7969"/>
          <cell r="F7969"/>
          <cell r="G7969"/>
          <cell r="H7969"/>
          <cell r="I7969"/>
          <cell r="J7969"/>
          <cell r="L7969"/>
        </row>
        <row r="7970">
          <cell r="A7970"/>
          <cell r="D7970"/>
          <cell r="E7970"/>
          <cell r="F7970"/>
          <cell r="G7970"/>
          <cell r="H7970"/>
          <cell r="I7970"/>
          <cell r="J7970"/>
          <cell r="L7970"/>
        </row>
        <row r="7971">
          <cell r="A7971"/>
          <cell r="D7971"/>
          <cell r="E7971"/>
          <cell r="F7971"/>
          <cell r="G7971"/>
          <cell r="H7971"/>
          <cell r="I7971"/>
          <cell r="J7971"/>
          <cell r="L7971"/>
        </row>
        <row r="7972">
          <cell r="A7972"/>
          <cell r="D7972"/>
          <cell r="E7972"/>
          <cell r="F7972"/>
          <cell r="G7972"/>
          <cell r="H7972"/>
          <cell r="I7972"/>
          <cell r="J7972"/>
          <cell r="L7972"/>
        </row>
        <row r="7973">
          <cell r="A7973"/>
          <cell r="D7973"/>
          <cell r="E7973"/>
          <cell r="F7973"/>
          <cell r="G7973"/>
          <cell r="H7973"/>
          <cell r="I7973"/>
          <cell r="J7973"/>
          <cell r="L7973"/>
        </row>
        <row r="7974">
          <cell r="A7974"/>
          <cell r="D7974"/>
          <cell r="E7974"/>
          <cell r="F7974"/>
          <cell r="G7974"/>
          <cell r="H7974"/>
          <cell r="I7974"/>
          <cell r="J7974"/>
          <cell r="L7974"/>
        </row>
        <row r="7975">
          <cell r="A7975"/>
          <cell r="D7975"/>
          <cell r="E7975"/>
          <cell r="F7975"/>
          <cell r="G7975"/>
          <cell r="H7975"/>
          <cell r="I7975"/>
          <cell r="J7975"/>
          <cell r="L7975"/>
        </row>
        <row r="7976">
          <cell r="A7976"/>
          <cell r="D7976"/>
          <cell r="E7976"/>
          <cell r="F7976"/>
          <cell r="G7976"/>
          <cell r="H7976"/>
          <cell r="I7976"/>
          <cell r="J7976"/>
          <cell r="L7976"/>
        </row>
        <row r="7977">
          <cell r="A7977"/>
          <cell r="D7977"/>
          <cell r="E7977"/>
          <cell r="F7977"/>
          <cell r="G7977"/>
          <cell r="H7977"/>
          <cell r="I7977"/>
          <cell r="J7977"/>
          <cell r="L7977"/>
        </row>
        <row r="7978">
          <cell r="A7978"/>
          <cell r="D7978"/>
          <cell r="E7978"/>
          <cell r="F7978"/>
          <cell r="G7978"/>
          <cell r="H7978"/>
          <cell r="I7978"/>
          <cell r="J7978"/>
          <cell r="L7978"/>
        </row>
        <row r="7979">
          <cell r="A7979"/>
          <cell r="D7979"/>
          <cell r="E7979"/>
          <cell r="F7979"/>
          <cell r="G7979"/>
          <cell r="H7979"/>
          <cell r="I7979"/>
          <cell r="J7979"/>
          <cell r="L7979"/>
        </row>
        <row r="7980">
          <cell r="A7980"/>
          <cell r="D7980"/>
          <cell r="E7980"/>
          <cell r="F7980"/>
          <cell r="G7980"/>
          <cell r="H7980"/>
          <cell r="I7980"/>
          <cell r="J7980"/>
          <cell r="L7980"/>
        </row>
        <row r="7981">
          <cell r="A7981"/>
          <cell r="D7981"/>
          <cell r="E7981"/>
          <cell r="F7981"/>
          <cell r="G7981"/>
          <cell r="H7981"/>
          <cell r="I7981"/>
          <cell r="J7981"/>
          <cell r="L7981"/>
        </row>
        <row r="7982">
          <cell r="A7982"/>
          <cell r="D7982"/>
          <cell r="E7982"/>
          <cell r="F7982"/>
          <cell r="G7982"/>
          <cell r="H7982"/>
          <cell r="I7982"/>
          <cell r="J7982"/>
          <cell r="L7982"/>
        </row>
        <row r="7983">
          <cell r="A7983"/>
          <cell r="D7983"/>
          <cell r="E7983"/>
          <cell r="F7983"/>
          <cell r="G7983"/>
          <cell r="H7983"/>
          <cell r="I7983"/>
          <cell r="J7983"/>
          <cell r="L7983"/>
        </row>
        <row r="7984">
          <cell r="A7984"/>
          <cell r="D7984"/>
          <cell r="E7984"/>
          <cell r="F7984"/>
          <cell r="G7984"/>
          <cell r="H7984"/>
          <cell r="I7984"/>
          <cell r="J7984"/>
          <cell r="L7984"/>
        </row>
        <row r="7985">
          <cell r="A7985"/>
          <cell r="D7985"/>
          <cell r="E7985"/>
          <cell r="F7985"/>
          <cell r="G7985"/>
          <cell r="H7985"/>
          <cell r="I7985"/>
          <cell r="J7985"/>
          <cell r="L7985"/>
        </row>
        <row r="7986">
          <cell r="A7986"/>
          <cell r="D7986"/>
          <cell r="E7986"/>
          <cell r="F7986"/>
          <cell r="G7986"/>
          <cell r="H7986"/>
          <cell r="I7986"/>
          <cell r="J7986"/>
          <cell r="L7986"/>
        </row>
        <row r="7987">
          <cell r="A7987"/>
          <cell r="D7987"/>
          <cell r="E7987"/>
          <cell r="F7987"/>
          <cell r="G7987"/>
          <cell r="H7987"/>
          <cell r="I7987"/>
          <cell r="J7987"/>
          <cell r="L7987"/>
        </row>
        <row r="7988">
          <cell r="A7988"/>
          <cell r="D7988"/>
          <cell r="E7988"/>
          <cell r="F7988"/>
          <cell r="G7988"/>
          <cell r="H7988"/>
          <cell r="I7988"/>
          <cell r="J7988"/>
          <cell r="L7988"/>
        </row>
        <row r="7989">
          <cell r="A7989"/>
          <cell r="D7989"/>
          <cell r="E7989"/>
          <cell r="F7989"/>
          <cell r="G7989"/>
          <cell r="H7989"/>
          <cell r="I7989"/>
          <cell r="J7989"/>
          <cell r="L7989"/>
        </row>
        <row r="7990">
          <cell r="A7990"/>
          <cell r="D7990"/>
          <cell r="E7990"/>
          <cell r="F7990"/>
          <cell r="G7990"/>
          <cell r="H7990"/>
          <cell r="I7990"/>
          <cell r="J7990"/>
          <cell r="L7990"/>
        </row>
        <row r="7991">
          <cell r="A7991"/>
          <cell r="D7991"/>
          <cell r="E7991"/>
          <cell r="F7991"/>
          <cell r="G7991"/>
          <cell r="H7991"/>
          <cell r="I7991"/>
          <cell r="J7991"/>
          <cell r="L7991"/>
        </row>
        <row r="7992">
          <cell r="A7992"/>
          <cell r="D7992"/>
          <cell r="E7992"/>
          <cell r="F7992"/>
          <cell r="G7992"/>
          <cell r="H7992"/>
          <cell r="I7992"/>
          <cell r="J7992"/>
          <cell r="L7992"/>
        </row>
        <row r="7993">
          <cell r="A7993"/>
          <cell r="D7993"/>
          <cell r="E7993"/>
          <cell r="F7993"/>
          <cell r="G7993"/>
          <cell r="H7993"/>
          <cell r="I7993"/>
          <cell r="J7993"/>
          <cell r="L7993"/>
        </row>
        <row r="7994">
          <cell r="A7994"/>
          <cell r="D7994"/>
          <cell r="E7994"/>
          <cell r="F7994"/>
          <cell r="G7994"/>
          <cell r="H7994"/>
          <cell r="I7994"/>
          <cell r="J7994"/>
          <cell r="L7994"/>
        </row>
        <row r="7995">
          <cell r="A7995"/>
          <cell r="D7995"/>
          <cell r="E7995"/>
          <cell r="F7995"/>
          <cell r="G7995"/>
          <cell r="H7995"/>
          <cell r="I7995"/>
          <cell r="J7995"/>
          <cell r="L7995"/>
        </row>
        <row r="7996">
          <cell r="A7996"/>
          <cell r="D7996"/>
          <cell r="E7996"/>
          <cell r="F7996"/>
          <cell r="G7996"/>
          <cell r="H7996"/>
          <cell r="I7996"/>
          <cell r="J7996"/>
          <cell r="L7996"/>
        </row>
        <row r="7997">
          <cell r="A7997"/>
          <cell r="D7997"/>
          <cell r="E7997"/>
          <cell r="F7997"/>
          <cell r="G7997"/>
          <cell r="H7997"/>
          <cell r="I7997"/>
          <cell r="J7997"/>
          <cell r="L7997"/>
        </row>
        <row r="7998">
          <cell r="A7998"/>
          <cell r="D7998"/>
          <cell r="E7998"/>
          <cell r="F7998"/>
          <cell r="G7998"/>
          <cell r="H7998"/>
          <cell r="I7998"/>
          <cell r="J7998"/>
          <cell r="L7998"/>
        </row>
        <row r="7999">
          <cell r="A7999"/>
          <cell r="D7999"/>
          <cell r="E7999"/>
          <cell r="F7999"/>
          <cell r="G7999"/>
          <cell r="H7999"/>
          <cell r="I7999"/>
          <cell r="J7999"/>
          <cell r="L7999"/>
        </row>
        <row r="8000">
          <cell r="A8000"/>
          <cell r="D8000"/>
          <cell r="E8000"/>
          <cell r="F8000"/>
          <cell r="G8000"/>
          <cell r="H8000"/>
          <cell r="I8000"/>
          <cell r="J8000"/>
          <cell r="L8000"/>
        </row>
        <row r="8001">
          <cell r="A8001"/>
          <cell r="D8001"/>
          <cell r="E8001"/>
          <cell r="F8001"/>
          <cell r="G8001"/>
          <cell r="H8001"/>
          <cell r="I8001"/>
          <cell r="J8001"/>
          <cell r="L8001"/>
        </row>
        <row r="8002">
          <cell r="A8002"/>
          <cell r="D8002"/>
          <cell r="E8002"/>
          <cell r="F8002"/>
          <cell r="G8002"/>
          <cell r="H8002"/>
          <cell r="I8002"/>
          <cell r="J8002"/>
          <cell r="L8002"/>
        </row>
        <row r="8003">
          <cell r="A8003"/>
          <cell r="D8003"/>
          <cell r="E8003"/>
          <cell r="F8003"/>
          <cell r="G8003"/>
          <cell r="H8003"/>
          <cell r="I8003"/>
          <cell r="J8003"/>
          <cell r="L8003"/>
        </row>
        <row r="8004">
          <cell r="A8004"/>
          <cell r="D8004"/>
          <cell r="E8004"/>
          <cell r="F8004"/>
          <cell r="G8004"/>
          <cell r="H8004"/>
          <cell r="I8004"/>
          <cell r="J8004"/>
          <cell r="L8004"/>
        </row>
        <row r="8005">
          <cell r="A8005"/>
          <cell r="D8005"/>
          <cell r="E8005"/>
          <cell r="F8005"/>
          <cell r="G8005"/>
          <cell r="H8005"/>
          <cell r="I8005"/>
          <cell r="J8005"/>
          <cell r="L8005"/>
        </row>
        <row r="8006">
          <cell r="A8006"/>
          <cell r="D8006"/>
          <cell r="E8006"/>
          <cell r="F8006"/>
          <cell r="G8006"/>
          <cell r="H8006"/>
          <cell r="I8006"/>
          <cell r="J8006"/>
          <cell r="L8006"/>
        </row>
        <row r="8007">
          <cell r="A8007"/>
          <cell r="D8007"/>
          <cell r="E8007"/>
          <cell r="F8007"/>
          <cell r="G8007"/>
          <cell r="H8007"/>
          <cell r="I8007"/>
          <cell r="J8007"/>
          <cell r="L8007"/>
        </row>
        <row r="8008">
          <cell r="A8008"/>
          <cell r="D8008"/>
          <cell r="E8008"/>
          <cell r="F8008"/>
          <cell r="G8008"/>
          <cell r="H8008"/>
          <cell r="I8008"/>
          <cell r="J8008"/>
          <cell r="L8008"/>
        </row>
        <row r="8009">
          <cell r="A8009"/>
          <cell r="D8009"/>
          <cell r="E8009"/>
          <cell r="F8009"/>
          <cell r="G8009"/>
          <cell r="H8009"/>
          <cell r="I8009"/>
          <cell r="J8009"/>
          <cell r="L8009"/>
        </row>
        <row r="8010">
          <cell r="A8010"/>
          <cell r="D8010"/>
          <cell r="E8010"/>
          <cell r="F8010"/>
          <cell r="G8010"/>
          <cell r="H8010"/>
          <cell r="I8010"/>
          <cell r="J8010"/>
          <cell r="L8010"/>
        </row>
        <row r="8011">
          <cell r="A8011"/>
          <cell r="D8011"/>
          <cell r="E8011"/>
          <cell r="F8011"/>
          <cell r="G8011"/>
          <cell r="H8011"/>
          <cell r="I8011"/>
          <cell r="J8011"/>
          <cell r="L8011"/>
        </row>
        <row r="8012">
          <cell r="A8012"/>
          <cell r="D8012"/>
          <cell r="E8012"/>
          <cell r="F8012"/>
          <cell r="G8012"/>
          <cell r="H8012"/>
          <cell r="I8012"/>
          <cell r="J8012"/>
          <cell r="L8012"/>
        </row>
        <row r="8013">
          <cell r="A8013"/>
          <cell r="D8013"/>
          <cell r="E8013"/>
          <cell r="F8013"/>
          <cell r="G8013"/>
          <cell r="H8013"/>
          <cell r="I8013"/>
          <cell r="J8013"/>
          <cell r="L8013"/>
        </row>
        <row r="8014">
          <cell r="A8014"/>
          <cell r="D8014"/>
          <cell r="E8014"/>
          <cell r="F8014"/>
          <cell r="G8014"/>
          <cell r="H8014"/>
          <cell r="I8014"/>
          <cell r="J8014"/>
          <cell r="L8014"/>
        </row>
        <row r="8015">
          <cell r="A8015"/>
          <cell r="D8015"/>
          <cell r="E8015"/>
          <cell r="F8015"/>
          <cell r="G8015"/>
          <cell r="H8015"/>
          <cell r="I8015"/>
          <cell r="J8015"/>
          <cell r="L8015"/>
        </row>
        <row r="8016">
          <cell r="A8016"/>
          <cell r="D8016"/>
          <cell r="E8016"/>
          <cell r="F8016"/>
          <cell r="G8016"/>
          <cell r="H8016"/>
          <cell r="I8016"/>
          <cell r="J8016"/>
          <cell r="L8016"/>
        </row>
        <row r="8017">
          <cell r="A8017"/>
          <cell r="D8017"/>
          <cell r="E8017"/>
          <cell r="F8017"/>
          <cell r="G8017"/>
          <cell r="H8017"/>
          <cell r="I8017"/>
          <cell r="J8017"/>
          <cell r="L8017"/>
        </row>
        <row r="8018">
          <cell r="A8018"/>
          <cell r="D8018"/>
          <cell r="E8018"/>
          <cell r="F8018"/>
          <cell r="G8018"/>
          <cell r="H8018"/>
          <cell r="I8018"/>
          <cell r="J8018"/>
          <cell r="L8018"/>
        </row>
        <row r="8019">
          <cell r="A8019"/>
          <cell r="D8019"/>
          <cell r="E8019"/>
          <cell r="F8019"/>
          <cell r="G8019"/>
          <cell r="H8019"/>
          <cell r="I8019"/>
          <cell r="J8019"/>
          <cell r="L8019"/>
        </row>
        <row r="8020">
          <cell r="A8020"/>
          <cell r="D8020"/>
          <cell r="E8020"/>
          <cell r="F8020"/>
          <cell r="G8020"/>
          <cell r="H8020"/>
          <cell r="I8020"/>
          <cell r="J8020"/>
          <cell r="L8020"/>
        </row>
        <row r="8021">
          <cell r="A8021"/>
          <cell r="D8021"/>
          <cell r="E8021"/>
          <cell r="F8021"/>
          <cell r="G8021"/>
          <cell r="H8021"/>
          <cell r="I8021"/>
          <cell r="J8021"/>
          <cell r="L8021"/>
        </row>
        <row r="8022">
          <cell r="A8022"/>
          <cell r="D8022"/>
          <cell r="E8022"/>
          <cell r="F8022"/>
          <cell r="G8022"/>
          <cell r="H8022"/>
          <cell r="I8022"/>
          <cell r="J8022"/>
          <cell r="L8022"/>
        </row>
        <row r="8023">
          <cell r="A8023"/>
          <cell r="D8023"/>
          <cell r="E8023"/>
          <cell r="F8023"/>
          <cell r="G8023"/>
          <cell r="H8023"/>
          <cell r="I8023"/>
          <cell r="J8023"/>
          <cell r="L8023"/>
        </row>
        <row r="8024">
          <cell r="A8024"/>
          <cell r="D8024"/>
          <cell r="E8024"/>
          <cell r="F8024"/>
          <cell r="G8024"/>
          <cell r="H8024"/>
          <cell r="I8024"/>
          <cell r="J8024"/>
          <cell r="L8024"/>
        </row>
        <row r="8025">
          <cell r="A8025"/>
          <cell r="D8025"/>
          <cell r="E8025"/>
          <cell r="F8025"/>
          <cell r="G8025"/>
          <cell r="H8025"/>
          <cell r="I8025"/>
          <cell r="J8025"/>
          <cell r="L8025"/>
        </row>
        <row r="8026">
          <cell r="A8026"/>
          <cell r="D8026"/>
          <cell r="E8026"/>
          <cell r="F8026"/>
          <cell r="G8026"/>
          <cell r="H8026"/>
          <cell r="I8026"/>
          <cell r="J8026"/>
          <cell r="L8026"/>
        </row>
        <row r="8027">
          <cell r="A8027"/>
          <cell r="D8027"/>
          <cell r="E8027"/>
          <cell r="F8027"/>
          <cell r="G8027"/>
          <cell r="H8027"/>
          <cell r="I8027"/>
          <cell r="J8027"/>
          <cell r="L8027"/>
        </row>
        <row r="8028">
          <cell r="A8028"/>
          <cell r="D8028"/>
          <cell r="E8028"/>
          <cell r="F8028"/>
          <cell r="G8028"/>
          <cell r="H8028"/>
          <cell r="I8028"/>
          <cell r="J8028"/>
          <cell r="L8028"/>
        </row>
        <row r="8029">
          <cell r="A8029"/>
          <cell r="D8029"/>
          <cell r="E8029"/>
          <cell r="F8029"/>
          <cell r="G8029"/>
          <cell r="H8029"/>
          <cell r="I8029"/>
          <cell r="J8029"/>
          <cell r="L8029"/>
        </row>
        <row r="8030">
          <cell r="A8030"/>
          <cell r="D8030"/>
          <cell r="E8030"/>
          <cell r="F8030"/>
          <cell r="G8030"/>
          <cell r="H8030"/>
          <cell r="I8030"/>
          <cell r="J8030"/>
          <cell r="L8030"/>
        </row>
        <row r="8031">
          <cell r="A8031"/>
          <cell r="D8031"/>
          <cell r="E8031"/>
          <cell r="F8031"/>
          <cell r="G8031"/>
          <cell r="H8031"/>
          <cell r="I8031"/>
          <cell r="J8031"/>
          <cell r="L8031"/>
        </row>
        <row r="8032">
          <cell r="A8032"/>
          <cell r="D8032"/>
          <cell r="E8032"/>
          <cell r="F8032"/>
          <cell r="G8032"/>
          <cell r="H8032"/>
          <cell r="I8032"/>
          <cell r="J8032"/>
          <cell r="L8032"/>
        </row>
        <row r="8033">
          <cell r="A8033"/>
          <cell r="D8033"/>
          <cell r="E8033"/>
          <cell r="F8033"/>
          <cell r="G8033"/>
          <cell r="H8033"/>
          <cell r="I8033"/>
          <cell r="J8033"/>
          <cell r="L8033"/>
        </row>
        <row r="8034">
          <cell r="A8034"/>
          <cell r="D8034"/>
          <cell r="E8034"/>
          <cell r="F8034"/>
          <cell r="G8034"/>
          <cell r="H8034"/>
          <cell r="I8034"/>
          <cell r="J8034"/>
          <cell r="L8034"/>
        </row>
        <row r="8035">
          <cell r="A8035"/>
          <cell r="D8035"/>
          <cell r="E8035"/>
          <cell r="F8035"/>
          <cell r="G8035"/>
          <cell r="H8035"/>
          <cell r="I8035"/>
          <cell r="J8035"/>
          <cell r="L8035"/>
        </row>
        <row r="8036">
          <cell r="A8036"/>
          <cell r="D8036"/>
          <cell r="E8036"/>
          <cell r="F8036"/>
          <cell r="G8036"/>
          <cell r="H8036"/>
          <cell r="I8036"/>
          <cell r="J8036"/>
          <cell r="L8036"/>
        </row>
        <row r="8037">
          <cell r="A8037"/>
          <cell r="D8037"/>
          <cell r="E8037"/>
          <cell r="F8037"/>
          <cell r="G8037"/>
          <cell r="H8037"/>
          <cell r="I8037"/>
          <cell r="J8037"/>
          <cell r="L8037"/>
        </row>
        <row r="8038">
          <cell r="A8038"/>
          <cell r="D8038"/>
          <cell r="E8038"/>
          <cell r="F8038"/>
          <cell r="G8038"/>
          <cell r="H8038"/>
          <cell r="I8038"/>
          <cell r="J8038"/>
          <cell r="L8038"/>
        </row>
        <row r="8039">
          <cell r="A8039"/>
          <cell r="D8039"/>
          <cell r="E8039"/>
          <cell r="F8039"/>
          <cell r="G8039"/>
          <cell r="H8039"/>
          <cell r="I8039"/>
          <cell r="J8039"/>
          <cell r="L8039"/>
        </row>
        <row r="8040">
          <cell r="A8040"/>
          <cell r="D8040"/>
          <cell r="E8040"/>
          <cell r="F8040"/>
          <cell r="G8040"/>
          <cell r="H8040"/>
          <cell r="I8040"/>
          <cell r="J8040"/>
          <cell r="L8040"/>
        </row>
        <row r="8041">
          <cell r="A8041"/>
          <cell r="D8041"/>
          <cell r="E8041"/>
          <cell r="F8041"/>
          <cell r="G8041"/>
          <cell r="H8041"/>
          <cell r="I8041"/>
          <cell r="J8041"/>
          <cell r="L8041"/>
        </row>
        <row r="8042">
          <cell r="A8042"/>
          <cell r="D8042"/>
          <cell r="E8042"/>
          <cell r="F8042"/>
          <cell r="G8042"/>
          <cell r="H8042"/>
          <cell r="I8042"/>
          <cell r="J8042"/>
          <cell r="L8042"/>
        </row>
        <row r="8043">
          <cell r="A8043"/>
          <cell r="D8043"/>
          <cell r="E8043"/>
          <cell r="F8043"/>
          <cell r="G8043"/>
          <cell r="H8043"/>
          <cell r="I8043"/>
          <cell r="J8043"/>
          <cell r="L8043"/>
        </row>
        <row r="8044">
          <cell r="A8044"/>
          <cell r="D8044"/>
          <cell r="E8044"/>
          <cell r="F8044"/>
          <cell r="G8044"/>
          <cell r="H8044"/>
          <cell r="I8044"/>
          <cell r="J8044"/>
          <cell r="L8044"/>
        </row>
        <row r="8045">
          <cell r="A8045"/>
          <cell r="D8045"/>
          <cell r="E8045"/>
          <cell r="F8045"/>
          <cell r="G8045"/>
          <cell r="H8045"/>
          <cell r="I8045"/>
          <cell r="J8045"/>
          <cell r="L8045"/>
        </row>
        <row r="8046">
          <cell r="A8046"/>
          <cell r="D8046"/>
          <cell r="E8046"/>
          <cell r="F8046"/>
          <cell r="G8046"/>
          <cell r="H8046"/>
          <cell r="I8046"/>
          <cell r="J8046"/>
          <cell r="L8046"/>
        </row>
        <row r="8047">
          <cell r="A8047"/>
          <cell r="D8047"/>
          <cell r="E8047"/>
          <cell r="F8047"/>
          <cell r="G8047"/>
          <cell r="H8047"/>
          <cell r="I8047"/>
          <cell r="J8047"/>
          <cell r="L8047"/>
        </row>
        <row r="8048">
          <cell r="A8048"/>
          <cell r="D8048"/>
          <cell r="E8048"/>
          <cell r="F8048"/>
          <cell r="G8048"/>
          <cell r="H8048"/>
          <cell r="I8048"/>
          <cell r="J8048"/>
          <cell r="L8048"/>
        </row>
        <row r="8049">
          <cell r="A8049"/>
          <cell r="D8049"/>
          <cell r="E8049"/>
          <cell r="F8049"/>
          <cell r="G8049"/>
          <cell r="H8049"/>
          <cell r="I8049"/>
          <cell r="J8049"/>
          <cell r="L8049"/>
        </row>
        <row r="8050">
          <cell r="A8050"/>
          <cell r="D8050"/>
          <cell r="E8050"/>
          <cell r="F8050"/>
          <cell r="G8050"/>
          <cell r="H8050"/>
          <cell r="I8050"/>
          <cell r="J8050"/>
          <cell r="L8050"/>
        </row>
        <row r="8051">
          <cell r="A8051"/>
          <cell r="D8051"/>
          <cell r="E8051"/>
          <cell r="F8051"/>
          <cell r="G8051"/>
          <cell r="H8051"/>
          <cell r="I8051"/>
          <cell r="J8051"/>
          <cell r="L8051"/>
        </row>
        <row r="8052">
          <cell r="A8052"/>
          <cell r="D8052"/>
          <cell r="E8052"/>
          <cell r="F8052"/>
          <cell r="G8052"/>
          <cell r="H8052"/>
          <cell r="I8052"/>
          <cell r="J8052"/>
          <cell r="L8052"/>
        </row>
        <row r="8053">
          <cell r="A8053"/>
          <cell r="D8053"/>
          <cell r="E8053"/>
          <cell r="F8053"/>
          <cell r="G8053"/>
          <cell r="H8053"/>
          <cell r="I8053"/>
          <cell r="J8053"/>
          <cell r="L8053"/>
        </row>
        <row r="8054">
          <cell r="A8054"/>
          <cell r="D8054"/>
          <cell r="E8054"/>
          <cell r="F8054"/>
          <cell r="G8054"/>
          <cell r="H8054"/>
          <cell r="I8054"/>
          <cell r="J8054"/>
          <cell r="L8054"/>
        </row>
        <row r="8055">
          <cell r="A8055"/>
          <cell r="D8055"/>
          <cell r="E8055"/>
          <cell r="F8055"/>
          <cell r="G8055"/>
          <cell r="H8055"/>
          <cell r="I8055"/>
          <cell r="J8055"/>
          <cell r="L8055"/>
        </row>
        <row r="8056">
          <cell r="A8056"/>
          <cell r="D8056"/>
          <cell r="E8056"/>
          <cell r="F8056"/>
          <cell r="G8056"/>
          <cell r="H8056"/>
          <cell r="I8056"/>
          <cell r="J8056"/>
          <cell r="L8056"/>
        </row>
        <row r="8057">
          <cell r="A8057"/>
          <cell r="D8057"/>
          <cell r="E8057"/>
          <cell r="F8057"/>
          <cell r="G8057"/>
          <cell r="H8057"/>
          <cell r="I8057"/>
          <cell r="J8057"/>
          <cell r="L8057"/>
        </row>
        <row r="8058">
          <cell r="A8058"/>
          <cell r="D8058"/>
          <cell r="E8058"/>
          <cell r="F8058"/>
          <cell r="G8058"/>
          <cell r="H8058"/>
          <cell r="I8058"/>
          <cell r="J8058"/>
          <cell r="L8058"/>
        </row>
        <row r="8059">
          <cell r="A8059"/>
          <cell r="D8059"/>
          <cell r="E8059"/>
          <cell r="F8059"/>
          <cell r="G8059"/>
          <cell r="H8059"/>
          <cell r="I8059"/>
          <cell r="J8059"/>
          <cell r="L8059"/>
        </row>
        <row r="8060">
          <cell r="A8060"/>
          <cell r="D8060"/>
          <cell r="E8060"/>
          <cell r="F8060"/>
          <cell r="G8060"/>
          <cell r="H8060"/>
          <cell r="I8060"/>
          <cell r="J8060"/>
          <cell r="L8060"/>
        </row>
        <row r="8061">
          <cell r="A8061"/>
          <cell r="D8061"/>
          <cell r="E8061"/>
          <cell r="F8061"/>
          <cell r="G8061"/>
          <cell r="H8061"/>
          <cell r="I8061"/>
          <cell r="J8061"/>
          <cell r="L8061"/>
        </row>
        <row r="8062">
          <cell r="A8062"/>
          <cell r="D8062"/>
          <cell r="E8062"/>
          <cell r="F8062"/>
          <cell r="G8062"/>
          <cell r="H8062"/>
          <cell r="I8062"/>
          <cell r="J8062"/>
          <cell r="L8062"/>
        </row>
        <row r="8063">
          <cell r="A8063"/>
          <cell r="D8063"/>
          <cell r="E8063"/>
          <cell r="F8063"/>
          <cell r="G8063"/>
          <cell r="H8063"/>
          <cell r="I8063"/>
          <cell r="J8063"/>
          <cell r="L8063"/>
        </row>
        <row r="8064">
          <cell r="A8064"/>
          <cell r="D8064"/>
          <cell r="E8064"/>
          <cell r="F8064"/>
          <cell r="G8064"/>
          <cell r="H8064"/>
          <cell r="I8064"/>
          <cell r="J8064"/>
          <cell r="L8064"/>
        </row>
        <row r="8065">
          <cell r="A8065"/>
          <cell r="D8065"/>
          <cell r="E8065"/>
          <cell r="F8065"/>
          <cell r="G8065"/>
          <cell r="H8065"/>
          <cell r="I8065"/>
          <cell r="J8065"/>
          <cell r="L8065"/>
        </row>
        <row r="8066">
          <cell r="A8066"/>
          <cell r="D8066"/>
          <cell r="E8066"/>
          <cell r="F8066"/>
          <cell r="G8066"/>
          <cell r="H8066"/>
          <cell r="I8066"/>
          <cell r="J8066"/>
          <cell r="L8066"/>
        </row>
        <row r="8067">
          <cell r="A8067"/>
          <cell r="D8067"/>
          <cell r="E8067"/>
          <cell r="F8067"/>
          <cell r="G8067"/>
          <cell r="H8067"/>
          <cell r="I8067"/>
          <cell r="J8067"/>
          <cell r="L8067"/>
        </row>
        <row r="8068">
          <cell r="A8068"/>
          <cell r="D8068"/>
          <cell r="E8068"/>
          <cell r="F8068"/>
          <cell r="G8068"/>
          <cell r="H8068"/>
          <cell r="I8068"/>
          <cell r="J8068"/>
          <cell r="L8068"/>
        </row>
        <row r="8069">
          <cell r="A8069"/>
          <cell r="D8069"/>
          <cell r="E8069"/>
          <cell r="F8069"/>
          <cell r="G8069"/>
          <cell r="H8069"/>
          <cell r="I8069"/>
          <cell r="J8069"/>
          <cell r="L8069"/>
        </row>
        <row r="8070">
          <cell r="A8070"/>
          <cell r="D8070"/>
          <cell r="E8070"/>
          <cell r="F8070"/>
          <cell r="G8070"/>
          <cell r="H8070"/>
          <cell r="I8070"/>
          <cell r="J8070"/>
          <cell r="L8070"/>
        </row>
        <row r="8071">
          <cell r="A8071"/>
          <cell r="D8071"/>
          <cell r="E8071"/>
          <cell r="F8071"/>
          <cell r="G8071"/>
          <cell r="H8071"/>
          <cell r="I8071"/>
          <cell r="J8071"/>
          <cell r="L8071"/>
        </row>
        <row r="8072">
          <cell r="A8072"/>
          <cell r="D8072"/>
          <cell r="E8072"/>
          <cell r="F8072"/>
          <cell r="G8072"/>
          <cell r="H8072"/>
          <cell r="I8072"/>
          <cell r="J8072"/>
          <cell r="L8072"/>
        </row>
        <row r="8073">
          <cell r="A8073"/>
          <cell r="D8073"/>
          <cell r="E8073"/>
          <cell r="F8073"/>
          <cell r="G8073"/>
          <cell r="H8073"/>
          <cell r="I8073"/>
          <cell r="J8073"/>
          <cell r="L8073"/>
        </row>
        <row r="8074">
          <cell r="A8074"/>
          <cell r="D8074"/>
          <cell r="E8074"/>
          <cell r="F8074"/>
          <cell r="G8074"/>
          <cell r="H8074"/>
          <cell r="I8074"/>
          <cell r="J8074"/>
          <cell r="L8074"/>
        </row>
        <row r="8075">
          <cell r="A8075"/>
          <cell r="D8075"/>
          <cell r="E8075"/>
          <cell r="F8075"/>
          <cell r="G8075"/>
          <cell r="H8075"/>
          <cell r="I8075"/>
          <cell r="J8075"/>
          <cell r="L8075"/>
        </row>
        <row r="8076">
          <cell r="A8076"/>
          <cell r="D8076"/>
          <cell r="E8076"/>
          <cell r="F8076"/>
          <cell r="G8076"/>
          <cell r="H8076"/>
          <cell r="I8076"/>
          <cell r="J8076"/>
          <cell r="L8076"/>
        </row>
        <row r="8077">
          <cell r="A8077"/>
          <cell r="D8077"/>
          <cell r="E8077"/>
          <cell r="F8077"/>
          <cell r="G8077"/>
          <cell r="H8077"/>
          <cell r="I8077"/>
          <cell r="J8077"/>
          <cell r="L8077"/>
        </row>
        <row r="8078">
          <cell r="A8078"/>
          <cell r="D8078"/>
          <cell r="E8078"/>
          <cell r="F8078"/>
          <cell r="G8078"/>
          <cell r="H8078"/>
          <cell r="I8078"/>
          <cell r="J8078"/>
          <cell r="L8078"/>
        </row>
        <row r="8079">
          <cell r="A8079"/>
          <cell r="D8079"/>
          <cell r="E8079"/>
          <cell r="F8079"/>
          <cell r="G8079"/>
          <cell r="H8079"/>
          <cell r="I8079"/>
          <cell r="J8079"/>
          <cell r="L8079"/>
        </row>
        <row r="8080">
          <cell r="A8080"/>
          <cell r="D8080"/>
          <cell r="E8080"/>
          <cell r="F8080"/>
          <cell r="G8080"/>
          <cell r="H8080"/>
          <cell r="I8080"/>
          <cell r="J8080"/>
          <cell r="L8080"/>
        </row>
        <row r="8081">
          <cell r="A8081"/>
          <cell r="D8081"/>
          <cell r="E8081"/>
          <cell r="F8081"/>
          <cell r="G8081"/>
          <cell r="H8081"/>
          <cell r="I8081"/>
          <cell r="J8081"/>
          <cell r="L8081"/>
        </row>
        <row r="8082">
          <cell r="A8082"/>
          <cell r="D8082"/>
          <cell r="E8082"/>
          <cell r="F8082"/>
          <cell r="G8082"/>
          <cell r="H8082"/>
          <cell r="I8082"/>
          <cell r="J8082"/>
          <cell r="L8082"/>
        </row>
        <row r="8083">
          <cell r="A8083"/>
          <cell r="D8083"/>
          <cell r="E8083"/>
          <cell r="F8083"/>
          <cell r="G8083"/>
          <cell r="H8083"/>
          <cell r="I8083"/>
          <cell r="J8083"/>
          <cell r="L8083"/>
        </row>
        <row r="8084">
          <cell r="A8084"/>
          <cell r="D8084"/>
          <cell r="E8084"/>
          <cell r="F8084"/>
          <cell r="G8084"/>
          <cell r="H8084"/>
          <cell r="I8084"/>
          <cell r="J8084"/>
          <cell r="L8084"/>
        </row>
        <row r="8085">
          <cell r="A8085"/>
          <cell r="D8085"/>
          <cell r="E8085"/>
          <cell r="F8085"/>
          <cell r="G8085"/>
          <cell r="H8085"/>
          <cell r="I8085"/>
          <cell r="J8085"/>
          <cell r="L8085"/>
        </row>
        <row r="8086">
          <cell r="A8086"/>
          <cell r="D8086"/>
          <cell r="E8086"/>
          <cell r="F8086"/>
          <cell r="G8086"/>
          <cell r="H8086"/>
          <cell r="I8086"/>
          <cell r="J8086"/>
          <cell r="L8086"/>
        </row>
        <row r="8087">
          <cell r="A8087"/>
          <cell r="D8087"/>
          <cell r="E8087"/>
          <cell r="F8087"/>
          <cell r="G8087"/>
          <cell r="H8087"/>
          <cell r="I8087"/>
          <cell r="J8087"/>
          <cell r="L8087"/>
        </row>
        <row r="8088">
          <cell r="A8088"/>
          <cell r="D8088"/>
          <cell r="E8088"/>
          <cell r="F8088"/>
          <cell r="G8088"/>
          <cell r="H8088"/>
          <cell r="I8088"/>
          <cell r="J8088"/>
          <cell r="L8088"/>
        </row>
        <row r="8089">
          <cell r="A8089"/>
          <cell r="D8089"/>
          <cell r="E8089"/>
          <cell r="F8089"/>
          <cell r="G8089"/>
          <cell r="H8089"/>
          <cell r="I8089"/>
          <cell r="J8089"/>
          <cell r="L8089"/>
        </row>
        <row r="8090">
          <cell r="A8090"/>
          <cell r="D8090"/>
          <cell r="E8090"/>
          <cell r="F8090"/>
          <cell r="G8090"/>
          <cell r="H8090"/>
          <cell r="I8090"/>
          <cell r="J8090"/>
          <cell r="L8090"/>
        </row>
        <row r="8091">
          <cell r="A8091"/>
          <cell r="D8091"/>
          <cell r="E8091"/>
          <cell r="F8091"/>
          <cell r="G8091"/>
          <cell r="H8091"/>
          <cell r="I8091"/>
          <cell r="J8091"/>
          <cell r="L8091"/>
        </row>
        <row r="8092">
          <cell r="A8092"/>
          <cell r="D8092"/>
          <cell r="E8092"/>
          <cell r="F8092"/>
          <cell r="G8092"/>
          <cell r="H8092"/>
          <cell r="I8092"/>
          <cell r="J8092"/>
          <cell r="L8092"/>
        </row>
        <row r="8093">
          <cell r="A8093"/>
          <cell r="D8093"/>
          <cell r="E8093"/>
          <cell r="F8093"/>
          <cell r="G8093"/>
          <cell r="H8093"/>
          <cell r="I8093"/>
          <cell r="J8093"/>
          <cell r="L8093"/>
        </row>
        <row r="8094">
          <cell r="A8094"/>
          <cell r="D8094"/>
          <cell r="E8094"/>
          <cell r="F8094"/>
          <cell r="G8094"/>
          <cell r="H8094"/>
          <cell r="I8094"/>
          <cell r="J8094"/>
          <cell r="L8094"/>
        </row>
        <row r="8095">
          <cell r="A8095"/>
          <cell r="D8095"/>
          <cell r="E8095"/>
          <cell r="F8095"/>
          <cell r="G8095"/>
          <cell r="H8095"/>
          <cell r="I8095"/>
          <cell r="J8095"/>
          <cell r="L8095"/>
        </row>
        <row r="8096">
          <cell r="A8096"/>
          <cell r="D8096"/>
          <cell r="E8096"/>
          <cell r="F8096"/>
          <cell r="G8096"/>
          <cell r="H8096"/>
          <cell r="I8096"/>
          <cell r="J8096"/>
          <cell r="L8096"/>
        </row>
        <row r="8097">
          <cell r="A8097"/>
          <cell r="D8097"/>
          <cell r="E8097"/>
          <cell r="F8097"/>
          <cell r="G8097"/>
          <cell r="H8097"/>
          <cell r="I8097"/>
          <cell r="J8097"/>
          <cell r="L8097"/>
        </row>
        <row r="8098">
          <cell r="A8098"/>
          <cell r="D8098"/>
          <cell r="E8098"/>
          <cell r="F8098"/>
          <cell r="G8098"/>
          <cell r="H8098"/>
          <cell r="I8098"/>
          <cell r="J8098"/>
          <cell r="L8098"/>
        </row>
        <row r="8099">
          <cell r="A8099"/>
          <cell r="D8099"/>
          <cell r="E8099"/>
          <cell r="F8099"/>
          <cell r="G8099"/>
          <cell r="H8099"/>
          <cell r="I8099"/>
          <cell r="J8099"/>
          <cell r="L8099"/>
        </row>
        <row r="8100">
          <cell r="A8100"/>
          <cell r="D8100"/>
          <cell r="E8100"/>
          <cell r="F8100"/>
          <cell r="G8100"/>
          <cell r="H8100"/>
          <cell r="I8100"/>
          <cell r="J8100"/>
          <cell r="L8100"/>
        </row>
        <row r="8101">
          <cell r="A8101"/>
          <cell r="D8101"/>
          <cell r="E8101"/>
          <cell r="F8101"/>
          <cell r="G8101"/>
          <cell r="H8101"/>
          <cell r="I8101"/>
          <cell r="J8101"/>
          <cell r="L8101"/>
        </row>
        <row r="8102">
          <cell r="A8102"/>
          <cell r="D8102"/>
          <cell r="E8102"/>
          <cell r="F8102"/>
          <cell r="G8102"/>
          <cell r="H8102"/>
          <cell r="I8102"/>
          <cell r="J8102"/>
          <cell r="L8102"/>
        </row>
        <row r="8103">
          <cell r="A8103"/>
          <cell r="D8103"/>
          <cell r="E8103"/>
          <cell r="F8103"/>
          <cell r="G8103"/>
          <cell r="H8103"/>
          <cell r="I8103"/>
          <cell r="J8103"/>
          <cell r="L8103"/>
        </row>
        <row r="8104">
          <cell r="A8104"/>
          <cell r="D8104"/>
          <cell r="E8104"/>
          <cell r="F8104"/>
          <cell r="G8104"/>
          <cell r="H8104"/>
          <cell r="I8104"/>
          <cell r="J8104"/>
          <cell r="L8104"/>
        </row>
        <row r="8105">
          <cell r="A8105"/>
          <cell r="D8105"/>
          <cell r="E8105"/>
          <cell r="F8105"/>
          <cell r="G8105"/>
          <cell r="H8105"/>
          <cell r="I8105"/>
          <cell r="J8105"/>
          <cell r="L8105"/>
        </row>
        <row r="8106">
          <cell r="A8106"/>
          <cell r="D8106"/>
          <cell r="E8106"/>
          <cell r="F8106"/>
          <cell r="G8106"/>
          <cell r="H8106"/>
          <cell r="I8106"/>
          <cell r="J8106"/>
          <cell r="L8106"/>
        </row>
        <row r="8107">
          <cell r="A8107"/>
          <cell r="D8107"/>
          <cell r="E8107"/>
          <cell r="F8107"/>
          <cell r="G8107"/>
          <cell r="H8107"/>
          <cell r="I8107"/>
          <cell r="J8107"/>
          <cell r="L8107"/>
        </row>
        <row r="8108">
          <cell r="A8108"/>
          <cell r="D8108"/>
          <cell r="E8108"/>
          <cell r="F8108"/>
          <cell r="G8108"/>
          <cell r="H8108"/>
          <cell r="I8108"/>
          <cell r="J8108"/>
          <cell r="L8108"/>
        </row>
        <row r="8109">
          <cell r="A8109"/>
          <cell r="D8109"/>
          <cell r="E8109"/>
          <cell r="F8109"/>
          <cell r="G8109"/>
          <cell r="H8109"/>
          <cell r="I8109"/>
          <cell r="J8109"/>
          <cell r="L8109"/>
        </row>
        <row r="8110">
          <cell r="A8110"/>
          <cell r="D8110"/>
          <cell r="E8110"/>
          <cell r="F8110"/>
          <cell r="G8110"/>
          <cell r="H8110"/>
          <cell r="I8110"/>
          <cell r="J8110"/>
          <cell r="L8110"/>
        </row>
        <row r="8111">
          <cell r="A8111"/>
          <cell r="D8111"/>
          <cell r="E8111"/>
          <cell r="F8111"/>
          <cell r="G8111"/>
          <cell r="H8111"/>
          <cell r="I8111"/>
          <cell r="J8111"/>
          <cell r="L8111"/>
        </row>
        <row r="8112">
          <cell r="A8112"/>
          <cell r="D8112"/>
          <cell r="E8112"/>
          <cell r="F8112"/>
          <cell r="G8112"/>
          <cell r="H8112"/>
          <cell r="I8112"/>
          <cell r="J8112"/>
          <cell r="L8112"/>
        </row>
        <row r="8113">
          <cell r="A8113"/>
          <cell r="D8113"/>
          <cell r="E8113"/>
          <cell r="F8113"/>
          <cell r="G8113"/>
          <cell r="H8113"/>
          <cell r="I8113"/>
          <cell r="J8113"/>
          <cell r="L8113"/>
        </row>
        <row r="8114">
          <cell r="A8114"/>
          <cell r="D8114"/>
          <cell r="E8114"/>
          <cell r="F8114"/>
          <cell r="G8114"/>
          <cell r="H8114"/>
          <cell r="I8114"/>
          <cell r="J8114"/>
          <cell r="L8114"/>
        </row>
        <row r="8115">
          <cell r="A8115"/>
          <cell r="D8115"/>
          <cell r="E8115"/>
          <cell r="F8115"/>
          <cell r="G8115"/>
          <cell r="H8115"/>
          <cell r="I8115"/>
          <cell r="J8115"/>
          <cell r="L8115"/>
        </row>
        <row r="8116">
          <cell r="A8116"/>
          <cell r="D8116"/>
          <cell r="E8116"/>
          <cell r="F8116"/>
          <cell r="G8116"/>
          <cell r="H8116"/>
          <cell r="I8116"/>
          <cell r="J8116"/>
          <cell r="L8116"/>
        </row>
        <row r="8117">
          <cell r="A8117"/>
          <cell r="D8117"/>
          <cell r="E8117"/>
          <cell r="F8117"/>
          <cell r="G8117"/>
          <cell r="H8117"/>
          <cell r="I8117"/>
          <cell r="J8117"/>
          <cell r="L8117"/>
        </row>
        <row r="8118">
          <cell r="A8118"/>
          <cell r="D8118"/>
          <cell r="E8118"/>
          <cell r="F8118"/>
          <cell r="G8118"/>
          <cell r="H8118"/>
          <cell r="I8118"/>
          <cell r="J8118"/>
          <cell r="L8118"/>
        </row>
        <row r="8119">
          <cell r="A8119"/>
          <cell r="D8119"/>
          <cell r="E8119"/>
          <cell r="F8119"/>
          <cell r="G8119"/>
          <cell r="H8119"/>
          <cell r="I8119"/>
          <cell r="J8119"/>
          <cell r="L8119"/>
        </row>
        <row r="8120">
          <cell r="A8120"/>
          <cell r="D8120"/>
          <cell r="E8120"/>
          <cell r="F8120"/>
          <cell r="G8120"/>
          <cell r="H8120"/>
          <cell r="I8120"/>
          <cell r="J8120"/>
          <cell r="L8120"/>
        </row>
        <row r="8121">
          <cell r="A8121"/>
          <cell r="D8121"/>
          <cell r="E8121"/>
          <cell r="F8121"/>
          <cell r="G8121"/>
          <cell r="H8121"/>
          <cell r="I8121"/>
          <cell r="J8121"/>
          <cell r="L8121"/>
        </row>
        <row r="8122">
          <cell r="A8122"/>
          <cell r="D8122"/>
          <cell r="E8122"/>
          <cell r="F8122"/>
          <cell r="G8122"/>
          <cell r="H8122"/>
          <cell r="I8122"/>
          <cell r="J8122"/>
          <cell r="L8122"/>
        </row>
        <row r="8123">
          <cell r="A8123"/>
          <cell r="D8123"/>
          <cell r="E8123"/>
          <cell r="F8123"/>
          <cell r="G8123"/>
          <cell r="H8123"/>
          <cell r="I8123"/>
          <cell r="J8123"/>
          <cell r="L8123"/>
        </row>
        <row r="8124">
          <cell r="A8124"/>
          <cell r="D8124"/>
          <cell r="E8124"/>
          <cell r="F8124"/>
          <cell r="G8124"/>
          <cell r="H8124"/>
          <cell r="I8124"/>
          <cell r="J8124"/>
          <cell r="L8124"/>
        </row>
        <row r="8125">
          <cell r="A8125"/>
          <cell r="D8125"/>
          <cell r="E8125"/>
          <cell r="F8125"/>
          <cell r="G8125"/>
          <cell r="H8125"/>
          <cell r="I8125"/>
          <cell r="J8125"/>
          <cell r="L8125"/>
        </row>
        <row r="8126">
          <cell r="A8126"/>
          <cell r="D8126"/>
          <cell r="E8126"/>
          <cell r="F8126"/>
          <cell r="G8126"/>
          <cell r="H8126"/>
          <cell r="I8126"/>
          <cell r="J8126"/>
          <cell r="L8126"/>
        </row>
        <row r="8127">
          <cell r="A8127"/>
          <cell r="D8127"/>
          <cell r="E8127"/>
          <cell r="F8127"/>
          <cell r="G8127"/>
          <cell r="H8127"/>
          <cell r="I8127"/>
          <cell r="J8127"/>
          <cell r="L8127"/>
        </row>
        <row r="8128">
          <cell r="A8128"/>
          <cell r="D8128"/>
          <cell r="E8128"/>
          <cell r="F8128"/>
          <cell r="G8128"/>
          <cell r="H8128"/>
          <cell r="I8128"/>
          <cell r="J8128"/>
          <cell r="L8128"/>
        </row>
        <row r="8129">
          <cell r="A8129"/>
          <cell r="D8129"/>
          <cell r="E8129"/>
          <cell r="F8129"/>
          <cell r="G8129"/>
          <cell r="H8129"/>
          <cell r="I8129"/>
          <cell r="J8129"/>
          <cell r="L8129"/>
        </row>
        <row r="8130">
          <cell r="A8130"/>
          <cell r="D8130"/>
          <cell r="E8130"/>
          <cell r="F8130"/>
          <cell r="G8130"/>
          <cell r="H8130"/>
          <cell r="I8130"/>
          <cell r="J8130"/>
          <cell r="L8130"/>
        </row>
        <row r="8131">
          <cell r="A8131"/>
          <cell r="D8131"/>
          <cell r="E8131"/>
          <cell r="F8131"/>
          <cell r="G8131"/>
          <cell r="H8131"/>
          <cell r="I8131"/>
          <cell r="J8131"/>
          <cell r="L8131"/>
        </row>
        <row r="8132">
          <cell r="A8132"/>
          <cell r="D8132"/>
          <cell r="E8132"/>
          <cell r="F8132"/>
          <cell r="G8132"/>
          <cell r="H8132"/>
          <cell r="I8132"/>
          <cell r="J8132"/>
          <cell r="L8132"/>
        </row>
        <row r="8133">
          <cell r="A8133"/>
          <cell r="D8133"/>
          <cell r="E8133"/>
          <cell r="F8133"/>
          <cell r="G8133"/>
          <cell r="H8133"/>
          <cell r="I8133"/>
          <cell r="J8133"/>
          <cell r="L8133"/>
        </row>
        <row r="8134">
          <cell r="A8134"/>
          <cell r="D8134"/>
          <cell r="E8134"/>
          <cell r="F8134"/>
          <cell r="G8134"/>
          <cell r="H8134"/>
          <cell r="I8134"/>
          <cell r="J8134"/>
          <cell r="L8134"/>
        </row>
        <row r="8135">
          <cell r="A8135"/>
          <cell r="D8135"/>
          <cell r="E8135"/>
          <cell r="F8135"/>
          <cell r="G8135"/>
          <cell r="H8135"/>
          <cell r="I8135"/>
          <cell r="J8135"/>
          <cell r="L8135"/>
        </row>
        <row r="8136">
          <cell r="A8136"/>
          <cell r="D8136"/>
          <cell r="E8136"/>
          <cell r="F8136"/>
          <cell r="G8136"/>
          <cell r="H8136"/>
          <cell r="I8136"/>
          <cell r="J8136"/>
          <cell r="L8136"/>
        </row>
        <row r="8137">
          <cell r="A8137"/>
          <cell r="D8137"/>
          <cell r="E8137"/>
          <cell r="F8137"/>
          <cell r="G8137"/>
          <cell r="H8137"/>
          <cell r="I8137"/>
          <cell r="J8137"/>
          <cell r="L8137"/>
        </row>
        <row r="8138">
          <cell r="A8138"/>
          <cell r="D8138"/>
          <cell r="E8138"/>
          <cell r="F8138"/>
          <cell r="G8138"/>
          <cell r="H8138"/>
          <cell r="I8138"/>
          <cell r="J8138"/>
          <cell r="L8138"/>
        </row>
        <row r="8139">
          <cell r="A8139"/>
          <cell r="D8139"/>
          <cell r="E8139"/>
          <cell r="F8139"/>
          <cell r="G8139"/>
          <cell r="H8139"/>
          <cell r="I8139"/>
          <cell r="J8139"/>
          <cell r="L8139"/>
        </row>
        <row r="8140">
          <cell r="A8140"/>
          <cell r="D8140"/>
          <cell r="E8140"/>
          <cell r="F8140"/>
          <cell r="G8140"/>
          <cell r="H8140"/>
          <cell r="I8140"/>
          <cell r="J8140"/>
          <cell r="L8140"/>
        </row>
        <row r="8141">
          <cell r="A8141"/>
          <cell r="D8141"/>
          <cell r="E8141"/>
          <cell r="F8141"/>
          <cell r="G8141"/>
          <cell r="H8141"/>
          <cell r="I8141"/>
          <cell r="J8141"/>
          <cell r="L8141"/>
        </row>
        <row r="8142">
          <cell r="A8142"/>
          <cell r="D8142"/>
          <cell r="E8142"/>
          <cell r="F8142"/>
          <cell r="G8142"/>
          <cell r="H8142"/>
          <cell r="I8142"/>
          <cell r="J8142"/>
          <cell r="L8142"/>
        </row>
        <row r="8143">
          <cell r="A8143"/>
          <cell r="D8143"/>
          <cell r="E8143"/>
          <cell r="F8143"/>
          <cell r="G8143"/>
          <cell r="H8143"/>
          <cell r="I8143"/>
          <cell r="J8143"/>
          <cell r="L8143"/>
        </row>
        <row r="8144">
          <cell r="A8144"/>
          <cell r="D8144"/>
          <cell r="E8144"/>
          <cell r="F8144"/>
          <cell r="G8144"/>
          <cell r="H8144"/>
          <cell r="I8144"/>
          <cell r="J8144"/>
          <cell r="L8144"/>
        </row>
        <row r="8145">
          <cell r="A8145"/>
          <cell r="D8145"/>
          <cell r="E8145"/>
          <cell r="F8145"/>
          <cell r="G8145"/>
          <cell r="H8145"/>
          <cell r="I8145"/>
          <cell r="J8145"/>
          <cell r="L8145"/>
        </row>
        <row r="8146">
          <cell r="A8146"/>
          <cell r="D8146"/>
          <cell r="E8146"/>
          <cell r="F8146"/>
          <cell r="G8146"/>
          <cell r="H8146"/>
          <cell r="I8146"/>
          <cell r="J8146"/>
          <cell r="L8146"/>
        </row>
        <row r="8147">
          <cell r="A8147"/>
          <cell r="D8147"/>
          <cell r="E8147"/>
          <cell r="F8147"/>
          <cell r="G8147"/>
          <cell r="H8147"/>
          <cell r="I8147"/>
          <cell r="J8147"/>
          <cell r="L8147"/>
        </row>
        <row r="8148">
          <cell r="A8148"/>
          <cell r="D8148"/>
          <cell r="E8148"/>
          <cell r="F8148"/>
          <cell r="G8148"/>
          <cell r="H8148"/>
          <cell r="I8148"/>
          <cell r="J8148"/>
          <cell r="L8148"/>
        </row>
        <row r="8149">
          <cell r="A8149"/>
          <cell r="D8149"/>
          <cell r="E8149"/>
          <cell r="F8149"/>
          <cell r="G8149"/>
          <cell r="H8149"/>
          <cell r="I8149"/>
          <cell r="J8149"/>
          <cell r="L8149"/>
        </row>
        <row r="8150">
          <cell r="A8150"/>
          <cell r="D8150"/>
          <cell r="E8150"/>
          <cell r="F8150"/>
          <cell r="G8150"/>
          <cell r="H8150"/>
          <cell r="I8150"/>
          <cell r="J8150"/>
          <cell r="L8150"/>
        </row>
        <row r="8151">
          <cell r="A8151"/>
          <cell r="D8151"/>
          <cell r="E8151"/>
          <cell r="F8151"/>
          <cell r="G8151"/>
          <cell r="H8151"/>
          <cell r="I8151"/>
          <cell r="J8151"/>
          <cell r="L8151"/>
        </row>
        <row r="8152">
          <cell r="A8152"/>
          <cell r="D8152"/>
          <cell r="E8152"/>
          <cell r="F8152"/>
          <cell r="G8152"/>
          <cell r="H8152"/>
          <cell r="I8152"/>
          <cell r="J8152"/>
          <cell r="L8152"/>
        </row>
        <row r="8153">
          <cell r="A8153"/>
          <cell r="D8153"/>
          <cell r="E8153"/>
          <cell r="F8153"/>
          <cell r="G8153"/>
          <cell r="H8153"/>
          <cell r="I8153"/>
          <cell r="J8153"/>
          <cell r="L8153"/>
        </row>
        <row r="8154">
          <cell r="A8154"/>
          <cell r="D8154"/>
          <cell r="E8154"/>
          <cell r="F8154"/>
          <cell r="G8154"/>
          <cell r="H8154"/>
          <cell r="I8154"/>
          <cell r="J8154"/>
          <cell r="L8154"/>
        </row>
        <row r="8155">
          <cell r="A8155"/>
          <cell r="D8155"/>
          <cell r="E8155"/>
          <cell r="F8155"/>
          <cell r="G8155"/>
          <cell r="H8155"/>
          <cell r="I8155"/>
          <cell r="J8155"/>
          <cell r="L8155"/>
        </row>
        <row r="8156">
          <cell r="A8156"/>
          <cell r="D8156"/>
          <cell r="E8156"/>
          <cell r="F8156"/>
          <cell r="G8156"/>
          <cell r="H8156"/>
          <cell r="I8156"/>
          <cell r="J8156"/>
          <cell r="L8156"/>
        </row>
        <row r="8157">
          <cell r="A8157"/>
          <cell r="D8157"/>
          <cell r="E8157"/>
          <cell r="F8157"/>
          <cell r="G8157"/>
          <cell r="H8157"/>
          <cell r="I8157"/>
          <cell r="J8157"/>
          <cell r="L8157"/>
        </row>
        <row r="8158">
          <cell r="A8158"/>
          <cell r="D8158"/>
          <cell r="E8158"/>
          <cell r="F8158"/>
          <cell r="G8158"/>
          <cell r="H8158"/>
          <cell r="I8158"/>
          <cell r="J8158"/>
          <cell r="L8158"/>
        </row>
        <row r="8159">
          <cell r="A8159"/>
          <cell r="D8159"/>
          <cell r="E8159"/>
          <cell r="F8159"/>
          <cell r="G8159"/>
          <cell r="H8159"/>
          <cell r="I8159"/>
          <cell r="J8159"/>
          <cell r="L8159"/>
        </row>
        <row r="8160">
          <cell r="A8160"/>
          <cell r="D8160"/>
          <cell r="E8160"/>
          <cell r="F8160"/>
          <cell r="G8160"/>
          <cell r="H8160"/>
          <cell r="I8160"/>
          <cell r="J8160"/>
          <cell r="L8160"/>
        </row>
        <row r="8161">
          <cell r="A8161"/>
          <cell r="D8161"/>
          <cell r="E8161"/>
          <cell r="F8161"/>
          <cell r="G8161"/>
          <cell r="H8161"/>
          <cell r="I8161"/>
          <cell r="J8161"/>
          <cell r="L8161"/>
        </row>
        <row r="8162">
          <cell r="A8162"/>
          <cell r="D8162"/>
          <cell r="E8162"/>
          <cell r="F8162"/>
          <cell r="G8162"/>
          <cell r="H8162"/>
          <cell r="I8162"/>
          <cell r="J8162"/>
          <cell r="L8162"/>
        </row>
        <row r="8163">
          <cell r="A8163"/>
          <cell r="D8163"/>
          <cell r="E8163"/>
          <cell r="F8163"/>
          <cell r="G8163"/>
          <cell r="H8163"/>
          <cell r="I8163"/>
          <cell r="J8163"/>
          <cell r="L8163"/>
        </row>
        <row r="8164">
          <cell r="A8164"/>
          <cell r="D8164"/>
          <cell r="E8164"/>
          <cell r="F8164"/>
          <cell r="G8164"/>
          <cell r="H8164"/>
          <cell r="I8164"/>
          <cell r="J8164"/>
          <cell r="L8164"/>
        </row>
        <row r="8165">
          <cell r="A8165"/>
          <cell r="D8165"/>
          <cell r="E8165"/>
          <cell r="F8165"/>
          <cell r="G8165"/>
          <cell r="H8165"/>
          <cell r="I8165"/>
          <cell r="J8165"/>
          <cell r="L8165"/>
        </row>
        <row r="8166">
          <cell r="A8166"/>
          <cell r="D8166"/>
          <cell r="E8166"/>
          <cell r="F8166"/>
          <cell r="G8166"/>
          <cell r="H8166"/>
          <cell r="I8166"/>
          <cell r="J8166"/>
          <cell r="L8166"/>
        </row>
        <row r="8167">
          <cell r="A8167"/>
          <cell r="D8167"/>
          <cell r="E8167"/>
          <cell r="F8167"/>
          <cell r="G8167"/>
          <cell r="H8167"/>
          <cell r="I8167"/>
          <cell r="J8167"/>
          <cell r="L8167"/>
        </row>
        <row r="8168">
          <cell r="A8168"/>
          <cell r="D8168"/>
          <cell r="E8168"/>
          <cell r="F8168"/>
          <cell r="G8168"/>
          <cell r="H8168"/>
          <cell r="I8168"/>
          <cell r="J8168"/>
          <cell r="L8168"/>
        </row>
        <row r="8169">
          <cell r="A8169"/>
          <cell r="D8169"/>
          <cell r="E8169"/>
          <cell r="F8169"/>
          <cell r="G8169"/>
          <cell r="H8169"/>
          <cell r="I8169"/>
          <cell r="J8169"/>
          <cell r="L8169"/>
        </row>
        <row r="8170">
          <cell r="A8170"/>
          <cell r="D8170"/>
          <cell r="E8170"/>
          <cell r="F8170"/>
          <cell r="G8170"/>
          <cell r="H8170"/>
          <cell r="I8170"/>
          <cell r="J8170"/>
          <cell r="L8170"/>
        </row>
        <row r="8171">
          <cell r="A8171"/>
          <cell r="D8171"/>
          <cell r="E8171"/>
          <cell r="F8171"/>
          <cell r="G8171"/>
          <cell r="H8171"/>
          <cell r="I8171"/>
          <cell r="J8171"/>
          <cell r="L8171"/>
        </row>
        <row r="8172">
          <cell r="A8172"/>
          <cell r="D8172"/>
          <cell r="E8172"/>
          <cell r="F8172"/>
          <cell r="G8172"/>
          <cell r="H8172"/>
          <cell r="I8172"/>
          <cell r="J8172"/>
          <cell r="L8172"/>
        </row>
        <row r="8173">
          <cell r="A8173"/>
          <cell r="D8173"/>
          <cell r="E8173"/>
          <cell r="F8173"/>
          <cell r="G8173"/>
          <cell r="H8173"/>
          <cell r="I8173"/>
          <cell r="J8173"/>
          <cell r="L8173"/>
        </row>
        <row r="8174">
          <cell r="A8174"/>
          <cell r="D8174"/>
          <cell r="E8174"/>
          <cell r="F8174"/>
          <cell r="G8174"/>
          <cell r="H8174"/>
          <cell r="I8174"/>
          <cell r="J8174"/>
          <cell r="L8174"/>
        </row>
        <row r="8175">
          <cell r="A8175"/>
          <cell r="D8175"/>
          <cell r="E8175"/>
          <cell r="F8175"/>
          <cell r="G8175"/>
          <cell r="H8175"/>
          <cell r="I8175"/>
          <cell r="J8175"/>
          <cell r="L8175"/>
        </row>
        <row r="8176">
          <cell r="A8176"/>
          <cell r="D8176"/>
          <cell r="E8176"/>
          <cell r="F8176"/>
          <cell r="G8176"/>
          <cell r="H8176"/>
          <cell r="I8176"/>
          <cell r="J8176"/>
          <cell r="L8176"/>
        </row>
        <row r="8177">
          <cell r="A8177"/>
          <cell r="D8177"/>
          <cell r="E8177"/>
          <cell r="F8177"/>
          <cell r="G8177"/>
          <cell r="H8177"/>
          <cell r="I8177"/>
          <cell r="J8177"/>
          <cell r="L8177"/>
        </row>
        <row r="8178">
          <cell r="A8178"/>
          <cell r="D8178"/>
          <cell r="E8178"/>
          <cell r="F8178"/>
          <cell r="G8178"/>
          <cell r="H8178"/>
          <cell r="I8178"/>
          <cell r="J8178"/>
          <cell r="L8178"/>
        </row>
        <row r="8179">
          <cell r="A8179"/>
          <cell r="D8179"/>
          <cell r="E8179"/>
          <cell r="F8179"/>
          <cell r="G8179"/>
          <cell r="H8179"/>
          <cell r="I8179"/>
          <cell r="J8179"/>
          <cell r="L8179"/>
        </row>
        <row r="8180">
          <cell r="A8180"/>
          <cell r="D8180"/>
          <cell r="E8180"/>
          <cell r="F8180"/>
          <cell r="G8180"/>
          <cell r="H8180"/>
          <cell r="I8180"/>
          <cell r="J8180"/>
          <cell r="L8180"/>
        </row>
        <row r="8181">
          <cell r="A8181"/>
          <cell r="D8181"/>
          <cell r="E8181"/>
          <cell r="F8181"/>
          <cell r="G8181"/>
          <cell r="H8181"/>
          <cell r="I8181"/>
          <cell r="J8181"/>
          <cell r="L8181"/>
        </row>
        <row r="8182">
          <cell r="A8182"/>
          <cell r="D8182"/>
          <cell r="E8182"/>
          <cell r="F8182"/>
          <cell r="G8182"/>
          <cell r="H8182"/>
          <cell r="I8182"/>
          <cell r="J8182"/>
          <cell r="L8182"/>
        </row>
        <row r="8183">
          <cell r="A8183"/>
          <cell r="D8183"/>
          <cell r="E8183"/>
          <cell r="F8183"/>
          <cell r="G8183"/>
          <cell r="H8183"/>
          <cell r="I8183"/>
          <cell r="J8183"/>
          <cell r="L8183"/>
        </row>
        <row r="8184">
          <cell r="A8184"/>
          <cell r="D8184"/>
          <cell r="E8184"/>
          <cell r="F8184"/>
          <cell r="G8184"/>
          <cell r="H8184"/>
          <cell r="I8184"/>
          <cell r="J8184"/>
          <cell r="L8184"/>
        </row>
        <row r="8185">
          <cell r="A8185"/>
          <cell r="D8185"/>
          <cell r="E8185"/>
          <cell r="F8185"/>
          <cell r="G8185"/>
          <cell r="H8185"/>
          <cell r="I8185"/>
          <cell r="J8185"/>
          <cell r="L8185"/>
        </row>
        <row r="8186">
          <cell r="A8186"/>
          <cell r="D8186"/>
          <cell r="E8186"/>
          <cell r="F8186"/>
          <cell r="G8186"/>
          <cell r="H8186"/>
          <cell r="I8186"/>
          <cell r="J8186"/>
          <cell r="L8186"/>
        </row>
        <row r="8187">
          <cell r="A8187"/>
          <cell r="D8187"/>
          <cell r="E8187"/>
          <cell r="F8187"/>
          <cell r="G8187"/>
          <cell r="H8187"/>
          <cell r="I8187"/>
          <cell r="J8187"/>
          <cell r="L8187"/>
        </row>
        <row r="8188">
          <cell r="A8188"/>
          <cell r="D8188"/>
          <cell r="E8188"/>
          <cell r="F8188"/>
          <cell r="G8188"/>
          <cell r="H8188"/>
          <cell r="I8188"/>
          <cell r="J8188"/>
          <cell r="L8188"/>
        </row>
        <row r="8189">
          <cell r="A8189"/>
          <cell r="D8189"/>
          <cell r="E8189"/>
          <cell r="F8189"/>
          <cell r="G8189"/>
          <cell r="H8189"/>
          <cell r="I8189"/>
          <cell r="J8189"/>
          <cell r="L8189"/>
        </row>
        <row r="8190">
          <cell r="A8190"/>
          <cell r="D8190"/>
          <cell r="E8190"/>
          <cell r="F8190"/>
          <cell r="G8190"/>
          <cell r="H8190"/>
          <cell r="I8190"/>
          <cell r="J8190"/>
          <cell r="L8190"/>
        </row>
        <row r="8191">
          <cell r="A8191"/>
          <cell r="D8191"/>
          <cell r="E8191"/>
          <cell r="F8191"/>
          <cell r="G8191"/>
          <cell r="H8191"/>
          <cell r="I8191"/>
          <cell r="J8191"/>
          <cell r="L8191"/>
        </row>
        <row r="8192">
          <cell r="A8192"/>
          <cell r="D8192"/>
          <cell r="E8192"/>
          <cell r="F8192"/>
          <cell r="G8192"/>
          <cell r="H8192"/>
          <cell r="I8192"/>
          <cell r="J8192"/>
          <cell r="L8192"/>
        </row>
        <row r="8193">
          <cell r="A8193"/>
          <cell r="D8193"/>
          <cell r="E8193"/>
          <cell r="F8193"/>
          <cell r="G8193"/>
          <cell r="H8193"/>
          <cell r="I8193"/>
          <cell r="J8193"/>
          <cell r="L8193"/>
        </row>
        <row r="8194">
          <cell r="A8194"/>
          <cell r="D8194"/>
          <cell r="E8194"/>
          <cell r="F8194"/>
          <cell r="G8194"/>
          <cell r="H8194"/>
          <cell r="I8194"/>
          <cell r="J8194"/>
          <cell r="L8194"/>
        </row>
        <row r="8195">
          <cell r="A8195"/>
          <cell r="D8195"/>
          <cell r="E8195"/>
          <cell r="F8195"/>
          <cell r="G8195"/>
          <cell r="H8195"/>
          <cell r="I8195"/>
          <cell r="J8195"/>
          <cell r="L8195"/>
        </row>
        <row r="8196">
          <cell r="A8196"/>
          <cell r="D8196"/>
          <cell r="E8196"/>
          <cell r="F8196"/>
          <cell r="G8196"/>
          <cell r="H8196"/>
          <cell r="I8196"/>
          <cell r="J8196"/>
          <cell r="L8196"/>
        </row>
        <row r="8197">
          <cell r="A8197"/>
          <cell r="D8197"/>
          <cell r="E8197"/>
          <cell r="F8197"/>
          <cell r="G8197"/>
          <cell r="H8197"/>
          <cell r="I8197"/>
          <cell r="J8197"/>
          <cell r="L8197"/>
        </row>
        <row r="8198">
          <cell r="A8198"/>
          <cell r="D8198"/>
          <cell r="E8198"/>
          <cell r="F8198"/>
          <cell r="G8198"/>
          <cell r="H8198"/>
          <cell r="I8198"/>
          <cell r="J8198"/>
          <cell r="L8198"/>
        </row>
        <row r="8199">
          <cell r="A8199"/>
          <cell r="D8199"/>
          <cell r="E8199"/>
          <cell r="F8199"/>
          <cell r="G8199"/>
          <cell r="H8199"/>
          <cell r="I8199"/>
          <cell r="J8199"/>
          <cell r="L8199"/>
        </row>
        <row r="8200">
          <cell r="A8200"/>
          <cell r="D8200"/>
          <cell r="E8200"/>
          <cell r="F8200"/>
          <cell r="G8200"/>
          <cell r="H8200"/>
          <cell r="I8200"/>
          <cell r="J8200"/>
          <cell r="L8200"/>
        </row>
        <row r="8201">
          <cell r="A8201"/>
          <cell r="D8201"/>
          <cell r="E8201"/>
          <cell r="F8201"/>
          <cell r="G8201"/>
          <cell r="H8201"/>
          <cell r="I8201"/>
          <cell r="J8201"/>
          <cell r="L8201"/>
        </row>
        <row r="8202">
          <cell r="A8202"/>
          <cell r="D8202"/>
          <cell r="E8202"/>
          <cell r="F8202"/>
          <cell r="G8202"/>
          <cell r="H8202"/>
          <cell r="I8202"/>
          <cell r="J8202"/>
          <cell r="L8202"/>
        </row>
        <row r="8203">
          <cell r="A8203"/>
          <cell r="D8203"/>
          <cell r="E8203"/>
          <cell r="F8203"/>
          <cell r="G8203"/>
          <cell r="H8203"/>
          <cell r="I8203"/>
          <cell r="J8203"/>
          <cell r="L8203"/>
        </row>
        <row r="8204">
          <cell r="A8204"/>
          <cell r="D8204"/>
          <cell r="E8204"/>
          <cell r="F8204"/>
          <cell r="G8204"/>
          <cell r="H8204"/>
          <cell r="I8204"/>
          <cell r="J8204"/>
          <cell r="L8204"/>
        </row>
        <row r="8205">
          <cell r="A8205"/>
          <cell r="D8205"/>
          <cell r="E8205"/>
          <cell r="F8205"/>
          <cell r="G8205"/>
          <cell r="H8205"/>
          <cell r="I8205"/>
          <cell r="J8205"/>
          <cell r="L8205"/>
        </row>
        <row r="8206">
          <cell r="A8206"/>
          <cell r="D8206"/>
          <cell r="E8206"/>
          <cell r="F8206"/>
          <cell r="G8206"/>
          <cell r="H8206"/>
          <cell r="I8206"/>
          <cell r="J8206"/>
          <cell r="L8206"/>
        </row>
        <row r="8207">
          <cell r="A8207"/>
          <cell r="D8207"/>
          <cell r="E8207"/>
          <cell r="F8207"/>
          <cell r="G8207"/>
          <cell r="H8207"/>
          <cell r="I8207"/>
          <cell r="J8207"/>
          <cell r="L8207"/>
        </row>
        <row r="8208">
          <cell r="A8208"/>
          <cell r="D8208"/>
          <cell r="E8208"/>
          <cell r="F8208"/>
          <cell r="G8208"/>
          <cell r="H8208"/>
          <cell r="I8208"/>
          <cell r="J8208"/>
          <cell r="L8208"/>
        </row>
        <row r="8209">
          <cell r="A8209"/>
          <cell r="D8209"/>
          <cell r="E8209"/>
          <cell r="F8209"/>
          <cell r="G8209"/>
          <cell r="H8209"/>
          <cell r="I8209"/>
          <cell r="J8209"/>
          <cell r="L8209"/>
        </row>
        <row r="8210">
          <cell r="A8210"/>
          <cell r="D8210"/>
          <cell r="E8210"/>
          <cell r="F8210"/>
          <cell r="G8210"/>
          <cell r="H8210"/>
          <cell r="I8210"/>
          <cell r="J8210"/>
          <cell r="L8210"/>
        </row>
        <row r="8211">
          <cell r="A8211"/>
          <cell r="D8211"/>
          <cell r="E8211"/>
          <cell r="F8211"/>
          <cell r="G8211"/>
          <cell r="H8211"/>
          <cell r="I8211"/>
          <cell r="J8211"/>
          <cell r="L8211"/>
        </row>
        <row r="8212">
          <cell r="A8212"/>
          <cell r="D8212"/>
          <cell r="E8212"/>
          <cell r="F8212"/>
          <cell r="G8212"/>
          <cell r="H8212"/>
          <cell r="I8212"/>
          <cell r="J8212"/>
          <cell r="L8212"/>
        </row>
        <row r="8213">
          <cell r="A8213"/>
          <cell r="D8213"/>
          <cell r="E8213"/>
          <cell r="F8213"/>
          <cell r="G8213"/>
          <cell r="H8213"/>
          <cell r="I8213"/>
          <cell r="J8213"/>
          <cell r="L8213"/>
        </row>
        <row r="8214">
          <cell r="A8214"/>
          <cell r="D8214"/>
          <cell r="E8214"/>
          <cell r="F8214"/>
          <cell r="G8214"/>
          <cell r="H8214"/>
          <cell r="I8214"/>
          <cell r="J8214"/>
          <cell r="L8214"/>
        </row>
        <row r="8215">
          <cell r="A8215"/>
          <cell r="D8215"/>
          <cell r="E8215"/>
          <cell r="F8215"/>
          <cell r="G8215"/>
          <cell r="H8215"/>
          <cell r="I8215"/>
          <cell r="J8215"/>
          <cell r="L8215"/>
        </row>
        <row r="8216">
          <cell r="A8216"/>
          <cell r="D8216"/>
          <cell r="E8216"/>
          <cell r="F8216"/>
          <cell r="G8216"/>
          <cell r="H8216"/>
          <cell r="I8216"/>
          <cell r="J8216"/>
          <cell r="L8216"/>
        </row>
        <row r="8217">
          <cell r="A8217"/>
          <cell r="D8217"/>
          <cell r="E8217"/>
          <cell r="F8217"/>
          <cell r="G8217"/>
          <cell r="H8217"/>
          <cell r="I8217"/>
          <cell r="J8217"/>
          <cell r="L8217"/>
        </row>
        <row r="8218">
          <cell r="A8218"/>
          <cell r="D8218"/>
          <cell r="E8218"/>
          <cell r="F8218"/>
          <cell r="G8218"/>
          <cell r="H8218"/>
          <cell r="I8218"/>
          <cell r="J8218"/>
          <cell r="L8218"/>
        </row>
        <row r="8219">
          <cell r="A8219"/>
          <cell r="D8219"/>
          <cell r="E8219"/>
          <cell r="F8219"/>
          <cell r="G8219"/>
          <cell r="H8219"/>
          <cell r="I8219"/>
          <cell r="J8219"/>
          <cell r="L8219"/>
        </row>
        <row r="8220">
          <cell r="A8220"/>
          <cell r="D8220"/>
          <cell r="E8220"/>
          <cell r="F8220"/>
          <cell r="G8220"/>
          <cell r="H8220"/>
          <cell r="I8220"/>
          <cell r="J8220"/>
          <cell r="L8220"/>
        </row>
        <row r="8221">
          <cell r="A8221"/>
          <cell r="D8221"/>
          <cell r="E8221"/>
          <cell r="F8221"/>
          <cell r="G8221"/>
          <cell r="H8221"/>
          <cell r="I8221"/>
          <cell r="J8221"/>
          <cell r="L8221"/>
        </row>
        <row r="8222">
          <cell r="A8222"/>
          <cell r="D8222"/>
          <cell r="E8222"/>
          <cell r="F8222"/>
          <cell r="G8222"/>
          <cell r="H8222"/>
          <cell r="I8222"/>
          <cell r="J8222"/>
          <cell r="L8222"/>
        </row>
        <row r="8223">
          <cell r="A8223"/>
          <cell r="D8223"/>
          <cell r="E8223"/>
          <cell r="F8223"/>
          <cell r="G8223"/>
          <cell r="H8223"/>
          <cell r="I8223"/>
          <cell r="J8223"/>
          <cell r="L8223"/>
        </row>
        <row r="8224">
          <cell r="A8224"/>
          <cell r="D8224"/>
          <cell r="E8224"/>
          <cell r="F8224"/>
          <cell r="G8224"/>
          <cell r="H8224"/>
          <cell r="I8224"/>
          <cell r="J8224"/>
          <cell r="L8224"/>
        </row>
        <row r="8225">
          <cell r="A8225"/>
          <cell r="D8225"/>
          <cell r="E8225"/>
          <cell r="F8225"/>
          <cell r="G8225"/>
          <cell r="H8225"/>
          <cell r="I8225"/>
          <cell r="J8225"/>
          <cell r="L8225"/>
        </row>
        <row r="8226">
          <cell r="A8226"/>
          <cell r="D8226"/>
          <cell r="E8226"/>
          <cell r="F8226"/>
          <cell r="G8226"/>
          <cell r="H8226"/>
          <cell r="I8226"/>
          <cell r="J8226"/>
          <cell r="L8226"/>
        </row>
        <row r="8227">
          <cell r="A8227"/>
          <cell r="D8227"/>
          <cell r="E8227"/>
          <cell r="F8227"/>
          <cell r="G8227"/>
          <cell r="H8227"/>
          <cell r="I8227"/>
          <cell r="J8227"/>
          <cell r="L8227"/>
        </row>
        <row r="8228">
          <cell r="A8228"/>
          <cell r="D8228"/>
          <cell r="E8228"/>
          <cell r="F8228"/>
          <cell r="G8228"/>
          <cell r="H8228"/>
          <cell r="I8228"/>
          <cell r="J8228"/>
          <cell r="L8228"/>
        </row>
        <row r="8229">
          <cell r="A8229"/>
          <cell r="D8229"/>
          <cell r="E8229"/>
          <cell r="F8229"/>
          <cell r="G8229"/>
          <cell r="H8229"/>
          <cell r="I8229"/>
          <cell r="J8229"/>
          <cell r="L8229"/>
        </row>
        <row r="8230">
          <cell r="A8230"/>
          <cell r="D8230"/>
          <cell r="E8230"/>
          <cell r="F8230"/>
          <cell r="G8230"/>
          <cell r="H8230"/>
          <cell r="I8230"/>
          <cell r="J8230"/>
          <cell r="L8230"/>
        </row>
        <row r="8231">
          <cell r="A8231"/>
          <cell r="D8231"/>
          <cell r="E8231"/>
          <cell r="F8231"/>
          <cell r="G8231"/>
          <cell r="H8231"/>
          <cell r="I8231"/>
          <cell r="J8231"/>
          <cell r="L8231"/>
        </row>
        <row r="8232">
          <cell r="A8232"/>
          <cell r="D8232"/>
          <cell r="E8232"/>
          <cell r="F8232"/>
          <cell r="G8232"/>
          <cell r="H8232"/>
          <cell r="I8232"/>
          <cell r="J8232"/>
          <cell r="L8232"/>
        </row>
        <row r="8233">
          <cell r="A8233"/>
          <cell r="D8233"/>
          <cell r="E8233"/>
          <cell r="F8233"/>
          <cell r="G8233"/>
          <cell r="H8233"/>
          <cell r="I8233"/>
          <cell r="J8233"/>
          <cell r="L8233"/>
        </row>
        <row r="8234">
          <cell r="A8234"/>
          <cell r="D8234"/>
          <cell r="E8234"/>
          <cell r="F8234"/>
          <cell r="G8234"/>
          <cell r="H8234"/>
          <cell r="I8234"/>
          <cell r="J8234"/>
          <cell r="L8234"/>
        </row>
        <row r="8235">
          <cell r="A8235"/>
          <cell r="D8235"/>
          <cell r="E8235"/>
          <cell r="F8235"/>
          <cell r="G8235"/>
          <cell r="H8235"/>
          <cell r="I8235"/>
          <cell r="J8235"/>
          <cell r="L8235"/>
        </row>
        <row r="8236">
          <cell r="A8236"/>
          <cell r="D8236"/>
          <cell r="E8236"/>
          <cell r="F8236"/>
          <cell r="G8236"/>
          <cell r="H8236"/>
          <cell r="I8236"/>
          <cell r="J8236"/>
          <cell r="L8236"/>
        </row>
        <row r="8237">
          <cell r="A8237"/>
          <cell r="D8237"/>
          <cell r="E8237"/>
          <cell r="F8237"/>
          <cell r="G8237"/>
          <cell r="H8237"/>
          <cell r="I8237"/>
          <cell r="J8237"/>
          <cell r="L8237"/>
        </row>
        <row r="8238">
          <cell r="A8238"/>
          <cell r="D8238"/>
          <cell r="E8238"/>
          <cell r="F8238"/>
          <cell r="G8238"/>
          <cell r="H8238"/>
          <cell r="I8238"/>
          <cell r="J8238"/>
          <cell r="L8238"/>
        </row>
        <row r="8239">
          <cell r="A8239"/>
          <cell r="D8239"/>
          <cell r="E8239"/>
          <cell r="F8239"/>
          <cell r="G8239"/>
          <cell r="H8239"/>
          <cell r="I8239"/>
          <cell r="J8239"/>
          <cell r="L8239"/>
        </row>
        <row r="8240">
          <cell r="A8240"/>
          <cell r="D8240"/>
          <cell r="E8240"/>
          <cell r="F8240"/>
          <cell r="G8240"/>
          <cell r="H8240"/>
          <cell r="I8240"/>
          <cell r="J8240"/>
          <cell r="L8240"/>
        </row>
        <row r="8241">
          <cell r="A8241"/>
          <cell r="D8241"/>
          <cell r="E8241"/>
          <cell r="F8241"/>
          <cell r="G8241"/>
          <cell r="H8241"/>
          <cell r="I8241"/>
          <cell r="J8241"/>
          <cell r="L8241"/>
        </row>
        <row r="8242">
          <cell r="A8242"/>
          <cell r="D8242"/>
          <cell r="E8242"/>
          <cell r="F8242"/>
          <cell r="G8242"/>
          <cell r="H8242"/>
          <cell r="I8242"/>
          <cell r="J8242"/>
          <cell r="L8242"/>
        </row>
        <row r="8243">
          <cell r="A8243"/>
          <cell r="D8243"/>
          <cell r="E8243"/>
          <cell r="F8243"/>
          <cell r="G8243"/>
          <cell r="H8243"/>
          <cell r="I8243"/>
          <cell r="J8243"/>
          <cell r="L8243"/>
        </row>
        <row r="8244">
          <cell r="A8244"/>
          <cell r="D8244"/>
          <cell r="E8244"/>
          <cell r="F8244"/>
          <cell r="G8244"/>
          <cell r="H8244"/>
          <cell r="I8244"/>
          <cell r="J8244"/>
          <cell r="L8244"/>
        </row>
        <row r="8245">
          <cell r="A8245"/>
          <cell r="D8245"/>
          <cell r="E8245"/>
          <cell r="F8245"/>
          <cell r="G8245"/>
          <cell r="H8245"/>
          <cell r="I8245"/>
          <cell r="J8245"/>
          <cell r="L8245"/>
        </row>
        <row r="8246">
          <cell r="A8246"/>
          <cell r="D8246"/>
          <cell r="E8246"/>
          <cell r="F8246"/>
          <cell r="G8246"/>
          <cell r="H8246"/>
          <cell r="I8246"/>
          <cell r="J8246"/>
          <cell r="L8246"/>
        </row>
        <row r="8247">
          <cell r="A8247"/>
          <cell r="D8247"/>
          <cell r="E8247"/>
          <cell r="F8247"/>
          <cell r="G8247"/>
          <cell r="H8247"/>
          <cell r="I8247"/>
          <cell r="J8247"/>
          <cell r="L8247"/>
        </row>
        <row r="8248">
          <cell r="A8248"/>
          <cell r="D8248"/>
          <cell r="E8248"/>
          <cell r="F8248"/>
          <cell r="G8248"/>
          <cell r="H8248"/>
          <cell r="I8248"/>
          <cell r="J8248"/>
          <cell r="L8248"/>
        </row>
        <row r="8249">
          <cell r="A8249"/>
          <cell r="D8249"/>
          <cell r="E8249"/>
          <cell r="F8249"/>
          <cell r="G8249"/>
          <cell r="H8249"/>
          <cell r="I8249"/>
          <cell r="J8249"/>
          <cell r="L8249"/>
        </row>
        <row r="8250">
          <cell r="A8250"/>
          <cell r="D8250"/>
          <cell r="E8250"/>
          <cell r="F8250"/>
          <cell r="G8250"/>
          <cell r="H8250"/>
          <cell r="I8250"/>
          <cell r="J8250"/>
          <cell r="L8250"/>
        </row>
        <row r="8251">
          <cell r="A8251"/>
          <cell r="D8251"/>
          <cell r="E8251"/>
          <cell r="F8251"/>
          <cell r="G8251"/>
          <cell r="H8251"/>
          <cell r="I8251"/>
          <cell r="J8251"/>
          <cell r="L8251"/>
        </row>
        <row r="8252">
          <cell r="A8252"/>
          <cell r="D8252"/>
          <cell r="E8252"/>
          <cell r="F8252"/>
          <cell r="G8252"/>
          <cell r="H8252"/>
          <cell r="I8252"/>
          <cell r="J8252"/>
          <cell r="L8252"/>
        </row>
        <row r="8253">
          <cell r="A8253"/>
          <cell r="D8253"/>
          <cell r="E8253"/>
          <cell r="F8253"/>
          <cell r="G8253"/>
          <cell r="H8253"/>
          <cell r="I8253"/>
          <cell r="J8253"/>
          <cell r="L8253"/>
        </row>
        <row r="8254">
          <cell r="A8254"/>
          <cell r="D8254"/>
          <cell r="E8254"/>
          <cell r="F8254"/>
          <cell r="G8254"/>
          <cell r="H8254"/>
          <cell r="I8254"/>
          <cell r="J8254"/>
          <cell r="L8254"/>
        </row>
        <row r="8255">
          <cell r="A8255"/>
          <cell r="D8255"/>
          <cell r="E8255"/>
          <cell r="F8255"/>
          <cell r="G8255"/>
          <cell r="H8255"/>
          <cell r="I8255"/>
          <cell r="J8255"/>
          <cell r="L8255"/>
        </row>
        <row r="8256">
          <cell r="A8256"/>
          <cell r="D8256"/>
          <cell r="E8256"/>
          <cell r="F8256"/>
          <cell r="G8256"/>
          <cell r="H8256"/>
          <cell r="I8256"/>
          <cell r="J8256"/>
          <cell r="L8256"/>
        </row>
        <row r="8257">
          <cell r="A8257"/>
          <cell r="D8257"/>
          <cell r="E8257"/>
          <cell r="F8257"/>
          <cell r="G8257"/>
          <cell r="H8257"/>
          <cell r="I8257"/>
          <cell r="J8257"/>
          <cell r="L8257"/>
        </row>
        <row r="8258">
          <cell r="A8258"/>
          <cell r="D8258"/>
          <cell r="E8258"/>
          <cell r="F8258"/>
          <cell r="G8258"/>
          <cell r="H8258"/>
          <cell r="I8258"/>
          <cell r="J8258"/>
          <cell r="L8258"/>
        </row>
        <row r="8259">
          <cell r="A8259"/>
          <cell r="D8259"/>
          <cell r="E8259"/>
          <cell r="F8259"/>
          <cell r="G8259"/>
          <cell r="H8259"/>
          <cell r="I8259"/>
          <cell r="J8259"/>
          <cell r="L8259"/>
        </row>
        <row r="8260">
          <cell r="A8260"/>
          <cell r="D8260"/>
          <cell r="E8260"/>
          <cell r="F8260"/>
          <cell r="G8260"/>
          <cell r="H8260"/>
          <cell r="I8260"/>
          <cell r="J8260"/>
          <cell r="L8260"/>
        </row>
        <row r="8261">
          <cell r="A8261"/>
          <cell r="D8261"/>
          <cell r="E8261"/>
          <cell r="F8261"/>
          <cell r="G8261"/>
          <cell r="H8261"/>
          <cell r="I8261"/>
          <cell r="J8261"/>
          <cell r="L8261"/>
        </row>
        <row r="8262">
          <cell r="A8262"/>
          <cell r="D8262"/>
          <cell r="E8262"/>
          <cell r="F8262"/>
          <cell r="G8262"/>
          <cell r="H8262"/>
          <cell r="I8262"/>
          <cell r="J8262"/>
          <cell r="L8262"/>
        </row>
        <row r="8263">
          <cell r="A8263"/>
          <cell r="D8263"/>
          <cell r="E8263"/>
          <cell r="F8263"/>
          <cell r="G8263"/>
          <cell r="H8263"/>
          <cell r="I8263"/>
          <cell r="J8263"/>
          <cell r="L8263"/>
        </row>
        <row r="8264">
          <cell r="A8264"/>
          <cell r="D8264"/>
          <cell r="E8264"/>
          <cell r="F8264"/>
          <cell r="G8264"/>
          <cell r="H8264"/>
          <cell r="I8264"/>
          <cell r="J8264"/>
          <cell r="L8264"/>
        </row>
        <row r="8265">
          <cell r="A8265"/>
          <cell r="D8265"/>
          <cell r="E8265"/>
          <cell r="F8265"/>
          <cell r="G8265"/>
          <cell r="H8265"/>
          <cell r="I8265"/>
          <cell r="J8265"/>
          <cell r="L8265"/>
        </row>
        <row r="8266">
          <cell r="A8266"/>
          <cell r="D8266"/>
          <cell r="E8266"/>
          <cell r="F8266"/>
          <cell r="G8266"/>
          <cell r="H8266"/>
          <cell r="I8266"/>
          <cell r="J8266"/>
          <cell r="L8266"/>
        </row>
        <row r="8267">
          <cell r="A8267"/>
          <cell r="D8267"/>
          <cell r="E8267"/>
          <cell r="F8267"/>
          <cell r="G8267"/>
          <cell r="H8267"/>
          <cell r="I8267"/>
          <cell r="J8267"/>
          <cell r="L8267"/>
        </row>
        <row r="8268">
          <cell r="A8268"/>
          <cell r="D8268"/>
          <cell r="E8268"/>
          <cell r="F8268"/>
          <cell r="G8268"/>
          <cell r="H8268"/>
          <cell r="I8268"/>
          <cell r="J8268"/>
          <cell r="L8268"/>
        </row>
        <row r="8269">
          <cell r="A8269"/>
          <cell r="D8269"/>
          <cell r="E8269"/>
          <cell r="F8269"/>
          <cell r="G8269"/>
          <cell r="H8269"/>
          <cell r="I8269"/>
          <cell r="J8269"/>
          <cell r="L8269"/>
        </row>
        <row r="8270">
          <cell r="A8270"/>
          <cell r="D8270"/>
          <cell r="E8270"/>
          <cell r="F8270"/>
          <cell r="G8270"/>
          <cell r="H8270"/>
          <cell r="I8270"/>
          <cell r="J8270"/>
          <cell r="L8270"/>
        </row>
        <row r="8271">
          <cell r="A8271"/>
          <cell r="D8271"/>
          <cell r="E8271"/>
          <cell r="F8271"/>
          <cell r="G8271"/>
          <cell r="H8271"/>
          <cell r="I8271"/>
          <cell r="J8271"/>
          <cell r="L8271"/>
        </row>
        <row r="8272">
          <cell r="A8272"/>
          <cell r="D8272"/>
          <cell r="E8272"/>
          <cell r="F8272"/>
          <cell r="G8272"/>
          <cell r="H8272"/>
          <cell r="I8272"/>
          <cell r="J8272"/>
          <cell r="L8272"/>
        </row>
        <row r="8273">
          <cell r="A8273"/>
          <cell r="D8273"/>
          <cell r="E8273"/>
          <cell r="F8273"/>
          <cell r="G8273"/>
          <cell r="H8273"/>
          <cell r="I8273"/>
          <cell r="J8273"/>
          <cell r="L8273"/>
        </row>
        <row r="8274">
          <cell r="A8274"/>
          <cell r="D8274"/>
          <cell r="E8274"/>
          <cell r="F8274"/>
          <cell r="G8274"/>
          <cell r="H8274"/>
          <cell r="I8274"/>
          <cell r="J8274"/>
          <cell r="L8274"/>
        </row>
        <row r="8275">
          <cell r="A8275"/>
          <cell r="D8275"/>
          <cell r="E8275"/>
          <cell r="F8275"/>
          <cell r="G8275"/>
          <cell r="H8275"/>
          <cell r="I8275"/>
          <cell r="J8275"/>
          <cell r="L8275"/>
        </row>
        <row r="8276">
          <cell r="A8276"/>
          <cell r="D8276"/>
          <cell r="E8276"/>
          <cell r="F8276"/>
          <cell r="G8276"/>
          <cell r="H8276"/>
          <cell r="I8276"/>
          <cell r="J8276"/>
          <cell r="L8276"/>
        </row>
        <row r="8277">
          <cell r="A8277"/>
          <cell r="D8277"/>
          <cell r="E8277"/>
          <cell r="F8277"/>
          <cell r="G8277"/>
          <cell r="H8277"/>
          <cell r="I8277"/>
          <cell r="J8277"/>
          <cell r="L8277"/>
        </row>
        <row r="8278">
          <cell r="A8278"/>
          <cell r="D8278"/>
          <cell r="E8278"/>
          <cell r="F8278"/>
          <cell r="G8278"/>
          <cell r="H8278"/>
          <cell r="I8278"/>
          <cell r="J8278"/>
          <cell r="L8278"/>
        </row>
        <row r="8279">
          <cell r="A8279"/>
          <cell r="D8279"/>
          <cell r="E8279"/>
          <cell r="F8279"/>
          <cell r="G8279"/>
          <cell r="H8279"/>
          <cell r="I8279"/>
          <cell r="J8279"/>
          <cell r="L8279"/>
        </row>
        <row r="8280">
          <cell r="A8280"/>
          <cell r="D8280"/>
          <cell r="E8280"/>
          <cell r="F8280"/>
          <cell r="G8280"/>
          <cell r="H8280"/>
          <cell r="I8280"/>
          <cell r="J8280"/>
          <cell r="L8280"/>
        </row>
        <row r="8281">
          <cell r="A8281"/>
          <cell r="D8281"/>
          <cell r="E8281"/>
          <cell r="F8281"/>
          <cell r="G8281"/>
          <cell r="H8281"/>
          <cell r="I8281"/>
          <cell r="J8281"/>
          <cell r="L8281"/>
        </row>
        <row r="8282">
          <cell r="A8282"/>
          <cell r="D8282"/>
          <cell r="E8282"/>
          <cell r="F8282"/>
          <cell r="G8282"/>
          <cell r="H8282"/>
          <cell r="I8282"/>
          <cell r="J8282"/>
          <cell r="L8282"/>
        </row>
        <row r="8283">
          <cell r="A8283"/>
          <cell r="D8283"/>
          <cell r="E8283"/>
          <cell r="F8283"/>
          <cell r="G8283"/>
          <cell r="H8283"/>
          <cell r="I8283"/>
          <cell r="J8283"/>
          <cell r="L8283"/>
        </row>
        <row r="8284">
          <cell r="A8284"/>
          <cell r="D8284"/>
          <cell r="E8284"/>
          <cell r="F8284"/>
          <cell r="G8284"/>
          <cell r="H8284"/>
          <cell r="I8284"/>
          <cell r="J8284"/>
          <cell r="L8284"/>
        </row>
        <row r="8285">
          <cell r="A8285"/>
          <cell r="D8285"/>
          <cell r="E8285"/>
          <cell r="F8285"/>
          <cell r="G8285"/>
          <cell r="H8285"/>
          <cell r="I8285"/>
          <cell r="J8285"/>
          <cell r="L8285"/>
        </row>
        <row r="8286">
          <cell r="A8286"/>
          <cell r="D8286"/>
          <cell r="E8286"/>
          <cell r="F8286"/>
          <cell r="G8286"/>
          <cell r="H8286"/>
          <cell r="I8286"/>
          <cell r="J8286"/>
          <cell r="L8286"/>
        </row>
        <row r="8287">
          <cell r="A8287"/>
          <cell r="D8287"/>
          <cell r="E8287"/>
          <cell r="F8287"/>
          <cell r="G8287"/>
          <cell r="H8287"/>
          <cell r="I8287"/>
          <cell r="J8287"/>
          <cell r="L8287"/>
        </row>
        <row r="8288">
          <cell r="A8288"/>
          <cell r="D8288"/>
          <cell r="E8288"/>
          <cell r="F8288"/>
          <cell r="G8288"/>
          <cell r="H8288"/>
          <cell r="I8288"/>
          <cell r="J8288"/>
          <cell r="L8288"/>
        </row>
        <row r="8289">
          <cell r="A8289"/>
          <cell r="D8289"/>
          <cell r="E8289"/>
          <cell r="F8289"/>
          <cell r="G8289"/>
          <cell r="H8289"/>
          <cell r="I8289"/>
          <cell r="J8289"/>
          <cell r="L8289"/>
        </row>
        <row r="8290">
          <cell r="A8290"/>
          <cell r="D8290"/>
          <cell r="E8290"/>
          <cell r="F8290"/>
          <cell r="G8290"/>
          <cell r="H8290"/>
          <cell r="I8290"/>
          <cell r="J8290"/>
          <cell r="L8290"/>
        </row>
        <row r="8291">
          <cell r="A8291"/>
          <cell r="D8291"/>
          <cell r="E8291"/>
          <cell r="F8291"/>
          <cell r="G8291"/>
          <cell r="H8291"/>
          <cell r="I8291"/>
          <cell r="J8291"/>
          <cell r="L8291"/>
        </row>
        <row r="8292">
          <cell r="A8292"/>
          <cell r="D8292"/>
          <cell r="E8292"/>
          <cell r="F8292"/>
          <cell r="G8292"/>
          <cell r="H8292"/>
          <cell r="I8292"/>
          <cell r="J8292"/>
          <cell r="L8292"/>
        </row>
        <row r="8293">
          <cell r="A8293"/>
          <cell r="D8293"/>
          <cell r="E8293"/>
          <cell r="F8293"/>
          <cell r="G8293"/>
          <cell r="H8293"/>
          <cell r="I8293"/>
          <cell r="J8293"/>
          <cell r="L8293"/>
        </row>
        <row r="8294">
          <cell r="A8294"/>
          <cell r="D8294"/>
          <cell r="E8294"/>
          <cell r="F8294"/>
          <cell r="G8294"/>
          <cell r="H8294"/>
          <cell r="I8294"/>
          <cell r="J8294"/>
          <cell r="L8294"/>
        </row>
        <row r="8295">
          <cell r="A8295"/>
          <cell r="D8295"/>
          <cell r="E8295"/>
          <cell r="F8295"/>
          <cell r="G8295"/>
          <cell r="H8295"/>
          <cell r="I8295"/>
          <cell r="J8295"/>
          <cell r="L8295"/>
        </row>
        <row r="8296">
          <cell r="A8296"/>
          <cell r="D8296"/>
          <cell r="E8296"/>
          <cell r="F8296"/>
          <cell r="G8296"/>
          <cell r="H8296"/>
          <cell r="I8296"/>
          <cell r="J8296"/>
          <cell r="L8296"/>
        </row>
        <row r="8297">
          <cell r="A8297"/>
          <cell r="D8297"/>
          <cell r="E8297"/>
          <cell r="F8297"/>
          <cell r="G8297"/>
          <cell r="H8297"/>
          <cell r="I8297"/>
          <cell r="J8297"/>
          <cell r="L8297"/>
        </row>
        <row r="8298">
          <cell r="A8298"/>
          <cell r="D8298"/>
          <cell r="E8298"/>
          <cell r="F8298"/>
          <cell r="G8298"/>
          <cell r="H8298"/>
          <cell r="I8298"/>
          <cell r="J8298"/>
          <cell r="L8298"/>
        </row>
        <row r="8299">
          <cell r="A8299"/>
          <cell r="D8299"/>
          <cell r="E8299"/>
          <cell r="F8299"/>
          <cell r="G8299"/>
          <cell r="H8299"/>
          <cell r="I8299"/>
          <cell r="J8299"/>
          <cell r="L8299"/>
        </row>
        <row r="8300">
          <cell r="A8300"/>
          <cell r="D8300"/>
          <cell r="E8300"/>
          <cell r="F8300"/>
          <cell r="G8300"/>
          <cell r="H8300"/>
          <cell r="I8300"/>
          <cell r="J8300"/>
          <cell r="L8300"/>
        </row>
        <row r="8301">
          <cell r="A8301"/>
          <cell r="D8301"/>
          <cell r="E8301"/>
          <cell r="F8301"/>
          <cell r="G8301"/>
          <cell r="H8301"/>
          <cell r="I8301"/>
          <cell r="J8301"/>
          <cell r="L8301"/>
        </row>
        <row r="8302">
          <cell r="A8302"/>
          <cell r="D8302"/>
          <cell r="E8302"/>
          <cell r="F8302"/>
          <cell r="G8302"/>
          <cell r="H8302"/>
          <cell r="I8302"/>
          <cell r="J8302"/>
          <cell r="L8302"/>
        </row>
        <row r="8303">
          <cell r="A8303"/>
          <cell r="D8303"/>
          <cell r="E8303"/>
          <cell r="F8303"/>
          <cell r="G8303"/>
          <cell r="H8303"/>
          <cell r="I8303"/>
          <cell r="J8303"/>
          <cell r="L8303"/>
        </row>
        <row r="8304">
          <cell r="A8304"/>
          <cell r="D8304"/>
          <cell r="E8304"/>
          <cell r="F8304"/>
          <cell r="G8304"/>
          <cell r="H8304"/>
          <cell r="I8304"/>
          <cell r="J8304"/>
          <cell r="L8304"/>
        </row>
        <row r="8305">
          <cell r="A8305"/>
          <cell r="D8305"/>
          <cell r="E8305"/>
          <cell r="F8305"/>
          <cell r="G8305"/>
          <cell r="H8305"/>
          <cell r="I8305"/>
          <cell r="J8305"/>
          <cell r="L8305"/>
        </row>
        <row r="8306">
          <cell r="A8306"/>
          <cell r="D8306"/>
          <cell r="E8306"/>
          <cell r="F8306"/>
          <cell r="G8306"/>
          <cell r="H8306"/>
          <cell r="I8306"/>
          <cell r="J8306"/>
          <cell r="L8306"/>
        </row>
        <row r="8307">
          <cell r="A8307"/>
          <cell r="D8307"/>
          <cell r="E8307"/>
          <cell r="F8307"/>
          <cell r="G8307"/>
          <cell r="H8307"/>
          <cell r="I8307"/>
          <cell r="J8307"/>
          <cell r="L8307"/>
        </row>
        <row r="8308">
          <cell r="A8308"/>
          <cell r="D8308"/>
          <cell r="E8308"/>
          <cell r="F8308"/>
          <cell r="G8308"/>
          <cell r="H8308"/>
          <cell r="I8308"/>
          <cell r="J8308"/>
          <cell r="L8308"/>
        </row>
        <row r="8309">
          <cell r="A8309"/>
          <cell r="D8309"/>
          <cell r="E8309"/>
          <cell r="F8309"/>
          <cell r="G8309"/>
          <cell r="H8309"/>
          <cell r="I8309"/>
          <cell r="J8309"/>
          <cell r="L8309"/>
        </row>
        <row r="8310">
          <cell r="A8310"/>
          <cell r="D8310"/>
          <cell r="E8310"/>
          <cell r="F8310"/>
          <cell r="G8310"/>
          <cell r="H8310"/>
          <cell r="I8310"/>
          <cell r="J8310"/>
          <cell r="L8310"/>
        </row>
        <row r="8311">
          <cell r="A8311"/>
          <cell r="D8311"/>
          <cell r="E8311"/>
          <cell r="F8311"/>
          <cell r="G8311"/>
          <cell r="H8311"/>
          <cell r="I8311"/>
          <cell r="J8311"/>
          <cell r="L8311"/>
        </row>
        <row r="8312">
          <cell r="A8312"/>
          <cell r="D8312"/>
          <cell r="E8312"/>
          <cell r="F8312"/>
          <cell r="G8312"/>
          <cell r="H8312"/>
          <cell r="I8312"/>
          <cell r="J8312"/>
          <cell r="L8312"/>
        </row>
        <row r="8313">
          <cell r="A8313"/>
          <cell r="D8313"/>
          <cell r="E8313"/>
          <cell r="F8313"/>
          <cell r="G8313"/>
          <cell r="H8313"/>
          <cell r="I8313"/>
          <cell r="J8313"/>
          <cell r="L8313"/>
        </row>
        <row r="8314">
          <cell r="A8314"/>
          <cell r="D8314"/>
          <cell r="E8314"/>
          <cell r="F8314"/>
          <cell r="G8314"/>
          <cell r="H8314"/>
          <cell r="I8314"/>
          <cell r="J8314"/>
          <cell r="L8314"/>
        </row>
        <row r="8315">
          <cell r="A8315"/>
          <cell r="D8315"/>
          <cell r="E8315"/>
          <cell r="F8315"/>
          <cell r="G8315"/>
          <cell r="H8315"/>
          <cell r="I8315"/>
          <cell r="J8315"/>
          <cell r="L8315"/>
        </row>
        <row r="8316">
          <cell r="A8316"/>
          <cell r="D8316"/>
          <cell r="E8316"/>
          <cell r="F8316"/>
          <cell r="G8316"/>
          <cell r="H8316"/>
          <cell r="I8316"/>
          <cell r="J8316"/>
          <cell r="L8316"/>
        </row>
        <row r="8317">
          <cell r="A8317"/>
          <cell r="D8317"/>
          <cell r="E8317"/>
          <cell r="F8317"/>
          <cell r="G8317"/>
          <cell r="H8317"/>
          <cell r="I8317"/>
          <cell r="J8317"/>
          <cell r="L8317"/>
        </row>
        <row r="8318">
          <cell r="A8318"/>
          <cell r="D8318"/>
          <cell r="E8318"/>
          <cell r="F8318"/>
          <cell r="G8318"/>
          <cell r="H8318"/>
          <cell r="I8318"/>
          <cell r="J8318"/>
          <cell r="L8318"/>
        </row>
        <row r="8319">
          <cell r="A8319"/>
          <cell r="D8319"/>
          <cell r="E8319"/>
          <cell r="F8319"/>
          <cell r="G8319"/>
          <cell r="H8319"/>
          <cell r="I8319"/>
          <cell r="J8319"/>
          <cell r="L8319"/>
        </row>
        <row r="8320">
          <cell r="A8320"/>
          <cell r="D8320"/>
          <cell r="E8320"/>
          <cell r="F8320"/>
          <cell r="G8320"/>
          <cell r="H8320"/>
          <cell r="I8320"/>
          <cell r="J8320"/>
          <cell r="L8320"/>
        </row>
        <row r="8321">
          <cell r="A8321"/>
          <cell r="D8321"/>
          <cell r="E8321"/>
          <cell r="F8321"/>
          <cell r="G8321"/>
          <cell r="H8321"/>
          <cell r="I8321"/>
          <cell r="J8321"/>
          <cell r="L8321"/>
        </row>
        <row r="8322">
          <cell r="A8322"/>
          <cell r="D8322"/>
          <cell r="E8322"/>
          <cell r="F8322"/>
          <cell r="G8322"/>
          <cell r="H8322"/>
          <cell r="I8322"/>
          <cell r="J8322"/>
          <cell r="L8322"/>
        </row>
        <row r="8323">
          <cell r="A8323"/>
          <cell r="D8323"/>
          <cell r="E8323"/>
          <cell r="F8323"/>
          <cell r="G8323"/>
          <cell r="H8323"/>
          <cell r="I8323"/>
          <cell r="J8323"/>
          <cell r="L8323"/>
        </row>
        <row r="8324">
          <cell r="A8324"/>
          <cell r="D8324"/>
          <cell r="E8324"/>
          <cell r="F8324"/>
          <cell r="G8324"/>
          <cell r="H8324"/>
          <cell r="I8324"/>
          <cell r="J8324"/>
          <cell r="L8324"/>
        </row>
        <row r="8325">
          <cell r="A8325"/>
          <cell r="D8325"/>
          <cell r="E8325"/>
          <cell r="F8325"/>
          <cell r="G8325"/>
          <cell r="H8325"/>
          <cell r="I8325"/>
          <cell r="J8325"/>
          <cell r="L8325"/>
        </row>
        <row r="8326">
          <cell r="A8326"/>
          <cell r="D8326"/>
          <cell r="E8326"/>
          <cell r="F8326"/>
          <cell r="G8326"/>
          <cell r="H8326"/>
          <cell r="I8326"/>
          <cell r="J8326"/>
          <cell r="L8326"/>
        </row>
        <row r="8327">
          <cell r="A8327"/>
          <cell r="D8327"/>
          <cell r="E8327"/>
          <cell r="F8327"/>
          <cell r="G8327"/>
          <cell r="H8327"/>
          <cell r="I8327"/>
          <cell r="J8327"/>
          <cell r="L8327"/>
        </row>
        <row r="8328">
          <cell r="A8328"/>
          <cell r="D8328"/>
          <cell r="E8328"/>
          <cell r="F8328"/>
          <cell r="G8328"/>
          <cell r="H8328"/>
          <cell r="I8328"/>
          <cell r="J8328"/>
          <cell r="L8328"/>
        </row>
        <row r="8329">
          <cell r="A8329"/>
          <cell r="D8329"/>
          <cell r="E8329"/>
          <cell r="F8329"/>
          <cell r="G8329"/>
          <cell r="H8329"/>
          <cell r="I8329"/>
          <cell r="J8329"/>
          <cell r="L8329"/>
        </row>
        <row r="8330">
          <cell r="A8330"/>
          <cell r="D8330"/>
          <cell r="E8330"/>
          <cell r="F8330"/>
          <cell r="G8330"/>
          <cell r="H8330"/>
          <cell r="I8330"/>
          <cell r="J8330"/>
          <cell r="L8330"/>
        </row>
        <row r="8331">
          <cell r="A8331"/>
          <cell r="D8331"/>
          <cell r="E8331"/>
          <cell r="F8331"/>
          <cell r="G8331"/>
          <cell r="H8331"/>
          <cell r="I8331"/>
          <cell r="J8331"/>
          <cell r="L8331"/>
        </row>
        <row r="8332">
          <cell r="A8332"/>
          <cell r="D8332"/>
          <cell r="E8332"/>
          <cell r="F8332"/>
          <cell r="G8332"/>
          <cell r="H8332"/>
          <cell r="I8332"/>
          <cell r="J8332"/>
          <cell r="L8332"/>
        </row>
        <row r="8333">
          <cell r="A8333"/>
          <cell r="D8333"/>
          <cell r="E8333"/>
          <cell r="F8333"/>
          <cell r="G8333"/>
          <cell r="H8333"/>
          <cell r="I8333"/>
          <cell r="J8333"/>
          <cell r="L8333"/>
        </row>
        <row r="8334">
          <cell r="A8334"/>
          <cell r="D8334"/>
          <cell r="E8334"/>
          <cell r="F8334"/>
          <cell r="G8334"/>
          <cell r="H8334"/>
          <cell r="I8334"/>
          <cell r="J8334"/>
          <cell r="L8334"/>
        </row>
        <row r="8335">
          <cell r="A8335"/>
          <cell r="D8335"/>
          <cell r="E8335"/>
          <cell r="F8335"/>
          <cell r="G8335"/>
          <cell r="H8335"/>
          <cell r="I8335"/>
          <cell r="J8335"/>
          <cell r="L8335"/>
        </row>
        <row r="8336">
          <cell r="A8336"/>
          <cell r="D8336"/>
          <cell r="E8336"/>
          <cell r="F8336"/>
          <cell r="G8336"/>
          <cell r="H8336"/>
          <cell r="I8336"/>
          <cell r="J8336"/>
          <cell r="L8336"/>
        </row>
        <row r="8337">
          <cell r="A8337"/>
          <cell r="D8337"/>
          <cell r="E8337"/>
          <cell r="F8337"/>
          <cell r="G8337"/>
          <cell r="H8337"/>
          <cell r="I8337"/>
          <cell r="J8337"/>
          <cell r="L8337"/>
        </row>
        <row r="8338">
          <cell r="A8338"/>
          <cell r="D8338"/>
          <cell r="E8338"/>
          <cell r="F8338"/>
          <cell r="G8338"/>
          <cell r="H8338"/>
          <cell r="I8338"/>
          <cell r="J8338"/>
          <cell r="L8338"/>
        </row>
        <row r="8339">
          <cell r="A8339"/>
          <cell r="D8339"/>
          <cell r="E8339"/>
          <cell r="F8339"/>
          <cell r="G8339"/>
          <cell r="H8339"/>
          <cell r="I8339"/>
          <cell r="J8339"/>
          <cell r="L8339"/>
        </row>
        <row r="8340">
          <cell r="A8340"/>
          <cell r="D8340"/>
          <cell r="E8340"/>
          <cell r="F8340"/>
          <cell r="G8340"/>
          <cell r="H8340"/>
          <cell r="I8340"/>
          <cell r="J8340"/>
          <cell r="L8340"/>
        </row>
        <row r="8341">
          <cell r="A8341"/>
          <cell r="D8341"/>
          <cell r="E8341"/>
          <cell r="F8341"/>
          <cell r="G8341"/>
          <cell r="H8341"/>
          <cell r="I8341"/>
          <cell r="J8341"/>
          <cell r="L8341"/>
        </row>
        <row r="8342">
          <cell r="A8342"/>
          <cell r="D8342"/>
          <cell r="E8342"/>
          <cell r="F8342"/>
          <cell r="G8342"/>
          <cell r="H8342"/>
          <cell r="I8342"/>
          <cell r="J8342"/>
          <cell r="L8342"/>
        </row>
        <row r="8343">
          <cell r="A8343"/>
          <cell r="D8343"/>
          <cell r="E8343"/>
          <cell r="F8343"/>
          <cell r="G8343"/>
          <cell r="H8343"/>
          <cell r="I8343"/>
          <cell r="J8343"/>
          <cell r="L8343"/>
        </row>
        <row r="8344">
          <cell r="A8344"/>
          <cell r="D8344"/>
          <cell r="E8344"/>
          <cell r="F8344"/>
          <cell r="G8344"/>
          <cell r="H8344"/>
          <cell r="I8344"/>
          <cell r="J8344"/>
          <cell r="L8344"/>
        </row>
        <row r="8345">
          <cell r="A8345"/>
          <cell r="D8345"/>
          <cell r="E8345"/>
          <cell r="F8345"/>
          <cell r="G8345"/>
          <cell r="H8345"/>
          <cell r="I8345"/>
          <cell r="J8345"/>
          <cell r="L8345"/>
        </row>
        <row r="8346">
          <cell r="A8346"/>
          <cell r="D8346"/>
          <cell r="E8346"/>
          <cell r="F8346"/>
          <cell r="G8346"/>
          <cell r="H8346"/>
          <cell r="I8346"/>
          <cell r="J8346"/>
          <cell r="L8346"/>
        </row>
        <row r="8347">
          <cell r="A8347"/>
          <cell r="D8347"/>
          <cell r="E8347"/>
          <cell r="F8347"/>
          <cell r="G8347"/>
          <cell r="H8347"/>
          <cell r="I8347"/>
          <cell r="J8347"/>
          <cell r="L8347"/>
        </row>
        <row r="8348">
          <cell r="A8348"/>
          <cell r="D8348"/>
          <cell r="E8348"/>
          <cell r="F8348"/>
          <cell r="G8348"/>
          <cell r="H8348"/>
          <cell r="I8348"/>
          <cell r="J8348"/>
          <cell r="L8348"/>
        </row>
        <row r="8349">
          <cell r="A8349"/>
          <cell r="D8349"/>
          <cell r="E8349"/>
          <cell r="F8349"/>
          <cell r="G8349"/>
          <cell r="H8349"/>
          <cell r="I8349"/>
          <cell r="J8349"/>
          <cell r="L8349"/>
        </row>
        <row r="8350">
          <cell r="A8350"/>
          <cell r="D8350"/>
          <cell r="E8350"/>
          <cell r="F8350"/>
          <cell r="G8350"/>
          <cell r="H8350"/>
          <cell r="I8350"/>
          <cell r="J8350"/>
          <cell r="L8350"/>
        </row>
        <row r="8351">
          <cell r="A8351"/>
          <cell r="D8351"/>
          <cell r="E8351"/>
          <cell r="F8351"/>
          <cell r="G8351"/>
          <cell r="H8351"/>
          <cell r="I8351"/>
          <cell r="J8351"/>
          <cell r="L8351"/>
        </row>
        <row r="8352">
          <cell r="A8352"/>
          <cell r="D8352"/>
          <cell r="E8352"/>
          <cell r="F8352"/>
          <cell r="G8352"/>
          <cell r="H8352"/>
          <cell r="I8352"/>
          <cell r="J8352"/>
          <cell r="L8352"/>
        </row>
        <row r="8353">
          <cell r="A8353"/>
          <cell r="D8353"/>
          <cell r="E8353"/>
          <cell r="F8353"/>
          <cell r="G8353"/>
          <cell r="H8353"/>
          <cell r="I8353"/>
          <cell r="J8353"/>
          <cell r="L8353"/>
        </row>
        <row r="8354">
          <cell r="A8354"/>
          <cell r="D8354"/>
          <cell r="E8354"/>
          <cell r="F8354"/>
          <cell r="G8354"/>
          <cell r="H8354"/>
          <cell r="I8354"/>
          <cell r="J8354"/>
          <cell r="L8354"/>
        </row>
        <row r="8355">
          <cell r="A8355"/>
          <cell r="D8355"/>
          <cell r="E8355"/>
          <cell r="F8355"/>
          <cell r="G8355"/>
          <cell r="H8355"/>
          <cell r="I8355"/>
          <cell r="J8355"/>
          <cell r="L8355"/>
        </row>
        <row r="8356">
          <cell r="A8356"/>
          <cell r="D8356"/>
          <cell r="E8356"/>
          <cell r="F8356"/>
          <cell r="G8356"/>
          <cell r="H8356"/>
          <cell r="I8356"/>
          <cell r="J8356"/>
          <cell r="L8356"/>
        </row>
        <row r="8357">
          <cell r="A8357"/>
          <cell r="D8357"/>
          <cell r="E8357"/>
          <cell r="F8357"/>
          <cell r="G8357"/>
          <cell r="H8357"/>
          <cell r="I8357"/>
          <cell r="J8357"/>
          <cell r="L8357"/>
        </row>
        <row r="8358">
          <cell r="A8358"/>
          <cell r="D8358"/>
          <cell r="E8358"/>
          <cell r="F8358"/>
          <cell r="G8358"/>
          <cell r="H8358"/>
          <cell r="I8358"/>
          <cell r="J8358"/>
          <cell r="L8358"/>
        </row>
        <row r="8359">
          <cell r="A8359"/>
          <cell r="D8359"/>
          <cell r="E8359"/>
          <cell r="F8359"/>
          <cell r="G8359"/>
          <cell r="H8359"/>
          <cell r="I8359"/>
          <cell r="J8359"/>
          <cell r="L8359"/>
        </row>
        <row r="8360">
          <cell r="A8360"/>
          <cell r="D8360"/>
          <cell r="E8360"/>
          <cell r="F8360"/>
          <cell r="G8360"/>
          <cell r="H8360"/>
          <cell r="I8360"/>
          <cell r="J8360"/>
          <cell r="L8360"/>
        </row>
        <row r="8361">
          <cell r="A8361"/>
          <cell r="D8361"/>
          <cell r="E8361"/>
          <cell r="F8361"/>
          <cell r="G8361"/>
          <cell r="H8361"/>
          <cell r="I8361"/>
          <cell r="J8361"/>
          <cell r="L8361"/>
        </row>
        <row r="8362">
          <cell r="A8362"/>
          <cell r="D8362"/>
          <cell r="E8362"/>
          <cell r="F8362"/>
          <cell r="G8362"/>
          <cell r="H8362"/>
          <cell r="I8362"/>
          <cell r="J8362"/>
          <cell r="L8362"/>
        </row>
        <row r="8363">
          <cell r="A8363"/>
          <cell r="D8363"/>
          <cell r="E8363"/>
          <cell r="F8363"/>
          <cell r="G8363"/>
          <cell r="H8363"/>
          <cell r="I8363"/>
          <cell r="J8363"/>
          <cell r="L8363"/>
        </row>
        <row r="8364">
          <cell r="A8364"/>
          <cell r="D8364"/>
          <cell r="E8364"/>
          <cell r="F8364"/>
          <cell r="G8364"/>
          <cell r="H8364"/>
          <cell r="I8364"/>
          <cell r="J8364"/>
          <cell r="L8364"/>
        </row>
        <row r="8365">
          <cell r="A8365"/>
          <cell r="D8365"/>
          <cell r="E8365"/>
          <cell r="F8365"/>
          <cell r="G8365"/>
          <cell r="H8365"/>
          <cell r="I8365"/>
          <cell r="J8365"/>
          <cell r="L8365"/>
        </row>
        <row r="8366">
          <cell r="A8366"/>
          <cell r="D8366"/>
          <cell r="E8366"/>
          <cell r="F8366"/>
          <cell r="G8366"/>
          <cell r="H8366"/>
          <cell r="I8366"/>
          <cell r="J8366"/>
          <cell r="L8366"/>
        </row>
        <row r="8367">
          <cell r="A8367"/>
          <cell r="D8367"/>
          <cell r="E8367"/>
          <cell r="F8367"/>
          <cell r="G8367"/>
          <cell r="H8367"/>
          <cell r="I8367"/>
          <cell r="J8367"/>
          <cell r="L8367"/>
        </row>
        <row r="8368">
          <cell r="A8368"/>
          <cell r="D8368"/>
          <cell r="E8368"/>
          <cell r="F8368"/>
          <cell r="G8368"/>
          <cell r="H8368"/>
          <cell r="I8368"/>
          <cell r="J8368"/>
          <cell r="L8368"/>
        </row>
        <row r="8369">
          <cell r="A8369"/>
          <cell r="D8369"/>
          <cell r="E8369"/>
          <cell r="F8369"/>
          <cell r="G8369"/>
          <cell r="H8369"/>
          <cell r="I8369"/>
          <cell r="J8369"/>
          <cell r="L8369"/>
        </row>
        <row r="8370">
          <cell r="A8370"/>
          <cell r="D8370"/>
          <cell r="E8370"/>
          <cell r="F8370"/>
          <cell r="G8370"/>
          <cell r="H8370"/>
          <cell r="I8370"/>
          <cell r="J8370"/>
          <cell r="L8370"/>
        </row>
        <row r="8371">
          <cell r="A8371"/>
          <cell r="D8371"/>
          <cell r="E8371"/>
          <cell r="F8371"/>
          <cell r="G8371"/>
          <cell r="H8371"/>
          <cell r="I8371"/>
          <cell r="J8371"/>
          <cell r="L8371"/>
        </row>
        <row r="8372">
          <cell r="A8372"/>
          <cell r="D8372"/>
          <cell r="E8372"/>
          <cell r="F8372"/>
          <cell r="G8372"/>
          <cell r="H8372"/>
          <cell r="I8372"/>
          <cell r="J8372"/>
          <cell r="L8372"/>
        </row>
        <row r="8373">
          <cell r="A8373"/>
          <cell r="D8373"/>
          <cell r="E8373"/>
          <cell r="F8373"/>
          <cell r="G8373"/>
          <cell r="H8373"/>
          <cell r="I8373"/>
          <cell r="J8373"/>
          <cell r="L8373"/>
        </row>
        <row r="8374">
          <cell r="A8374"/>
          <cell r="D8374"/>
          <cell r="E8374"/>
          <cell r="F8374"/>
          <cell r="G8374"/>
          <cell r="H8374"/>
          <cell r="I8374"/>
          <cell r="J8374"/>
          <cell r="L8374"/>
        </row>
        <row r="8375">
          <cell r="A8375"/>
          <cell r="D8375"/>
          <cell r="E8375"/>
          <cell r="F8375"/>
          <cell r="G8375"/>
          <cell r="H8375"/>
          <cell r="I8375"/>
          <cell r="J8375"/>
          <cell r="L8375"/>
        </row>
        <row r="8376">
          <cell r="A8376"/>
          <cell r="D8376"/>
          <cell r="E8376"/>
          <cell r="F8376"/>
          <cell r="G8376"/>
          <cell r="H8376"/>
          <cell r="I8376"/>
          <cell r="J8376"/>
          <cell r="L8376"/>
        </row>
        <row r="8377">
          <cell r="A8377"/>
          <cell r="D8377"/>
          <cell r="E8377"/>
          <cell r="F8377"/>
          <cell r="G8377"/>
          <cell r="H8377"/>
          <cell r="I8377"/>
          <cell r="J8377"/>
          <cell r="L8377"/>
        </row>
        <row r="8378">
          <cell r="A8378"/>
          <cell r="D8378"/>
          <cell r="E8378"/>
          <cell r="F8378"/>
          <cell r="G8378"/>
          <cell r="H8378"/>
          <cell r="I8378"/>
          <cell r="J8378"/>
          <cell r="L8378"/>
        </row>
        <row r="8379">
          <cell r="A8379"/>
          <cell r="D8379"/>
          <cell r="E8379"/>
          <cell r="F8379"/>
          <cell r="G8379"/>
          <cell r="H8379"/>
          <cell r="I8379"/>
          <cell r="J8379"/>
          <cell r="L8379"/>
        </row>
        <row r="8380">
          <cell r="A8380"/>
          <cell r="D8380"/>
          <cell r="E8380"/>
          <cell r="F8380"/>
          <cell r="G8380"/>
          <cell r="H8380"/>
          <cell r="I8380"/>
          <cell r="J8380"/>
          <cell r="L8380"/>
        </row>
        <row r="8381">
          <cell r="A8381"/>
          <cell r="D8381"/>
          <cell r="E8381"/>
          <cell r="F8381"/>
          <cell r="G8381"/>
          <cell r="H8381"/>
          <cell r="I8381"/>
          <cell r="J8381"/>
          <cell r="L8381"/>
        </row>
        <row r="8382">
          <cell r="A8382"/>
          <cell r="D8382"/>
          <cell r="E8382"/>
          <cell r="F8382"/>
          <cell r="G8382"/>
          <cell r="H8382"/>
          <cell r="I8382"/>
          <cell r="J8382"/>
          <cell r="L8382"/>
        </row>
        <row r="8383">
          <cell r="A8383"/>
          <cell r="D8383"/>
          <cell r="E8383"/>
          <cell r="F8383"/>
          <cell r="G8383"/>
          <cell r="H8383"/>
          <cell r="I8383"/>
          <cell r="J8383"/>
          <cell r="L8383"/>
        </row>
        <row r="8384">
          <cell r="A8384"/>
          <cell r="D8384"/>
          <cell r="E8384"/>
          <cell r="F8384"/>
          <cell r="G8384"/>
          <cell r="H8384"/>
          <cell r="I8384"/>
          <cell r="J8384"/>
          <cell r="L8384"/>
        </row>
        <row r="8385">
          <cell r="A8385"/>
          <cell r="D8385"/>
          <cell r="E8385"/>
          <cell r="F8385"/>
          <cell r="G8385"/>
          <cell r="H8385"/>
          <cell r="I8385"/>
          <cell r="J8385"/>
          <cell r="L8385"/>
        </row>
        <row r="8386">
          <cell r="A8386"/>
          <cell r="D8386"/>
          <cell r="E8386"/>
          <cell r="F8386"/>
          <cell r="G8386"/>
          <cell r="H8386"/>
          <cell r="I8386"/>
          <cell r="J8386"/>
          <cell r="L8386"/>
        </row>
        <row r="8387">
          <cell r="A8387"/>
          <cell r="D8387"/>
          <cell r="E8387"/>
          <cell r="F8387"/>
          <cell r="G8387"/>
          <cell r="H8387"/>
          <cell r="I8387"/>
          <cell r="J8387"/>
          <cell r="L8387"/>
        </row>
        <row r="8388">
          <cell r="A8388"/>
          <cell r="D8388"/>
          <cell r="E8388"/>
          <cell r="F8388"/>
          <cell r="G8388"/>
          <cell r="H8388"/>
          <cell r="I8388"/>
          <cell r="J8388"/>
          <cell r="L8388"/>
        </row>
        <row r="8389">
          <cell r="A8389"/>
          <cell r="D8389"/>
          <cell r="E8389"/>
          <cell r="F8389"/>
          <cell r="G8389"/>
          <cell r="H8389"/>
          <cell r="I8389"/>
          <cell r="J8389"/>
          <cell r="L8389"/>
        </row>
        <row r="8390">
          <cell r="A8390"/>
          <cell r="D8390"/>
          <cell r="E8390"/>
          <cell r="F8390"/>
          <cell r="G8390"/>
          <cell r="H8390"/>
          <cell r="I8390"/>
          <cell r="J8390"/>
          <cell r="L8390"/>
        </row>
        <row r="8391">
          <cell r="A8391"/>
          <cell r="D8391"/>
          <cell r="E8391"/>
          <cell r="F8391"/>
          <cell r="G8391"/>
          <cell r="H8391"/>
          <cell r="I8391"/>
          <cell r="J8391"/>
          <cell r="L8391"/>
        </row>
        <row r="8392">
          <cell r="A8392"/>
          <cell r="D8392"/>
          <cell r="E8392"/>
          <cell r="F8392"/>
          <cell r="G8392"/>
          <cell r="H8392"/>
          <cell r="I8392"/>
          <cell r="J8392"/>
          <cell r="L8392"/>
        </row>
        <row r="8393">
          <cell r="A8393"/>
          <cell r="D8393"/>
          <cell r="E8393"/>
          <cell r="F8393"/>
          <cell r="G8393"/>
          <cell r="H8393"/>
          <cell r="I8393"/>
          <cell r="J8393"/>
          <cell r="L8393"/>
        </row>
        <row r="8394">
          <cell r="A8394"/>
          <cell r="D8394"/>
          <cell r="E8394"/>
          <cell r="F8394"/>
          <cell r="G8394"/>
          <cell r="H8394"/>
          <cell r="I8394"/>
          <cell r="J8394"/>
          <cell r="L8394"/>
        </row>
        <row r="8395">
          <cell r="A8395"/>
          <cell r="D8395"/>
          <cell r="E8395"/>
          <cell r="F8395"/>
          <cell r="G8395"/>
          <cell r="H8395"/>
          <cell r="I8395"/>
          <cell r="J8395"/>
          <cell r="L8395"/>
        </row>
        <row r="8396">
          <cell r="A8396"/>
          <cell r="D8396"/>
          <cell r="E8396"/>
          <cell r="F8396"/>
          <cell r="G8396"/>
          <cell r="H8396"/>
          <cell r="I8396"/>
          <cell r="J8396"/>
          <cell r="L8396"/>
        </row>
        <row r="8397">
          <cell r="A8397"/>
          <cell r="D8397"/>
          <cell r="E8397"/>
          <cell r="F8397"/>
          <cell r="G8397"/>
          <cell r="H8397"/>
          <cell r="I8397"/>
          <cell r="J8397"/>
          <cell r="L8397"/>
        </row>
        <row r="8398">
          <cell r="A8398"/>
          <cell r="D8398"/>
          <cell r="E8398"/>
          <cell r="F8398"/>
          <cell r="G8398"/>
          <cell r="H8398"/>
          <cell r="I8398"/>
          <cell r="J8398"/>
          <cell r="L8398"/>
        </row>
        <row r="8399">
          <cell r="A8399"/>
          <cell r="D8399"/>
          <cell r="E8399"/>
          <cell r="F8399"/>
          <cell r="G8399"/>
          <cell r="H8399"/>
          <cell r="I8399"/>
          <cell r="J8399"/>
          <cell r="L8399"/>
        </row>
        <row r="8400">
          <cell r="A8400"/>
          <cell r="D8400"/>
          <cell r="E8400"/>
          <cell r="F8400"/>
          <cell r="G8400"/>
          <cell r="H8400"/>
          <cell r="I8400"/>
          <cell r="J8400"/>
          <cell r="L8400"/>
        </row>
        <row r="8401">
          <cell r="A8401"/>
          <cell r="D8401"/>
          <cell r="E8401"/>
          <cell r="F8401"/>
          <cell r="G8401"/>
          <cell r="H8401"/>
          <cell r="I8401"/>
          <cell r="J8401"/>
          <cell r="L8401"/>
        </row>
        <row r="8402">
          <cell r="A8402"/>
          <cell r="D8402"/>
          <cell r="E8402"/>
          <cell r="F8402"/>
          <cell r="G8402"/>
          <cell r="H8402"/>
          <cell r="I8402"/>
          <cell r="J8402"/>
          <cell r="L8402"/>
        </row>
        <row r="8403">
          <cell r="A8403"/>
          <cell r="D8403"/>
          <cell r="E8403"/>
          <cell r="F8403"/>
          <cell r="G8403"/>
          <cell r="H8403"/>
          <cell r="I8403"/>
          <cell r="J8403"/>
          <cell r="L8403"/>
        </row>
        <row r="8404">
          <cell r="A8404"/>
          <cell r="D8404"/>
          <cell r="E8404"/>
          <cell r="F8404"/>
          <cell r="G8404"/>
          <cell r="H8404"/>
          <cell r="I8404"/>
          <cell r="J8404"/>
          <cell r="L8404"/>
        </row>
        <row r="8405">
          <cell r="A8405"/>
          <cell r="D8405"/>
          <cell r="E8405"/>
          <cell r="F8405"/>
          <cell r="G8405"/>
          <cell r="H8405"/>
          <cell r="I8405"/>
          <cell r="J8405"/>
          <cell r="L8405"/>
        </row>
        <row r="8406">
          <cell r="A8406"/>
          <cell r="D8406"/>
          <cell r="E8406"/>
          <cell r="F8406"/>
          <cell r="G8406"/>
          <cell r="H8406"/>
          <cell r="I8406"/>
          <cell r="J8406"/>
          <cell r="L8406"/>
        </row>
        <row r="8407">
          <cell r="A8407"/>
          <cell r="D8407"/>
          <cell r="E8407"/>
          <cell r="F8407"/>
          <cell r="G8407"/>
          <cell r="H8407"/>
          <cell r="I8407"/>
          <cell r="J8407"/>
          <cell r="L8407"/>
        </row>
        <row r="8408">
          <cell r="A8408"/>
          <cell r="D8408"/>
          <cell r="E8408"/>
          <cell r="F8408"/>
          <cell r="G8408"/>
          <cell r="H8408"/>
          <cell r="I8408"/>
          <cell r="J8408"/>
          <cell r="L8408"/>
        </row>
        <row r="8409">
          <cell r="A8409"/>
          <cell r="D8409"/>
          <cell r="E8409"/>
          <cell r="F8409"/>
          <cell r="G8409"/>
          <cell r="H8409"/>
          <cell r="I8409"/>
          <cell r="J8409"/>
          <cell r="L8409"/>
        </row>
        <row r="8410">
          <cell r="A8410"/>
          <cell r="D8410"/>
          <cell r="E8410"/>
          <cell r="F8410"/>
          <cell r="G8410"/>
          <cell r="H8410"/>
          <cell r="I8410"/>
          <cell r="J8410"/>
          <cell r="L8410"/>
        </row>
        <row r="8411">
          <cell r="A8411"/>
          <cell r="D8411"/>
          <cell r="E8411"/>
          <cell r="F8411"/>
          <cell r="G8411"/>
          <cell r="H8411"/>
          <cell r="I8411"/>
          <cell r="J8411"/>
          <cell r="L8411"/>
        </row>
        <row r="8412">
          <cell r="A8412"/>
          <cell r="D8412"/>
          <cell r="E8412"/>
          <cell r="F8412"/>
          <cell r="G8412"/>
          <cell r="H8412"/>
          <cell r="I8412"/>
          <cell r="J8412"/>
          <cell r="L8412"/>
        </row>
        <row r="8413">
          <cell r="A8413"/>
          <cell r="D8413"/>
          <cell r="E8413"/>
          <cell r="F8413"/>
          <cell r="G8413"/>
          <cell r="H8413"/>
          <cell r="I8413"/>
          <cell r="J8413"/>
          <cell r="L8413"/>
        </row>
        <row r="8414">
          <cell r="A8414"/>
          <cell r="D8414"/>
          <cell r="E8414"/>
          <cell r="F8414"/>
          <cell r="G8414"/>
          <cell r="H8414"/>
          <cell r="I8414"/>
          <cell r="J8414"/>
          <cell r="L8414"/>
        </row>
        <row r="8415">
          <cell r="A8415"/>
          <cell r="D8415"/>
          <cell r="E8415"/>
          <cell r="F8415"/>
          <cell r="G8415"/>
          <cell r="H8415"/>
          <cell r="I8415"/>
          <cell r="J8415"/>
          <cell r="L8415"/>
        </row>
        <row r="8416">
          <cell r="A8416"/>
          <cell r="D8416"/>
          <cell r="E8416"/>
          <cell r="F8416"/>
          <cell r="G8416"/>
          <cell r="H8416"/>
          <cell r="I8416"/>
          <cell r="J8416"/>
          <cell r="L8416"/>
        </row>
        <row r="8417">
          <cell r="A8417"/>
          <cell r="D8417"/>
          <cell r="E8417"/>
          <cell r="F8417"/>
          <cell r="G8417"/>
          <cell r="H8417"/>
          <cell r="I8417"/>
          <cell r="J8417"/>
          <cell r="L8417"/>
        </row>
        <row r="8418">
          <cell r="A8418"/>
          <cell r="D8418"/>
          <cell r="E8418"/>
          <cell r="F8418"/>
          <cell r="G8418"/>
          <cell r="H8418"/>
          <cell r="I8418"/>
          <cell r="J8418"/>
          <cell r="L8418"/>
        </row>
        <row r="8419">
          <cell r="A8419"/>
          <cell r="D8419"/>
          <cell r="E8419"/>
          <cell r="F8419"/>
          <cell r="G8419"/>
          <cell r="H8419"/>
          <cell r="I8419"/>
          <cell r="J8419"/>
          <cell r="L8419"/>
        </row>
        <row r="8420">
          <cell r="A8420"/>
          <cell r="D8420"/>
          <cell r="E8420"/>
          <cell r="F8420"/>
          <cell r="G8420"/>
          <cell r="H8420"/>
          <cell r="I8420"/>
          <cell r="J8420"/>
          <cell r="L8420"/>
        </row>
        <row r="8421">
          <cell r="A8421"/>
          <cell r="D8421"/>
          <cell r="E8421"/>
          <cell r="F8421"/>
          <cell r="G8421"/>
          <cell r="H8421"/>
          <cell r="I8421"/>
          <cell r="J8421"/>
          <cell r="L8421"/>
        </row>
        <row r="8422">
          <cell r="A8422"/>
          <cell r="D8422"/>
          <cell r="E8422"/>
          <cell r="F8422"/>
          <cell r="G8422"/>
          <cell r="H8422"/>
          <cell r="I8422"/>
          <cell r="J8422"/>
          <cell r="L8422"/>
        </row>
        <row r="8423">
          <cell r="A8423"/>
          <cell r="D8423"/>
          <cell r="E8423"/>
          <cell r="F8423"/>
          <cell r="G8423"/>
          <cell r="H8423"/>
          <cell r="I8423"/>
          <cell r="J8423"/>
          <cell r="L8423"/>
        </row>
        <row r="8424">
          <cell r="A8424"/>
          <cell r="D8424"/>
          <cell r="E8424"/>
          <cell r="F8424"/>
          <cell r="G8424"/>
          <cell r="H8424"/>
          <cell r="I8424"/>
          <cell r="J8424"/>
          <cell r="L8424"/>
        </row>
        <row r="8425">
          <cell r="A8425"/>
          <cell r="D8425"/>
          <cell r="E8425"/>
          <cell r="F8425"/>
          <cell r="G8425"/>
          <cell r="H8425"/>
          <cell r="I8425"/>
          <cell r="J8425"/>
          <cell r="L8425"/>
        </row>
        <row r="8426">
          <cell r="A8426"/>
          <cell r="D8426"/>
          <cell r="E8426"/>
          <cell r="F8426"/>
          <cell r="G8426"/>
          <cell r="H8426"/>
          <cell r="I8426"/>
          <cell r="J8426"/>
          <cell r="L8426"/>
        </row>
        <row r="8427">
          <cell r="A8427"/>
          <cell r="D8427"/>
          <cell r="E8427"/>
          <cell r="F8427"/>
          <cell r="G8427"/>
          <cell r="H8427"/>
          <cell r="I8427"/>
          <cell r="J8427"/>
          <cell r="L8427"/>
        </row>
        <row r="8428">
          <cell r="A8428"/>
          <cell r="D8428"/>
          <cell r="E8428"/>
          <cell r="F8428"/>
          <cell r="G8428"/>
          <cell r="H8428"/>
          <cell r="I8428"/>
          <cell r="J8428"/>
          <cell r="L8428"/>
        </row>
        <row r="8429">
          <cell r="A8429"/>
          <cell r="D8429"/>
          <cell r="E8429"/>
          <cell r="F8429"/>
          <cell r="G8429"/>
          <cell r="H8429"/>
          <cell r="I8429"/>
          <cell r="J8429"/>
          <cell r="L8429"/>
        </row>
        <row r="8430">
          <cell r="A8430"/>
          <cell r="D8430"/>
          <cell r="E8430"/>
          <cell r="F8430"/>
          <cell r="G8430"/>
          <cell r="H8430"/>
          <cell r="I8430"/>
          <cell r="J8430"/>
          <cell r="L8430"/>
        </row>
        <row r="8431">
          <cell r="A8431"/>
          <cell r="D8431"/>
          <cell r="E8431"/>
          <cell r="F8431"/>
          <cell r="G8431"/>
          <cell r="H8431"/>
          <cell r="I8431"/>
          <cell r="J8431"/>
          <cell r="L8431"/>
        </row>
        <row r="8432">
          <cell r="A8432"/>
          <cell r="D8432"/>
          <cell r="E8432"/>
          <cell r="F8432"/>
          <cell r="G8432"/>
          <cell r="H8432"/>
          <cell r="I8432"/>
          <cell r="J8432"/>
          <cell r="L8432"/>
        </row>
        <row r="8433">
          <cell r="A8433"/>
          <cell r="D8433"/>
          <cell r="E8433"/>
          <cell r="F8433"/>
          <cell r="G8433"/>
          <cell r="H8433"/>
          <cell r="I8433"/>
          <cell r="J8433"/>
          <cell r="L8433"/>
        </row>
        <row r="8434">
          <cell r="A8434"/>
          <cell r="D8434"/>
          <cell r="E8434"/>
          <cell r="F8434"/>
          <cell r="G8434"/>
          <cell r="H8434"/>
          <cell r="I8434"/>
          <cell r="J8434"/>
          <cell r="L8434"/>
        </row>
        <row r="8435">
          <cell r="A8435"/>
          <cell r="D8435"/>
          <cell r="E8435"/>
          <cell r="F8435"/>
          <cell r="G8435"/>
          <cell r="H8435"/>
          <cell r="I8435"/>
          <cell r="J8435"/>
          <cell r="L8435"/>
        </row>
        <row r="8436">
          <cell r="A8436"/>
          <cell r="D8436"/>
          <cell r="E8436"/>
          <cell r="F8436"/>
          <cell r="G8436"/>
          <cell r="H8436"/>
          <cell r="I8436"/>
          <cell r="J8436"/>
          <cell r="L8436"/>
        </row>
        <row r="8437">
          <cell r="A8437"/>
          <cell r="D8437"/>
          <cell r="E8437"/>
          <cell r="F8437"/>
          <cell r="G8437"/>
          <cell r="H8437"/>
          <cell r="I8437"/>
          <cell r="J8437"/>
          <cell r="L8437"/>
        </row>
        <row r="8438">
          <cell r="A8438"/>
          <cell r="D8438"/>
          <cell r="E8438"/>
          <cell r="F8438"/>
          <cell r="G8438"/>
          <cell r="H8438"/>
          <cell r="I8438"/>
          <cell r="J8438"/>
          <cell r="L8438"/>
        </row>
        <row r="8439">
          <cell r="A8439"/>
          <cell r="D8439"/>
          <cell r="E8439"/>
          <cell r="F8439"/>
          <cell r="G8439"/>
          <cell r="H8439"/>
          <cell r="I8439"/>
          <cell r="J8439"/>
          <cell r="L8439"/>
        </row>
        <row r="8440">
          <cell r="A8440"/>
          <cell r="D8440"/>
          <cell r="E8440"/>
          <cell r="F8440"/>
          <cell r="G8440"/>
          <cell r="H8440"/>
          <cell r="I8440"/>
          <cell r="J8440"/>
          <cell r="L8440"/>
        </row>
        <row r="8441">
          <cell r="A8441"/>
          <cell r="D8441"/>
          <cell r="E8441"/>
          <cell r="F8441"/>
          <cell r="G8441"/>
          <cell r="H8441"/>
          <cell r="I8441"/>
          <cell r="J8441"/>
          <cell r="L8441"/>
        </row>
        <row r="8442">
          <cell r="A8442"/>
          <cell r="D8442"/>
          <cell r="E8442"/>
          <cell r="F8442"/>
          <cell r="G8442"/>
          <cell r="H8442"/>
          <cell r="I8442"/>
          <cell r="J8442"/>
          <cell r="L8442"/>
        </row>
        <row r="8443">
          <cell r="A8443"/>
          <cell r="D8443"/>
          <cell r="E8443"/>
          <cell r="F8443"/>
          <cell r="G8443"/>
          <cell r="H8443"/>
          <cell r="I8443"/>
          <cell r="J8443"/>
          <cell r="L8443"/>
        </row>
        <row r="8444">
          <cell r="A8444"/>
          <cell r="D8444"/>
          <cell r="E8444"/>
          <cell r="F8444"/>
          <cell r="G8444"/>
          <cell r="H8444"/>
          <cell r="I8444"/>
          <cell r="J8444"/>
          <cell r="L8444"/>
        </row>
        <row r="8445">
          <cell r="A8445"/>
          <cell r="D8445"/>
          <cell r="E8445"/>
          <cell r="F8445"/>
          <cell r="G8445"/>
          <cell r="H8445"/>
          <cell r="I8445"/>
          <cell r="J8445"/>
          <cell r="L8445"/>
        </row>
        <row r="8446">
          <cell r="A8446"/>
          <cell r="D8446"/>
          <cell r="E8446"/>
          <cell r="F8446"/>
          <cell r="G8446"/>
          <cell r="H8446"/>
          <cell r="I8446"/>
          <cell r="J8446"/>
          <cell r="L8446"/>
        </row>
        <row r="8447">
          <cell r="A8447"/>
          <cell r="D8447"/>
          <cell r="E8447"/>
          <cell r="F8447"/>
          <cell r="G8447"/>
          <cell r="H8447"/>
          <cell r="I8447"/>
          <cell r="J8447"/>
          <cell r="L8447"/>
        </row>
        <row r="8448">
          <cell r="A8448"/>
          <cell r="D8448"/>
          <cell r="E8448"/>
          <cell r="F8448"/>
          <cell r="G8448"/>
          <cell r="H8448"/>
          <cell r="I8448"/>
          <cell r="J8448"/>
          <cell r="L8448"/>
        </row>
        <row r="8449">
          <cell r="A8449"/>
          <cell r="D8449"/>
          <cell r="E8449"/>
          <cell r="F8449"/>
          <cell r="G8449"/>
          <cell r="H8449"/>
          <cell r="I8449"/>
          <cell r="J8449"/>
          <cell r="L8449"/>
        </row>
        <row r="8450">
          <cell r="A8450"/>
          <cell r="D8450"/>
          <cell r="E8450"/>
          <cell r="F8450"/>
          <cell r="G8450"/>
          <cell r="H8450"/>
          <cell r="I8450"/>
          <cell r="J8450"/>
          <cell r="L8450"/>
        </row>
        <row r="8451">
          <cell r="A8451"/>
          <cell r="D8451"/>
          <cell r="E8451"/>
          <cell r="F8451"/>
          <cell r="G8451"/>
          <cell r="H8451"/>
          <cell r="I8451"/>
          <cell r="J8451"/>
          <cell r="L8451"/>
        </row>
        <row r="8452">
          <cell r="A8452"/>
          <cell r="D8452"/>
          <cell r="E8452"/>
          <cell r="F8452"/>
          <cell r="G8452"/>
          <cell r="H8452"/>
          <cell r="I8452"/>
          <cell r="J8452"/>
          <cell r="L8452"/>
        </row>
        <row r="8453">
          <cell r="A8453"/>
          <cell r="D8453"/>
          <cell r="E8453"/>
          <cell r="F8453"/>
          <cell r="G8453"/>
          <cell r="H8453"/>
          <cell r="I8453"/>
          <cell r="J8453"/>
          <cell r="L8453"/>
        </row>
        <row r="8454">
          <cell r="A8454"/>
          <cell r="D8454"/>
          <cell r="E8454"/>
          <cell r="F8454"/>
          <cell r="G8454"/>
          <cell r="H8454"/>
          <cell r="I8454"/>
          <cell r="J8454"/>
          <cell r="L8454"/>
        </row>
        <row r="8455">
          <cell r="A8455"/>
          <cell r="D8455"/>
          <cell r="E8455"/>
          <cell r="F8455"/>
          <cell r="G8455"/>
          <cell r="H8455"/>
          <cell r="I8455"/>
          <cell r="J8455"/>
          <cell r="L8455"/>
        </row>
        <row r="8456">
          <cell r="A8456"/>
          <cell r="D8456"/>
          <cell r="E8456"/>
          <cell r="F8456"/>
          <cell r="G8456"/>
          <cell r="H8456"/>
          <cell r="I8456"/>
          <cell r="J8456"/>
          <cell r="L8456"/>
        </row>
        <row r="8457">
          <cell r="A8457"/>
          <cell r="D8457"/>
          <cell r="E8457"/>
          <cell r="F8457"/>
          <cell r="G8457"/>
          <cell r="H8457"/>
          <cell r="I8457"/>
          <cell r="J8457"/>
          <cell r="L8457"/>
        </row>
        <row r="8458">
          <cell r="A8458"/>
          <cell r="D8458"/>
          <cell r="E8458"/>
          <cell r="F8458"/>
          <cell r="G8458"/>
          <cell r="H8458"/>
          <cell r="I8458"/>
          <cell r="J8458"/>
          <cell r="L8458"/>
        </row>
        <row r="8459">
          <cell r="A8459"/>
          <cell r="D8459"/>
          <cell r="E8459"/>
          <cell r="F8459"/>
          <cell r="G8459"/>
          <cell r="H8459"/>
          <cell r="I8459"/>
          <cell r="J8459"/>
          <cell r="L8459"/>
        </row>
        <row r="8460">
          <cell r="A8460"/>
          <cell r="D8460"/>
          <cell r="E8460"/>
          <cell r="F8460"/>
          <cell r="G8460"/>
          <cell r="H8460"/>
          <cell r="I8460"/>
          <cell r="J8460"/>
          <cell r="L8460"/>
        </row>
        <row r="8461">
          <cell r="A8461"/>
          <cell r="D8461"/>
          <cell r="E8461"/>
          <cell r="F8461"/>
          <cell r="G8461"/>
          <cell r="H8461"/>
          <cell r="I8461"/>
          <cell r="J8461"/>
          <cell r="L8461"/>
        </row>
        <row r="8462">
          <cell r="A8462"/>
          <cell r="D8462"/>
          <cell r="E8462"/>
          <cell r="F8462"/>
          <cell r="G8462"/>
          <cell r="H8462"/>
          <cell r="I8462"/>
          <cell r="J8462"/>
          <cell r="L8462"/>
        </row>
        <row r="8463">
          <cell r="A8463"/>
          <cell r="D8463"/>
          <cell r="E8463"/>
          <cell r="F8463"/>
          <cell r="G8463"/>
          <cell r="H8463"/>
          <cell r="I8463"/>
          <cell r="J8463"/>
          <cell r="L8463"/>
        </row>
        <row r="8464">
          <cell r="A8464"/>
          <cell r="D8464"/>
          <cell r="E8464"/>
          <cell r="F8464"/>
          <cell r="G8464"/>
          <cell r="H8464"/>
          <cell r="I8464"/>
          <cell r="J8464"/>
          <cell r="L8464"/>
        </row>
        <row r="8465">
          <cell r="A8465"/>
          <cell r="D8465"/>
          <cell r="E8465"/>
          <cell r="F8465"/>
          <cell r="G8465"/>
          <cell r="H8465"/>
          <cell r="I8465"/>
          <cell r="J8465"/>
          <cell r="L8465"/>
        </row>
        <row r="8466">
          <cell r="A8466"/>
          <cell r="D8466"/>
          <cell r="E8466"/>
          <cell r="F8466"/>
          <cell r="G8466"/>
          <cell r="H8466"/>
          <cell r="I8466"/>
          <cell r="J8466"/>
          <cell r="L8466"/>
        </row>
        <row r="8467">
          <cell r="A8467"/>
          <cell r="D8467"/>
          <cell r="E8467"/>
          <cell r="F8467"/>
          <cell r="G8467"/>
          <cell r="H8467"/>
          <cell r="I8467"/>
          <cell r="J8467"/>
          <cell r="L8467"/>
        </row>
        <row r="8468">
          <cell r="A8468"/>
          <cell r="D8468"/>
          <cell r="E8468"/>
          <cell r="F8468"/>
          <cell r="G8468"/>
          <cell r="H8468"/>
          <cell r="I8468"/>
          <cell r="J8468"/>
          <cell r="L8468"/>
        </row>
        <row r="8469">
          <cell r="A8469"/>
          <cell r="D8469"/>
          <cell r="E8469"/>
          <cell r="F8469"/>
          <cell r="G8469"/>
          <cell r="H8469"/>
          <cell r="I8469"/>
          <cell r="J8469"/>
          <cell r="L8469"/>
        </row>
        <row r="8470">
          <cell r="A8470"/>
          <cell r="D8470"/>
          <cell r="E8470"/>
          <cell r="F8470"/>
          <cell r="G8470"/>
          <cell r="H8470"/>
          <cell r="I8470"/>
          <cell r="J8470"/>
          <cell r="L8470"/>
        </row>
        <row r="8471">
          <cell r="A8471"/>
          <cell r="D8471"/>
          <cell r="E8471"/>
          <cell r="F8471"/>
          <cell r="G8471"/>
          <cell r="H8471"/>
          <cell r="I8471"/>
          <cell r="J8471"/>
          <cell r="L8471"/>
        </row>
        <row r="8472">
          <cell r="A8472"/>
          <cell r="D8472"/>
          <cell r="E8472"/>
          <cell r="F8472"/>
          <cell r="G8472"/>
          <cell r="H8472"/>
          <cell r="I8472"/>
          <cell r="J8472"/>
          <cell r="L8472"/>
        </row>
        <row r="8473">
          <cell r="A8473"/>
          <cell r="D8473"/>
          <cell r="E8473"/>
          <cell r="F8473"/>
          <cell r="G8473"/>
          <cell r="H8473"/>
          <cell r="I8473"/>
          <cell r="J8473"/>
          <cell r="L8473"/>
        </row>
        <row r="8474">
          <cell r="A8474"/>
          <cell r="D8474"/>
          <cell r="E8474"/>
          <cell r="F8474"/>
          <cell r="G8474"/>
          <cell r="H8474"/>
          <cell r="I8474"/>
          <cell r="J8474"/>
          <cell r="L8474"/>
        </row>
        <row r="8475">
          <cell r="A8475"/>
          <cell r="D8475"/>
          <cell r="E8475"/>
          <cell r="F8475"/>
          <cell r="G8475"/>
          <cell r="H8475"/>
          <cell r="I8475"/>
          <cell r="J8475"/>
          <cell r="L8475"/>
        </row>
        <row r="8476">
          <cell r="A8476"/>
          <cell r="D8476"/>
          <cell r="E8476"/>
          <cell r="F8476"/>
          <cell r="G8476"/>
          <cell r="H8476"/>
          <cell r="I8476"/>
          <cell r="J8476"/>
          <cell r="L8476"/>
        </row>
        <row r="8477">
          <cell r="A8477"/>
          <cell r="D8477"/>
          <cell r="E8477"/>
          <cell r="F8477"/>
          <cell r="G8477"/>
          <cell r="H8477"/>
          <cell r="I8477"/>
          <cell r="J8477"/>
          <cell r="L8477"/>
        </row>
        <row r="8478">
          <cell r="A8478"/>
          <cell r="D8478"/>
          <cell r="E8478"/>
          <cell r="F8478"/>
          <cell r="G8478"/>
          <cell r="H8478"/>
          <cell r="I8478"/>
          <cell r="J8478"/>
          <cell r="L8478"/>
        </row>
        <row r="8479">
          <cell r="A8479"/>
          <cell r="D8479"/>
          <cell r="E8479"/>
          <cell r="F8479"/>
          <cell r="G8479"/>
          <cell r="H8479"/>
          <cell r="I8479"/>
          <cell r="J8479"/>
          <cell r="L8479"/>
        </row>
        <row r="8480">
          <cell r="A8480"/>
          <cell r="D8480"/>
          <cell r="E8480"/>
          <cell r="F8480"/>
          <cell r="G8480"/>
          <cell r="H8480"/>
          <cell r="I8480"/>
          <cell r="J8480"/>
          <cell r="L8480"/>
        </row>
        <row r="8481">
          <cell r="A8481"/>
          <cell r="D8481"/>
          <cell r="E8481"/>
          <cell r="F8481"/>
          <cell r="G8481"/>
          <cell r="H8481"/>
          <cell r="I8481"/>
          <cell r="J8481"/>
          <cell r="L8481"/>
        </row>
        <row r="8482">
          <cell r="A8482"/>
          <cell r="D8482"/>
          <cell r="E8482"/>
          <cell r="F8482"/>
          <cell r="G8482"/>
          <cell r="H8482"/>
          <cell r="I8482"/>
          <cell r="J8482"/>
          <cell r="L8482"/>
        </row>
        <row r="8483">
          <cell r="A8483"/>
          <cell r="D8483"/>
          <cell r="E8483"/>
          <cell r="F8483"/>
          <cell r="G8483"/>
          <cell r="H8483"/>
          <cell r="I8483"/>
          <cell r="J8483"/>
          <cell r="L8483"/>
        </row>
        <row r="8484">
          <cell r="A8484"/>
          <cell r="D8484"/>
          <cell r="E8484"/>
          <cell r="F8484"/>
          <cell r="G8484"/>
          <cell r="H8484"/>
          <cell r="I8484"/>
          <cell r="J8484"/>
          <cell r="L8484"/>
        </row>
        <row r="8485">
          <cell r="A8485"/>
          <cell r="D8485"/>
          <cell r="E8485"/>
          <cell r="F8485"/>
          <cell r="G8485"/>
          <cell r="H8485"/>
          <cell r="I8485"/>
          <cell r="J8485"/>
          <cell r="L8485"/>
        </row>
        <row r="8486">
          <cell r="A8486"/>
          <cell r="D8486"/>
          <cell r="E8486"/>
          <cell r="F8486"/>
          <cell r="G8486"/>
          <cell r="H8486"/>
          <cell r="I8486"/>
          <cell r="J8486"/>
          <cell r="L8486"/>
        </row>
        <row r="8487">
          <cell r="A8487"/>
          <cell r="D8487"/>
          <cell r="E8487"/>
          <cell r="F8487"/>
          <cell r="G8487"/>
          <cell r="H8487"/>
          <cell r="I8487"/>
          <cell r="J8487"/>
          <cell r="L8487"/>
        </row>
        <row r="8488">
          <cell r="A8488"/>
          <cell r="D8488"/>
          <cell r="E8488"/>
          <cell r="F8488"/>
          <cell r="G8488"/>
          <cell r="H8488"/>
          <cell r="I8488"/>
          <cell r="J8488"/>
          <cell r="L8488"/>
        </row>
        <row r="8489">
          <cell r="A8489"/>
          <cell r="D8489"/>
          <cell r="E8489"/>
          <cell r="F8489"/>
          <cell r="G8489"/>
          <cell r="H8489"/>
          <cell r="I8489"/>
          <cell r="J8489"/>
          <cell r="L8489"/>
        </row>
        <row r="8490">
          <cell r="A8490"/>
          <cell r="D8490"/>
          <cell r="E8490"/>
          <cell r="F8490"/>
          <cell r="G8490"/>
          <cell r="H8490"/>
          <cell r="I8490"/>
          <cell r="J8490"/>
          <cell r="L8490"/>
        </row>
        <row r="8491">
          <cell r="A8491"/>
          <cell r="D8491"/>
          <cell r="E8491"/>
          <cell r="F8491"/>
          <cell r="G8491"/>
          <cell r="H8491"/>
          <cell r="I8491"/>
          <cell r="J8491"/>
          <cell r="L8491"/>
        </row>
        <row r="8492">
          <cell r="A8492"/>
          <cell r="D8492"/>
          <cell r="E8492"/>
          <cell r="F8492"/>
          <cell r="G8492"/>
          <cell r="H8492"/>
          <cell r="I8492"/>
          <cell r="J8492"/>
          <cell r="L8492"/>
        </row>
        <row r="8493">
          <cell r="A8493"/>
          <cell r="D8493"/>
          <cell r="E8493"/>
          <cell r="F8493"/>
          <cell r="G8493"/>
          <cell r="H8493"/>
          <cell r="I8493"/>
          <cell r="J8493"/>
          <cell r="L8493"/>
        </row>
        <row r="8494">
          <cell r="A8494"/>
          <cell r="D8494"/>
          <cell r="E8494"/>
          <cell r="F8494"/>
          <cell r="G8494"/>
          <cell r="H8494"/>
          <cell r="I8494"/>
          <cell r="J8494"/>
          <cell r="L8494"/>
        </row>
        <row r="8495">
          <cell r="A8495"/>
          <cell r="D8495"/>
          <cell r="E8495"/>
          <cell r="F8495"/>
          <cell r="G8495"/>
          <cell r="H8495"/>
          <cell r="I8495"/>
          <cell r="J8495"/>
          <cell r="L8495"/>
        </row>
        <row r="8496">
          <cell r="A8496"/>
          <cell r="D8496"/>
          <cell r="E8496"/>
          <cell r="F8496"/>
          <cell r="G8496"/>
          <cell r="H8496"/>
          <cell r="I8496"/>
          <cell r="J8496"/>
          <cell r="L8496"/>
        </row>
        <row r="8497">
          <cell r="A8497"/>
          <cell r="D8497"/>
          <cell r="E8497"/>
          <cell r="F8497"/>
          <cell r="G8497"/>
          <cell r="H8497"/>
          <cell r="I8497"/>
          <cell r="J8497"/>
          <cell r="L8497"/>
        </row>
        <row r="8498">
          <cell r="A8498"/>
          <cell r="D8498"/>
          <cell r="E8498"/>
          <cell r="F8498"/>
          <cell r="G8498"/>
          <cell r="H8498"/>
          <cell r="I8498"/>
          <cell r="J8498"/>
          <cell r="L8498"/>
        </row>
        <row r="8499">
          <cell r="A8499"/>
          <cell r="D8499"/>
          <cell r="E8499"/>
          <cell r="F8499"/>
          <cell r="G8499"/>
          <cell r="H8499"/>
          <cell r="I8499"/>
          <cell r="J8499"/>
          <cell r="L8499"/>
        </row>
        <row r="8500">
          <cell r="A8500"/>
          <cell r="D8500"/>
          <cell r="E8500"/>
          <cell r="F8500"/>
          <cell r="G8500"/>
          <cell r="H8500"/>
          <cell r="I8500"/>
          <cell r="J8500"/>
          <cell r="L8500"/>
        </row>
        <row r="8501">
          <cell r="A8501"/>
          <cell r="D8501"/>
          <cell r="E8501"/>
          <cell r="F8501"/>
          <cell r="G8501"/>
          <cell r="H8501"/>
          <cell r="I8501"/>
          <cell r="J8501"/>
          <cell r="L8501"/>
        </row>
        <row r="8502">
          <cell r="A8502"/>
          <cell r="D8502"/>
          <cell r="E8502"/>
          <cell r="F8502"/>
          <cell r="G8502"/>
          <cell r="H8502"/>
          <cell r="I8502"/>
          <cell r="J8502"/>
          <cell r="L8502"/>
        </row>
        <row r="8503">
          <cell r="A8503"/>
          <cell r="D8503"/>
          <cell r="E8503"/>
          <cell r="F8503"/>
          <cell r="G8503"/>
          <cell r="H8503"/>
          <cell r="I8503"/>
          <cell r="J8503"/>
          <cell r="L8503"/>
        </row>
        <row r="8504">
          <cell r="A8504"/>
          <cell r="D8504"/>
          <cell r="E8504"/>
          <cell r="F8504"/>
          <cell r="G8504"/>
          <cell r="H8504"/>
          <cell r="I8504"/>
          <cell r="J8504"/>
          <cell r="L8504"/>
        </row>
        <row r="8505">
          <cell r="A8505"/>
          <cell r="D8505"/>
          <cell r="E8505"/>
          <cell r="F8505"/>
          <cell r="G8505"/>
          <cell r="H8505"/>
          <cell r="I8505"/>
          <cell r="J8505"/>
          <cell r="L8505"/>
        </row>
        <row r="8506">
          <cell r="A8506"/>
          <cell r="D8506"/>
          <cell r="E8506"/>
          <cell r="F8506"/>
          <cell r="G8506"/>
          <cell r="H8506"/>
          <cell r="I8506"/>
          <cell r="J8506"/>
          <cell r="L8506"/>
        </row>
        <row r="8507">
          <cell r="A8507"/>
          <cell r="D8507"/>
          <cell r="E8507"/>
          <cell r="F8507"/>
          <cell r="G8507"/>
          <cell r="H8507"/>
          <cell r="I8507"/>
          <cell r="J8507"/>
          <cell r="L8507"/>
        </row>
        <row r="8508">
          <cell r="A8508"/>
          <cell r="D8508"/>
          <cell r="E8508"/>
          <cell r="F8508"/>
          <cell r="G8508"/>
          <cell r="H8508"/>
          <cell r="I8508"/>
          <cell r="J8508"/>
          <cell r="L8508"/>
        </row>
        <row r="8509">
          <cell r="A8509"/>
          <cell r="D8509"/>
          <cell r="E8509"/>
          <cell r="F8509"/>
          <cell r="G8509"/>
          <cell r="H8509"/>
          <cell r="I8509"/>
          <cell r="J8509"/>
          <cell r="L8509"/>
        </row>
        <row r="8510">
          <cell r="A8510"/>
          <cell r="D8510"/>
          <cell r="E8510"/>
          <cell r="F8510"/>
          <cell r="G8510"/>
          <cell r="H8510"/>
          <cell r="I8510"/>
          <cell r="J8510"/>
          <cell r="L8510"/>
        </row>
        <row r="8511">
          <cell r="A8511"/>
          <cell r="D8511"/>
          <cell r="E8511"/>
          <cell r="F8511"/>
          <cell r="G8511"/>
          <cell r="H8511"/>
          <cell r="I8511"/>
          <cell r="J8511"/>
          <cell r="L8511"/>
        </row>
        <row r="8512">
          <cell r="A8512"/>
          <cell r="D8512"/>
          <cell r="E8512"/>
          <cell r="F8512"/>
          <cell r="G8512"/>
          <cell r="H8512"/>
          <cell r="I8512"/>
          <cell r="J8512"/>
          <cell r="L8512"/>
        </row>
        <row r="8513">
          <cell r="A8513"/>
          <cell r="D8513"/>
          <cell r="E8513"/>
          <cell r="F8513"/>
          <cell r="G8513"/>
          <cell r="H8513"/>
          <cell r="I8513"/>
          <cell r="J8513"/>
          <cell r="L8513"/>
        </row>
        <row r="8514">
          <cell r="A8514"/>
          <cell r="D8514"/>
          <cell r="E8514"/>
          <cell r="F8514"/>
          <cell r="G8514"/>
          <cell r="H8514"/>
          <cell r="I8514"/>
          <cell r="J8514"/>
          <cell r="L8514"/>
        </row>
        <row r="8515">
          <cell r="A8515"/>
          <cell r="D8515"/>
          <cell r="E8515"/>
          <cell r="F8515"/>
          <cell r="G8515"/>
          <cell r="H8515"/>
          <cell r="I8515"/>
          <cell r="J8515"/>
          <cell r="L8515"/>
        </row>
        <row r="8516">
          <cell r="A8516"/>
          <cell r="D8516"/>
          <cell r="E8516"/>
          <cell r="F8516"/>
          <cell r="G8516"/>
          <cell r="H8516"/>
          <cell r="I8516"/>
          <cell r="J8516"/>
          <cell r="L8516"/>
        </row>
        <row r="8517">
          <cell r="A8517"/>
          <cell r="D8517"/>
          <cell r="E8517"/>
          <cell r="F8517"/>
          <cell r="G8517"/>
          <cell r="H8517"/>
          <cell r="I8517"/>
          <cell r="J8517"/>
          <cell r="L8517"/>
        </row>
        <row r="8518">
          <cell r="A8518"/>
          <cell r="D8518"/>
          <cell r="E8518"/>
          <cell r="F8518"/>
          <cell r="G8518"/>
          <cell r="H8518"/>
          <cell r="I8518"/>
          <cell r="J8518"/>
          <cell r="L8518"/>
        </row>
        <row r="8519">
          <cell r="A8519"/>
          <cell r="D8519"/>
          <cell r="E8519"/>
          <cell r="F8519"/>
          <cell r="G8519"/>
          <cell r="H8519"/>
          <cell r="I8519"/>
          <cell r="J8519"/>
          <cell r="L8519"/>
        </row>
        <row r="8520">
          <cell r="A8520"/>
          <cell r="D8520"/>
          <cell r="E8520"/>
          <cell r="F8520"/>
          <cell r="G8520"/>
          <cell r="H8520"/>
          <cell r="I8520"/>
          <cell r="J8520"/>
          <cell r="L8520"/>
        </row>
        <row r="8521">
          <cell r="A8521"/>
          <cell r="D8521"/>
          <cell r="E8521"/>
          <cell r="F8521"/>
          <cell r="G8521"/>
          <cell r="H8521"/>
          <cell r="I8521"/>
          <cell r="J8521"/>
          <cell r="L8521"/>
        </row>
        <row r="8522">
          <cell r="A8522"/>
          <cell r="D8522"/>
          <cell r="E8522"/>
          <cell r="F8522"/>
          <cell r="G8522"/>
          <cell r="H8522"/>
          <cell r="I8522"/>
          <cell r="J8522"/>
          <cell r="L8522"/>
        </row>
        <row r="8523">
          <cell r="A8523"/>
          <cell r="D8523"/>
          <cell r="E8523"/>
          <cell r="F8523"/>
          <cell r="G8523"/>
          <cell r="H8523"/>
          <cell r="I8523"/>
          <cell r="J8523"/>
          <cell r="L8523"/>
        </row>
        <row r="8524">
          <cell r="A8524"/>
          <cell r="D8524"/>
          <cell r="E8524"/>
          <cell r="F8524"/>
          <cell r="G8524"/>
          <cell r="H8524"/>
          <cell r="I8524"/>
          <cell r="J8524"/>
          <cell r="L8524"/>
        </row>
        <row r="8525">
          <cell r="A8525"/>
          <cell r="D8525"/>
          <cell r="E8525"/>
          <cell r="F8525"/>
          <cell r="G8525"/>
          <cell r="H8525"/>
          <cell r="I8525"/>
          <cell r="J8525"/>
          <cell r="L8525"/>
        </row>
        <row r="8526">
          <cell r="A8526"/>
          <cell r="D8526"/>
          <cell r="E8526"/>
          <cell r="F8526"/>
          <cell r="G8526"/>
          <cell r="H8526"/>
          <cell r="I8526"/>
          <cell r="J8526"/>
          <cell r="L8526"/>
        </row>
        <row r="8527">
          <cell r="A8527"/>
          <cell r="D8527"/>
          <cell r="E8527"/>
          <cell r="F8527"/>
          <cell r="G8527"/>
          <cell r="H8527"/>
          <cell r="I8527"/>
          <cell r="J8527"/>
          <cell r="L8527"/>
        </row>
        <row r="8528">
          <cell r="A8528"/>
          <cell r="D8528"/>
          <cell r="E8528"/>
          <cell r="F8528"/>
          <cell r="G8528"/>
          <cell r="H8528"/>
          <cell r="I8528"/>
          <cell r="J8528"/>
          <cell r="L8528"/>
        </row>
        <row r="8529">
          <cell r="A8529"/>
          <cell r="D8529"/>
          <cell r="E8529"/>
          <cell r="F8529"/>
          <cell r="G8529"/>
          <cell r="H8529"/>
          <cell r="I8529"/>
          <cell r="J8529"/>
          <cell r="L8529"/>
        </row>
        <row r="8530">
          <cell r="A8530"/>
          <cell r="D8530"/>
          <cell r="E8530"/>
          <cell r="F8530"/>
          <cell r="G8530"/>
          <cell r="H8530"/>
          <cell r="I8530"/>
          <cell r="J8530"/>
          <cell r="L8530"/>
        </row>
        <row r="8531">
          <cell r="A8531"/>
          <cell r="D8531"/>
          <cell r="E8531"/>
          <cell r="F8531"/>
          <cell r="G8531"/>
          <cell r="H8531"/>
          <cell r="I8531"/>
          <cell r="J8531"/>
          <cell r="L8531"/>
        </row>
        <row r="8532">
          <cell r="A8532"/>
          <cell r="D8532"/>
          <cell r="E8532"/>
          <cell r="F8532"/>
          <cell r="G8532"/>
          <cell r="H8532"/>
          <cell r="I8532"/>
          <cell r="J8532"/>
          <cell r="L8532"/>
        </row>
        <row r="8533">
          <cell r="A8533"/>
          <cell r="D8533"/>
          <cell r="E8533"/>
          <cell r="F8533"/>
          <cell r="G8533"/>
          <cell r="H8533"/>
          <cell r="I8533"/>
          <cell r="J8533"/>
          <cell r="L8533"/>
        </row>
        <row r="8534">
          <cell r="A8534"/>
          <cell r="D8534"/>
          <cell r="E8534"/>
          <cell r="F8534"/>
          <cell r="G8534"/>
          <cell r="H8534"/>
          <cell r="I8534"/>
          <cell r="J8534"/>
          <cell r="L8534"/>
        </row>
        <row r="8535">
          <cell r="A8535"/>
          <cell r="D8535"/>
          <cell r="E8535"/>
          <cell r="F8535"/>
          <cell r="G8535"/>
          <cell r="H8535"/>
          <cell r="I8535"/>
          <cell r="J8535"/>
          <cell r="L8535"/>
        </row>
        <row r="8536">
          <cell r="A8536"/>
          <cell r="D8536"/>
          <cell r="E8536"/>
          <cell r="F8536"/>
          <cell r="G8536"/>
          <cell r="H8536"/>
          <cell r="I8536"/>
          <cell r="J8536"/>
          <cell r="L8536"/>
        </row>
        <row r="8537">
          <cell r="A8537"/>
          <cell r="D8537"/>
          <cell r="E8537"/>
          <cell r="F8537"/>
          <cell r="G8537"/>
          <cell r="H8537"/>
          <cell r="I8537"/>
          <cell r="J8537"/>
          <cell r="L8537"/>
        </row>
        <row r="8538">
          <cell r="A8538"/>
          <cell r="D8538"/>
          <cell r="E8538"/>
          <cell r="F8538"/>
          <cell r="G8538"/>
          <cell r="H8538"/>
          <cell r="I8538"/>
          <cell r="J8538"/>
          <cell r="L8538"/>
        </row>
        <row r="8539">
          <cell r="A8539"/>
          <cell r="D8539"/>
          <cell r="E8539"/>
          <cell r="F8539"/>
          <cell r="G8539"/>
          <cell r="H8539"/>
          <cell r="I8539"/>
          <cell r="J8539"/>
          <cell r="L8539"/>
        </row>
        <row r="8540">
          <cell r="A8540"/>
          <cell r="D8540"/>
          <cell r="E8540"/>
          <cell r="F8540"/>
          <cell r="G8540"/>
          <cell r="H8540"/>
          <cell r="I8540"/>
          <cell r="J8540"/>
          <cell r="L8540"/>
        </row>
        <row r="8541">
          <cell r="A8541"/>
          <cell r="D8541"/>
          <cell r="E8541"/>
          <cell r="F8541"/>
          <cell r="G8541"/>
          <cell r="H8541"/>
          <cell r="I8541"/>
          <cell r="J8541"/>
          <cell r="L8541"/>
        </row>
        <row r="8542">
          <cell r="A8542"/>
          <cell r="D8542"/>
          <cell r="E8542"/>
          <cell r="F8542"/>
          <cell r="G8542"/>
          <cell r="H8542"/>
          <cell r="I8542"/>
          <cell r="J8542"/>
          <cell r="L8542"/>
        </row>
        <row r="8543">
          <cell r="A8543"/>
          <cell r="D8543"/>
          <cell r="E8543"/>
          <cell r="F8543"/>
          <cell r="G8543"/>
          <cell r="H8543"/>
          <cell r="I8543"/>
          <cell r="J8543"/>
          <cell r="L8543"/>
        </row>
        <row r="8544">
          <cell r="A8544"/>
          <cell r="D8544"/>
          <cell r="E8544"/>
          <cell r="F8544"/>
          <cell r="G8544"/>
          <cell r="H8544"/>
          <cell r="I8544"/>
          <cell r="J8544"/>
          <cell r="L8544"/>
        </row>
        <row r="8545">
          <cell r="A8545"/>
          <cell r="D8545"/>
          <cell r="E8545"/>
          <cell r="F8545"/>
          <cell r="G8545"/>
          <cell r="H8545"/>
          <cell r="I8545"/>
          <cell r="J8545"/>
          <cell r="L8545"/>
        </row>
        <row r="8546">
          <cell r="A8546"/>
          <cell r="D8546"/>
          <cell r="E8546"/>
          <cell r="F8546"/>
          <cell r="G8546"/>
          <cell r="H8546"/>
          <cell r="I8546"/>
          <cell r="J8546"/>
          <cell r="L8546"/>
        </row>
        <row r="8547">
          <cell r="A8547"/>
          <cell r="D8547"/>
          <cell r="E8547"/>
          <cell r="F8547"/>
          <cell r="G8547"/>
          <cell r="H8547"/>
          <cell r="I8547"/>
          <cell r="J8547"/>
          <cell r="L8547"/>
        </row>
        <row r="8548">
          <cell r="A8548"/>
          <cell r="D8548"/>
          <cell r="E8548"/>
          <cell r="F8548"/>
          <cell r="G8548"/>
          <cell r="H8548"/>
          <cell r="I8548"/>
          <cell r="J8548"/>
          <cell r="L8548"/>
        </row>
        <row r="8549">
          <cell r="A8549"/>
          <cell r="D8549"/>
          <cell r="E8549"/>
          <cell r="F8549"/>
          <cell r="G8549"/>
          <cell r="H8549"/>
          <cell r="I8549"/>
          <cell r="J8549"/>
          <cell r="L8549"/>
        </row>
        <row r="8550">
          <cell r="A8550"/>
          <cell r="D8550"/>
          <cell r="E8550"/>
          <cell r="F8550"/>
          <cell r="G8550"/>
          <cell r="H8550"/>
          <cell r="I8550"/>
          <cell r="J8550"/>
          <cell r="L8550"/>
        </row>
        <row r="8551">
          <cell r="A8551"/>
          <cell r="D8551"/>
          <cell r="E8551"/>
          <cell r="F8551"/>
          <cell r="G8551"/>
          <cell r="H8551"/>
          <cell r="I8551"/>
          <cell r="J8551"/>
          <cell r="L8551"/>
        </row>
        <row r="8552">
          <cell r="A8552"/>
          <cell r="D8552"/>
          <cell r="E8552"/>
          <cell r="F8552"/>
          <cell r="G8552"/>
          <cell r="H8552"/>
          <cell r="I8552"/>
          <cell r="J8552"/>
          <cell r="L8552"/>
        </row>
        <row r="8553">
          <cell r="A8553"/>
          <cell r="D8553"/>
          <cell r="E8553"/>
          <cell r="F8553"/>
          <cell r="G8553"/>
          <cell r="H8553"/>
          <cell r="I8553"/>
          <cell r="J8553"/>
          <cell r="L8553"/>
        </row>
        <row r="8554">
          <cell r="A8554"/>
          <cell r="D8554"/>
          <cell r="E8554"/>
          <cell r="F8554"/>
          <cell r="G8554"/>
          <cell r="H8554"/>
          <cell r="I8554"/>
          <cell r="J8554"/>
          <cell r="L8554"/>
        </row>
        <row r="8555">
          <cell r="A8555"/>
          <cell r="D8555"/>
          <cell r="E8555"/>
          <cell r="F8555"/>
          <cell r="G8555"/>
          <cell r="H8555"/>
          <cell r="I8555"/>
          <cell r="J8555"/>
          <cell r="L8555"/>
        </row>
        <row r="8556">
          <cell r="A8556"/>
          <cell r="D8556"/>
          <cell r="E8556"/>
          <cell r="F8556"/>
          <cell r="G8556"/>
          <cell r="H8556"/>
          <cell r="I8556"/>
          <cell r="J8556"/>
          <cell r="L8556"/>
        </row>
        <row r="8557">
          <cell r="A8557"/>
          <cell r="D8557"/>
          <cell r="E8557"/>
          <cell r="F8557"/>
          <cell r="G8557"/>
          <cell r="H8557"/>
          <cell r="I8557"/>
          <cell r="J8557"/>
          <cell r="L8557"/>
        </row>
        <row r="8558">
          <cell r="A8558"/>
          <cell r="D8558"/>
          <cell r="E8558"/>
          <cell r="F8558"/>
          <cell r="G8558"/>
          <cell r="H8558"/>
          <cell r="I8558"/>
          <cell r="J8558"/>
          <cell r="L8558"/>
        </row>
        <row r="8559">
          <cell r="A8559"/>
          <cell r="D8559"/>
          <cell r="E8559"/>
          <cell r="F8559"/>
          <cell r="G8559"/>
          <cell r="H8559"/>
          <cell r="I8559"/>
          <cell r="J8559"/>
          <cell r="L8559"/>
        </row>
        <row r="8560">
          <cell r="A8560"/>
          <cell r="D8560"/>
          <cell r="E8560"/>
          <cell r="F8560"/>
          <cell r="G8560"/>
          <cell r="H8560"/>
          <cell r="I8560"/>
          <cell r="J8560"/>
          <cell r="L8560"/>
        </row>
        <row r="8561">
          <cell r="A8561"/>
          <cell r="D8561"/>
          <cell r="E8561"/>
          <cell r="F8561"/>
          <cell r="G8561"/>
          <cell r="H8561"/>
          <cell r="I8561"/>
          <cell r="J8561"/>
          <cell r="L8561"/>
        </row>
        <row r="8562">
          <cell r="A8562"/>
          <cell r="D8562"/>
          <cell r="E8562"/>
          <cell r="F8562"/>
          <cell r="G8562"/>
          <cell r="H8562"/>
          <cell r="I8562"/>
          <cell r="J8562"/>
          <cell r="L8562"/>
        </row>
        <row r="8563">
          <cell r="A8563"/>
          <cell r="D8563"/>
          <cell r="E8563"/>
          <cell r="F8563"/>
          <cell r="G8563"/>
          <cell r="H8563"/>
          <cell r="I8563"/>
          <cell r="J8563"/>
          <cell r="L8563"/>
        </row>
        <row r="8564">
          <cell r="A8564"/>
          <cell r="D8564"/>
          <cell r="E8564"/>
          <cell r="F8564"/>
          <cell r="G8564"/>
          <cell r="H8564"/>
          <cell r="I8564"/>
          <cell r="J8564"/>
          <cell r="L8564"/>
        </row>
        <row r="8565">
          <cell r="A8565"/>
          <cell r="D8565"/>
          <cell r="E8565"/>
          <cell r="F8565"/>
          <cell r="G8565"/>
          <cell r="H8565"/>
          <cell r="I8565"/>
          <cell r="J8565"/>
          <cell r="L8565"/>
        </row>
        <row r="8566">
          <cell r="A8566"/>
          <cell r="D8566"/>
          <cell r="E8566"/>
          <cell r="F8566"/>
          <cell r="G8566"/>
          <cell r="H8566"/>
          <cell r="I8566"/>
          <cell r="J8566"/>
          <cell r="L8566"/>
        </row>
        <row r="8567">
          <cell r="A8567"/>
          <cell r="D8567"/>
          <cell r="E8567"/>
          <cell r="F8567"/>
          <cell r="G8567"/>
          <cell r="H8567"/>
          <cell r="I8567"/>
          <cell r="J8567"/>
          <cell r="L8567"/>
        </row>
        <row r="8568">
          <cell r="A8568"/>
          <cell r="D8568"/>
          <cell r="E8568"/>
          <cell r="F8568"/>
          <cell r="G8568"/>
          <cell r="H8568"/>
          <cell r="I8568"/>
          <cell r="J8568"/>
          <cell r="L8568"/>
        </row>
        <row r="8569">
          <cell r="A8569"/>
          <cell r="D8569"/>
          <cell r="E8569"/>
          <cell r="F8569"/>
          <cell r="G8569"/>
          <cell r="H8569"/>
          <cell r="I8569"/>
          <cell r="J8569"/>
          <cell r="L8569"/>
        </row>
        <row r="8570">
          <cell r="A8570"/>
          <cell r="D8570"/>
          <cell r="E8570"/>
          <cell r="F8570"/>
          <cell r="G8570"/>
          <cell r="H8570"/>
          <cell r="I8570"/>
          <cell r="J8570"/>
          <cell r="L8570"/>
        </row>
        <row r="8571">
          <cell r="A8571"/>
          <cell r="D8571"/>
          <cell r="E8571"/>
          <cell r="F8571"/>
          <cell r="G8571"/>
          <cell r="H8571"/>
          <cell r="I8571"/>
          <cell r="J8571"/>
          <cell r="L8571"/>
        </row>
        <row r="8572">
          <cell r="A8572"/>
          <cell r="D8572"/>
          <cell r="E8572"/>
          <cell r="F8572"/>
          <cell r="G8572"/>
          <cell r="H8572"/>
          <cell r="I8572"/>
          <cell r="J8572"/>
          <cell r="L8572"/>
        </row>
        <row r="8573">
          <cell r="A8573"/>
          <cell r="D8573"/>
          <cell r="E8573"/>
          <cell r="F8573"/>
          <cell r="G8573"/>
          <cell r="H8573"/>
          <cell r="I8573"/>
          <cell r="J8573"/>
          <cell r="L8573"/>
        </row>
        <row r="8574">
          <cell r="A8574"/>
          <cell r="D8574"/>
          <cell r="E8574"/>
          <cell r="F8574"/>
          <cell r="G8574"/>
          <cell r="H8574"/>
          <cell r="I8574"/>
          <cell r="J8574"/>
          <cell r="L8574"/>
        </row>
        <row r="8575">
          <cell r="A8575"/>
          <cell r="D8575"/>
          <cell r="E8575"/>
          <cell r="F8575"/>
          <cell r="G8575"/>
          <cell r="H8575"/>
          <cell r="I8575"/>
          <cell r="J8575"/>
          <cell r="L8575"/>
        </row>
        <row r="8576">
          <cell r="A8576"/>
          <cell r="D8576"/>
          <cell r="E8576"/>
          <cell r="F8576"/>
          <cell r="G8576"/>
          <cell r="H8576"/>
          <cell r="I8576"/>
          <cell r="J8576"/>
          <cell r="L8576"/>
        </row>
        <row r="8577">
          <cell r="A8577"/>
          <cell r="D8577"/>
          <cell r="E8577"/>
          <cell r="F8577"/>
          <cell r="G8577"/>
          <cell r="H8577"/>
          <cell r="I8577"/>
          <cell r="J8577"/>
          <cell r="L8577"/>
        </row>
        <row r="8578">
          <cell r="A8578"/>
          <cell r="D8578"/>
          <cell r="E8578"/>
          <cell r="F8578"/>
          <cell r="G8578"/>
          <cell r="H8578"/>
          <cell r="I8578"/>
          <cell r="J8578"/>
          <cell r="L8578"/>
        </row>
        <row r="8579">
          <cell r="A8579"/>
          <cell r="D8579"/>
          <cell r="E8579"/>
          <cell r="F8579"/>
          <cell r="G8579"/>
          <cell r="H8579"/>
          <cell r="I8579"/>
          <cell r="J8579"/>
          <cell r="L8579"/>
        </row>
        <row r="8580">
          <cell r="A8580"/>
          <cell r="D8580"/>
          <cell r="E8580"/>
          <cell r="F8580"/>
          <cell r="G8580"/>
          <cell r="H8580"/>
          <cell r="I8580"/>
          <cell r="J8580"/>
          <cell r="L8580"/>
        </row>
        <row r="8581">
          <cell r="A8581"/>
          <cell r="D8581"/>
          <cell r="E8581"/>
          <cell r="F8581"/>
          <cell r="G8581"/>
          <cell r="H8581"/>
          <cell r="I8581"/>
          <cell r="J8581"/>
          <cell r="L8581"/>
        </row>
        <row r="8582">
          <cell r="A8582"/>
          <cell r="D8582"/>
          <cell r="E8582"/>
          <cell r="F8582"/>
          <cell r="G8582"/>
          <cell r="H8582"/>
          <cell r="I8582"/>
          <cell r="J8582"/>
          <cell r="L8582"/>
        </row>
        <row r="8583">
          <cell r="A8583"/>
          <cell r="D8583"/>
          <cell r="E8583"/>
          <cell r="F8583"/>
          <cell r="G8583"/>
          <cell r="H8583"/>
          <cell r="I8583"/>
          <cell r="J8583"/>
          <cell r="L8583"/>
        </row>
        <row r="8584">
          <cell r="A8584"/>
          <cell r="D8584"/>
          <cell r="E8584"/>
          <cell r="F8584"/>
          <cell r="G8584"/>
          <cell r="H8584"/>
          <cell r="I8584"/>
          <cell r="J8584"/>
          <cell r="L8584"/>
        </row>
        <row r="8585">
          <cell r="A8585"/>
          <cell r="D8585"/>
          <cell r="E8585"/>
          <cell r="F8585"/>
          <cell r="G8585"/>
          <cell r="H8585"/>
          <cell r="I8585"/>
          <cell r="J8585"/>
          <cell r="L8585"/>
        </row>
        <row r="8586">
          <cell r="A8586"/>
          <cell r="D8586"/>
          <cell r="E8586"/>
          <cell r="F8586"/>
          <cell r="G8586"/>
          <cell r="H8586"/>
          <cell r="I8586"/>
          <cell r="J8586"/>
          <cell r="L8586"/>
        </row>
        <row r="8587">
          <cell r="A8587"/>
          <cell r="D8587"/>
          <cell r="E8587"/>
          <cell r="F8587"/>
          <cell r="G8587"/>
          <cell r="H8587"/>
          <cell r="I8587"/>
          <cell r="J8587"/>
          <cell r="L8587"/>
        </row>
        <row r="8588">
          <cell r="A8588"/>
          <cell r="D8588"/>
          <cell r="E8588"/>
          <cell r="F8588"/>
          <cell r="G8588"/>
          <cell r="H8588"/>
          <cell r="I8588"/>
          <cell r="J8588"/>
          <cell r="L8588"/>
        </row>
        <row r="8589">
          <cell r="A8589"/>
          <cell r="D8589"/>
          <cell r="E8589"/>
          <cell r="F8589"/>
          <cell r="G8589"/>
          <cell r="H8589"/>
          <cell r="I8589"/>
          <cell r="J8589"/>
          <cell r="L8589"/>
        </row>
        <row r="8590">
          <cell r="A8590"/>
          <cell r="D8590"/>
          <cell r="E8590"/>
          <cell r="F8590"/>
          <cell r="G8590"/>
          <cell r="H8590"/>
          <cell r="I8590"/>
          <cell r="J8590"/>
          <cell r="L8590"/>
        </row>
        <row r="8591">
          <cell r="A8591"/>
          <cell r="D8591"/>
          <cell r="E8591"/>
          <cell r="F8591"/>
          <cell r="G8591"/>
          <cell r="H8591"/>
          <cell r="I8591"/>
          <cell r="J8591"/>
          <cell r="L8591"/>
        </row>
        <row r="8592">
          <cell r="A8592"/>
          <cell r="D8592"/>
          <cell r="E8592"/>
          <cell r="F8592"/>
          <cell r="G8592"/>
          <cell r="H8592"/>
          <cell r="I8592"/>
          <cell r="J8592"/>
          <cell r="L8592"/>
        </row>
        <row r="8593">
          <cell r="A8593"/>
          <cell r="D8593"/>
          <cell r="E8593"/>
          <cell r="F8593"/>
          <cell r="G8593"/>
          <cell r="H8593"/>
          <cell r="I8593"/>
          <cell r="J8593"/>
          <cell r="L8593"/>
        </row>
        <row r="8594">
          <cell r="A8594"/>
          <cell r="D8594"/>
          <cell r="E8594"/>
          <cell r="F8594"/>
          <cell r="G8594"/>
          <cell r="H8594"/>
          <cell r="I8594"/>
          <cell r="J8594"/>
          <cell r="L8594"/>
        </row>
        <row r="8595">
          <cell r="A8595"/>
          <cell r="D8595"/>
          <cell r="E8595"/>
          <cell r="F8595"/>
          <cell r="G8595"/>
          <cell r="H8595"/>
          <cell r="I8595"/>
          <cell r="J8595"/>
          <cell r="L8595"/>
        </row>
        <row r="8596">
          <cell r="A8596"/>
          <cell r="D8596"/>
          <cell r="E8596"/>
          <cell r="F8596"/>
          <cell r="G8596"/>
          <cell r="H8596"/>
          <cell r="I8596"/>
          <cell r="J8596"/>
          <cell r="L8596"/>
        </row>
        <row r="8597">
          <cell r="A8597"/>
          <cell r="D8597"/>
          <cell r="E8597"/>
          <cell r="F8597"/>
          <cell r="G8597"/>
          <cell r="H8597"/>
          <cell r="I8597"/>
          <cell r="J8597"/>
          <cell r="L8597"/>
        </row>
        <row r="8598">
          <cell r="A8598"/>
          <cell r="D8598"/>
          <cell r="E8598"/>
          <cell r="F8598"/>
          <cell r="G8598"/>
          <cell r="H8598"/>
          <cell r="I8598"/>
          <cell r="J8598"/>
          <cell r="L8598"/>
        </row>
        <row r="8599">
          <cell r="A8599"/>
          <cell r="D8599"/>
          <cell r="E8599"/>
          <cell r="F8599"/>
          <cell r="G8599"/>
          <cell r="H8599"/>
          <cell r="I8599"/>
          <cell r="J8599"/>
          <cell r="L8599"/>
        </row>
        <row r="8600">
          <cell r="A8600"/>
          <cell r="D8600"/>
          <cell r="E8600"/>
          <cell r="F8600"/>
          <cell r="G8600"/>
          <cell r="H8600"/>
          <cell r="I8600"/>
          <cell r="J8600"/>
          <cell r="L8600"/>
        </row>
        <row r="8601">
          <cell r="A8601"/>
          <cell r="D8601"/>
          <cell r="E8601"/>
          <cell r="F8601"/>
          <cell r="G8601"/>
          <cell r="H8601"/>
          <cell r="I8601"/>
          <cell r="J8601"/>
          <cell r="L8601"/>
        </row>
        <row r="8602">
          <cell r="A8602"/>
          <cell r="D8602"/>
          <cell r="E8602"/>
          <cell r="F8602"/>
          <cell r="G8602"/>
          <cell r="H8602"/>
          <cell r="I8602"/>
          <cell r="J8602"/>
          <cell r="L8602"/>
        </row>
        <row r="8603">
          <cell r="A8603"/>
          <cell r="D8603"/>
          <cell r="E8603"/>
          <cell r="F8603"/>
          <cell r="G8603"/>
          <cell r="H8603"/>
          <cell r="I8603"/>
          <cell r="J8603"/>
          <cell r="L8603"/>
        </row>
        <row r="8604">
          <cell r="A8604"/>
          <cell r="D8604"/>
          <cell r="E8604"/>
          <cell r="F8604"/>
          <cell r="G8604"/>
          <cell r="H8604"/>
          <cell r="I8604"/>
          <cell r="J8604"/>
          <cell r="L8604"/>
        </row>
        <row r="8605">
          <cell r="A8605"/>
          <cell r="D8605"/>
          <cell r="E8605"/>
          <cell r="F8605"/>
          <cell r="G8605"/>
          <cell r="H8605"/>
          <cell r="I8605"/>
          <cell r="J8605"/>
          <cell r="L8605"/>
        </row>
        <row r="8606">
          <cell r="A8606"/>
          <cell r="D8606"/>
          <cell r="E8606"/>
          <cell r="F8606"/>
          <cell r="G8606"/>
          <cell r="H8606"/>
          <cell r="I8606"/>
          <cell r="J8606"/>
          <cell r="L8606"/>
        </row>
        <row r="8607">
          <cell r="A8607"/>
          <cell r="D8607"/>
          <cell r="E8607"/>
          <cell r="F8607"/>
          <cell r="G8607"/>
          <cell r="H8607"/>
          <cell r="I8607"/>
          <cell r="J8607"/>
          <cell r="L8607"/>
        </row>
        <row r="8608">
          <cell r="A8608"/>
          <cell r="D8608"/>
          <cell r="E8608"/>
          <cell r="F8608"/>
          <cell r="G8608"/>
          <cell r="H8608"/>
          <cell r="I8608"/>
          <cell r="J8608"/>
          <cell r="L8608"/>
        </row>
        <row r="8609">
          <cell r="A8609"/>
          <cell r="D8609"/>
          <cell r="E8609"/>
          <cell r="F8609"/>
          <cell r="G8609"/>
          <cell r="H8609"/>
          <cell r="I8609"/>
          <cell r="J8609"/>
          <cell r="L8609"/>
        </row>
        <row r="8610">
          <cell r="A8610"/>
          <cell r="D8610"/>
          <cell r="E8610"/>
          <cell r="F8610"/>
          <cell r="G8610"/>
          <cell r="H8610"/>
          <cell r="I8610"/>
          <cell r="J8610"/>
          <cell r="L8610"/>
        </row>
        <row r="8611">
          <cell r="A8611"/>
          <cell r="D8611"/>
          <cell r="E8611"/>
          <cell r="F8611"/>
          <cell r="G8611"/>
          <cell r="H8611"/>
          <cell r="I8611"/>
          <cell r="J8611"/>
          <cell r="L8611"/>
        </row>
        <row r="8612">
          <cell r="A8612"/>
          <cell r="D8612"/>
          <cell r="E8612"/>
          <cell r="F8612"/>
          <cell r="G8612"/>
          <cell r="H8612"/>
          <cell r="I8612"/>
          <cell r="J8612"/>
          <cell r="L8612"/>
        </row>
        <row r="8613">
          <cell r="A8613"/>
          <cell r="D8613"/>
          <cell r="E8613"/>
          <cell r="F8613"/>
          <cell r="G8613"/>
          <cell r="H8613"/>
          <cell r="I8613"/>
          <cell r="J8613"/>
          <cell r="L8613"/>
        </row>
        <row r="8614">
          <cell r="A8614"/>
          <cell r="D8614"/>
          <cell r="E8614"/>
          <cell r="F8614"/>
          <cell r="G8614"/>
          <cell r="H8614"/>
          <cell r="I8614"/>
          <cell r="J8614"/>
          <cell r="L8614"/>
        </row>
        <row r="8615">
          <cell r="A8615"/>
          <cell r="D8615"/>
          <cell r="E8615"/>
          <cell r="F8615"/>
          <cell r="G8615"/>
          <cell r="H8615"/>
          <cell r="I8615"/>
          <cell r="J8615"/>
          <cell r="L8615"/>
        </row>
        <row r="8616">
          <cell r="A8616"/>
          <cell r="D8616"/>
          <cell r="E8616"/>
          <cell r="F8616"/>
          <cell r="G8616"/>
          <cell r="H8616"/>
          <cell r="I8616"/>
          <cell r="J8616"/>
          <cell r="L8616"/>
        </row>
        <row r="8617">
          <cell r="A8617"/>
          <cell r="D8617"/>
          <cell r="E8617"/>
          <cell r="F8617"/>
          <cell r="G8617"/>
          <cell r="H8617"/>
          <cell r="I8617"/>
          <cell r="J8617"/>
          <cell r="L8617"/>
        </row>
        <row r="8618">
          <cell r="A8618"/>
          <cell r="D8618"/>
          <cell r="E8618"/>
          <cell r="F8618"/>
          <cell r="G8618"/>
          <cell r="H8618"/>
          <cell r="I8618"/>
          <cell r="J8618"/>
          <cell r="L8618"/>
        </row>
        <row r="8619">
          <cell r="A8619"/>
          <cell r="D8619"/>
          <cell r="E8619"/>
          <cell r="F8619"/>
          <cell r="G8619"/>
          <cell r="H8619"/>
          <cell r="I8619"/>
          <cell r="J8619"/>
          <cell r="L8619"/>
        </row>
        <row r="8620">
          <cell r="A8620"/>
          <cell r="D8620"/>
          <cell r="E8620"/>
          <cell r="F8620"/>
          <cell r="G8620"/>
          <cell r="H8620"/>
          <cell r="I8620"/>
          <cell r="J8620"/>
          <cell r="L8620"/>
        </row>
        <row r="8621">
          <cell r="A8621"/>
          <cell r="D8621"/>
          <cell r="E8621"/>
          <cell r="F8621"/>
          <cell r="G8621"/>
          <cell r="H8621"/>
          <cell r="I8621"/>
          <cell r="J8621"/>
          <cell r="L8621"/>
        </row>
        <row r="8622">
          <cell r="A8622"/>
          <cell r="D8622"/>
          <cell r="E8622"/>
          <cell r="F8622"/>
          <cell r="G8622"/>
          <cell r="H8622"/>
          <cell r="I8622"/>
          <cell r="J8622"/>
          <cell r="L8622"/>
        </row>
        <row r="8623">
          <cell r="A8623"/>
          <cell r="D8623"/>
          <cell r="E8623"/>
          <cell r="F8623"/>
          <cell r="G8623"/>
          <cell r="H8623"/>
          <cell r="I8623"/>
          <cell r="J8623"/>
          <cell r="L8623"/>
        </row>
        <row r="8624">
          <cell r="A8624"/>
          <cell r="D8624"/>
          <cell r="E8624"/>
          <cell r="F8624"/>
          <cell r="G8624"/>
          <cell r="H8624"/>
          <cell r="I8624"/>
          <cell r="J8624"/>
          <cell r="L8624"/>
        </row>
        <row r="8625">
          <cell r="A8625"/>
          <cell r="D8625"/>
          <cell r="E8625"/>
          <cell r="F8625"/>
          <cell r="G8625"/>
          <cell r="H8625"/>
          <cell r="I8625"/>
          <cell r="J8625"/>
          <cell r="L8625"/>
        </row>
        <row r="8626">
          <cell r="A8626"/>
          <cell r="D8626"/>
          <cell r="E8626"/>
          <cell r="F8626"/>
          <cell r="G8626"/>
          <cell r="H8626"/>
          <cell r="I8626"/>
          <cell r="J8626"/>
          <cell r="L8626"/>
        </row>
        <row r="8627">
          <cell r="A8627"/>
          <cell r="D8627"/>
          <cell r="E8627"/>
          <cell r="F8627"/>
          <cell r="G8627"/>
          <cell r="H8627"/>
          <cell r="I8627"/>
          <cell r="J8627"/>
          <cell r="L8627"/>
        </row>
        <row r="8628">
          <cell r="A8628"/>
          <cell r="D8628"/>
          <cell r="E8628"/>
          <cell r="F8628"/>
          <cell r="G8628"/>
          <cell r="H8628"/>
          <cell r="I8628"/>
          <cell r="J8628"/>
          <cell r="L8628"/>
        </row>
        <row r="8629">
          <cell r="A8629"/>
          <cell r="D8629"/>
          <cell r="E8629"/>
          <cell r="F8629"/>
          <cell r="G8629"/>
          <cell r="H8629"/>
          <cell r="I8629"/>
          <cell r="J8629"/>
          <cell r="L8629"/>
        </row>
        <row r="8630">
          <cell r="A8630"/>
          <cell r="D8630"/>
          <cell r="E8630"/>
          <cell r="F8630"/>
          <cell r="G8630"/>
          <cell r="H8630"/>
          <cell r="I8630"/>
          <cell r="J8630"/>
          <cell r="L8630"/>
        </row>
        <row r="8631">
          <cell r="A8631"/>
          <cell r="D8631"/>
          <cell r="E8631"/>
          <cell r="F8631"/>
          <cell r="G8631"/>
          <cell r="H8631"/>
          <cell r="I8631"/>
          <cell r="J8631"/>
          <cell r="L8631"/>
        </row>
        <row r="8632">
          <cell r="A8632"/>
          <cell r="D8632"/>
          <cell r="E8632"/>
          <cell r="F8632"/>
          <cell r="G8632"/>
          <cell r="H8632"/>
          <cell r="I8632"/>
          <cell r="J8632"/>
          <cell r="L8632"/>
        </row>
        <row r="8633">
          <cell r="A8633"/>
          <cell r="D8633"/>
          <cell r="E8633"/>
          <cell r="F8633"/>
          <cell r="G8633"/>
          <cell r="H8633"/>
          <cell r="I8633"/>
          <cell r="J8633"/>
          <cell r="L8633"/>
        </row>
        <row r="8634">
          <cell r="A8634"/>
          <cell r="D8634"/>
          <cell r="E8634"/>
          <cell r="F8634"/>
          <cell r="G8634"/>
          <cell r="H8634"/>
          <cell r="I8634"/>
          <cell r="J8634"/>
          <cell r="L8634"/>
        </row>
        <row r="8635">
          <cell r="A8635"/>
          <cell r="D8635"/>
          <cell r="E8635"/>
          <cell r="F8635"/>
          <cell r="G8635"/>
          <cell r="H8635"/>
          <cell r="I8635"/>
          <cell r="J8635"/>
          <cell r="L8635"/>
        </row>
        <row r="8636">
          <cell r="A8636"/>
          <cell r="D8636"/>
          <cell r="E8636"/>
          <cell r="F8636"/>
          <cell r="G8636"/>
          <cell r="H8636"/>
          <cell r="I8636"/>
          <cell r="J8636"/>
          <cell r="L8636"/>
        </row>
        <row r="8637">
          <cell r="A8637"/>
          <cell r="D8637"/>
          <cell r="E8637"/>
          <cell r="F8637"/>
          <cell r="G8637"/>
          <cell r="H8637"/>
          <cell r="I8637"/>
          <cell r="J8637"/>
          <cell r="L8637"/>
        </row>
        <row r="8638">
          <cell r="A8638"/>
          <cell r="D8638"/>
          <cell r="E8638"/>
          <cell r="F8638"/>
          <cell r="G8638"/>
          <cell r="H8638"/>
          <cell r="I8638"/>
          <cell r="J8638"/>
          <cell r="L8638"/>
        </row>
        <row r="8639">
          <cell r="A8639"/>
          <cell r="D8639"/>
          <cell r="E8639"/>
          <cell r="F8639"/>
          <cell r="G8639"/>
          <cell r="H8639"/>
          <cell r="I8639"/>
          <cell r="J8639"/>
          <cell r="L8639"/>
        </row>
        <row r="8640">
          <cell r="A8640"/>
          <cell r="D8640"/>
          <cell r="E8640"/>
          <cell r="F8640"/>
          <cell r="G8640"/>
          <cell r="H8640"/>
          <cell r="I8640"/>
          <cell r="J8640"/>
          <cell r="L8640"/>
        </row>
        <row r="8641">
          <cell r="A8641"/>
          <cell r="D8641"/>
          <cell r="E8641"/>
          <cell r="F8641"/>
          <cell r="G8641"/>
          <cell r="H8641"/>
          <cell r="I8641"/>
          <cell r="J8641"/>
          <cell r="L8641"/>
        </row>
        <row r="8642">
          <cell r="A8642"/>
          <cell r="D8642"/>
          <cell r="E8642"/>
          <cell r="F8642"/>
          <cell r="G8642"/>
          <cell r="H8642"/>
          <cell r="I8642"/>
          <cell r="J8642"/>
          <cell r="L8642"/>
        </row>
        <row r="8643">
          <cell r="A8643"/>
          <cell r="D8643"/>
          <cell r="E8643"/>
          <cell r="F8643"/>
          <cell r="G8643"/>
          <cell r="H8643"/>
          <cell r="I8643"/>
          <cell r="J8643"/>
          <cell r="L8643"/>
        </row>
        <row r="8644">
          <cell r="A8644"/>
          <cell r="D8644"/>
          <cell r="E8644"/>
          <cell r="F8644"/>
          <cell r="G8644"/>
          <cell r="H8644"/>
          <cell r="I8644"/>
          <cell r="J8644"/>
          <cell r="L8644"/>
        </row>
        <row r="8645">
          <cell r="A8645"/>
          <cell r="D8645"/>
          <cell r="E8645"/>
          <cell r="F8645"/>
          <cell r="G8645"/>
          <cell r="H8645"/>
          <cell r="I8645"/>
          <cell r="J8645"/>
          <cell r="L8645"/>
        </row>
        <row r="8646">
          <cell r="A8646"/>
          <cell r="D8646"/>
          <cell r="E8646"/>
          <cell r="F8646"/>
          <cell r="G8646"/>
          <cell r="H8646"/>
          <cell r="I8646"/>
          <cell r="J8646"/>
          <cell r="L8646"/>
        </row>
        <row r="8647">
          <cell r="A8647"/>
          <cell r="D8647"/>
          <cell r="E8647"/>
          <cell r="F8647"/>
          <cell r="G8647"/>
          <cell r="H8647"/>
          <cell r="I8647"/>
          <cell r="J8647"/>
          <cell r="L8647"/>
        </row>
        <row r="8648">
          <cell r="A8648"/>
          <cell r="D8648"/>
          <cell r="E8648"/>
          <cell r="F8648"/>
          <cell r="G8648"/>
          <cell r="H8648"/>
          <cell r="I8648"/>
          <cell r="J8648"/>
          <cell r="L8648"/>
        </row>
        <row r="8649">
          <cell r="A8649"/>
          <cell r="D8649"/>
          <cell r="E8649"/>
          <cell r="F8649"/>
          <cell r="G8649"/>
          <cell r="H8649"/>
          <cell r="I8649"/>
          <cell r="J8649"/>
          <cell r="L8649"/>
        </row>
        <row r="8650">
          <cell r="A8650"/>
          <cell r="D8650"/>
          <cell r="E8650"/>
          <cell r="F8650"/>
          <cell r="G8650"/>
          <cell r="H8650"/>
          <cell r="I8650"/>
          <cell r="J8650"/>
          <cell r="L8650"/>
        </row>
        <row r="8651">
          <cell r="A8651"/>
          <cell r="D8651"/>
          <cell r="E8651"/>
          <cell r="F8651"/>
          <cell r="G8651"/>
          <cell r="H8651"/>
          <cell r="I8651"/>
          <cell r="J8651"/>
          <cell r="L8651"/>
        </row>
        <row r="8652">
          <cell r="A8652"/>
          <cell r="D8652"/>
          <cell r="E8652"/>
          <cell r="F8652"/>
          <cell r="G8652"/>
          <cell r="H8652"/>
          <cell r="I8652"/>
          <cell r="J8652"/>
          <cell r="L8652"/>
        </row>
        <row r="8653">
          <cell r="A8653"/>
          <cell r="D8653"/>
          <cell r="E8653"/>
          <cell r="F8653"/>
          <cell r="G8653"/>
          <cell r="H8653"/>
          <cell r="I8653"/>
          <cell r="J8653"/>
          <cell r="L8653"/>
        </row>
        <row r="8654">
          <cell r="A8654"/>
          <cell r="D8654"/>
          <cell r="E8654"/>
          <cell r="F8654"/>
          <cell r="G8654"/>
          <cell r="H8654"/>
          <cell r="I8654"/>
          <cell r="J8654"/>
          <cell r="L8654"/>
        </row>
        <row r="8655">
          <cell r="A8655"/>
          <cell r="D8655"/>
          <cell r="E8655"/>
          <cell r="F8655"/>
          <cell r="G8655"/>
          <cell r="H8655"/>
          <cell r="I8655"/>
          <cell r="J8655"/>
          <cell r="L8655"/>
        </row>
        <row r="8656">
          <cell r="A8656"/>
          <cell r="D8656"/>
          <cell r="E8656"/>
          <cell r="F8656"/>
          <cell r="G8656"/>
          <cell r="H8656"/>
          <cell r="I8656"/>
          <cell r="J8656"/>
          <cell r="L8656"/>
        </row>
        <row r="8657">
          <cell r="A8657"/>
          <cell r="D8657"/>
          <cell r="E8657"/>
          <cell r="F8657"/>
          <cell r="G8657"/>
          <cell r="H8657"/>
          <cell r="I8657"/>
          <cell r="J8657"/>
          <cell r="L8657"/>
        </row>
        <row r="8658">
          <cell r="A8658"/>
          <cell r="D8658"/>
          <cell r="E8658"/>
          <cell r="F8658"/>
          <cell r="G8658"/>
          <cell r="H8658"/>
          <cell r="I8658"/>
          <cell r="J8658"/>
          <cell r="L8658"/>
        </row>
        <row r="8659">
          <cell r="A8659"/>
          <cell r="D8659"/>
          <cell r="E8659"/>
          <cell r="F8659"/>
          <cell r="G8659"/>
          <cell r="H8659"/>
          <cell r="I8659"/>
          <cell r="J8659"/>
          <cell r="L8659"/>
        </row>
        <row r="8660">
          <cell r="A8660"/>
          <cell r="D8660"/>
          <cell r="E8660"/>
          <cell r="F8660"/>
          <cell r="G8660"/>
          <cell r="H8660"/>
          <cell r="I8660"/>
          <cell r="J8660"/>
          <cell r="L8660"/>
        </row>
        <row r="8661">
          <cell r="A8661"/>
          <cell r="D8661"/>
          <cell r="E8661"/>
          <cell r="F8661"/>
          <cell r="G8661"/>
          <cell r="H8661"/>
          <cell r="I8661"/>
          <cell r="J8661"/>
          <cell r="L8661"/>
        </row>
        <row r="8662">
          <cell r="A8662"/>
          <cell r="D8662"/>
          <cell r="E8662"/>
          <cell r="F8662"/>
          <cell r="G8662"/>
          <cell r="H8662"/>
          <cell r="I8662"/>
          <cell r="J8662"/>
          <cell r="L8662"/>
        </row>
        <row r="8663">
          <cell r="A8663"/>
          <cell r="D8663"/>
          <cell r="E8663"/>
          <cell r="F8663"/>
          <cell r="G8663"/>
          <cell r="H8663"/>
          <cell r="I8663"/>
          <cell r="J8663"/>
          <cell r="L8663"/>
        </row>
        <row r="8664">
          <cell r="A8664"/>
          <cell r="D8664"/>
          <cell r="E8664"/>
          <cell r="F8664"/>
          <cell r="G8664"/>
          <cell r="H8664"/>
          <cell r="I8664"/>
          <cell r="J8664"/>
          <cell r="L8664"/>
        </row>
        <row r="8665">
          <cell r="A8665"/>
          <cell r="D8665"/>
          <cell r="E8665"/>
          <cell r="F8665"/>
          <cell r="G8665"/>
          <cell r="H8665"/>
          <cell r="I8665"/>
          <cell r="J8665"/>
          <cell r="L8665"/>
        </row>
        <row r="8666">
          <cell r="A8666"/>
          <cell r="D8666"/>
          <cell r="E8666"/>
          <cell r="F8666"/>
          <cell r="G8666"/>
          <cell r="H8666"/>
          <cell r="I8666"/>
          <cell r="J8666"/>
          <cell r="L8666"/>
        </row>
        <row r="8667">
          <cell r="A8667"/>
          <cell r="D8667"/>
          <cell r="E8667"/>
          <cell r="F8667"/>
          <cell r="G8667"/>
          <cell r="H8667"/>
          <cell r="I8667"/>
          <cell r="J8667"/>
          <cell r="L8667"/>
        </row>
        <row r="8668">
          <cell r="A8668"/>
          <cell r="D8668"/>
          <cell r="E8668"/>
          <cell r="F8668"/>
          <cell r="G8668"/>
          <cell r="H8668"/>
          <cell r="I8668"/>
          <cell r="J8668"/>
          <cell r="L8668"/>
        </row>
        <row r="8669">
          <cell r="A8669"/>
          <cell r="D8669"/>
          <cell r="E8669"/>
          <cell r="F8669"/>
          <cell r="G8669"/>
          <cell r="H8669"/>
          <cell r="I8669"/>
          <cell r="J8669"/>
          <cell r="L8669"/>
        </row>
        <row r="8670">
          <cell r="A8670"/>
          <cell r="D8670"/>
          <cell r="E8670"/>
          <cell r="F8670"/>
          <cell r="G8670"/>
          <cell r="H8670"/>
          <cell r="I8670"/>
          <cell r="J8670"/>
          <cell r="L8670"/>
        </row>
        <row r="8671">
          <cell r="A8671"/>
          <cell r="D8671"/>
          <cell r="E8671"/>
          <cell r="F8671"/>
          <cell r="G8671"/>
          <cell r="H8671"/>
          <cell r="I8671"/>
          <cell r="J8671"/>
          <cell r="L8671"/>
        </row>
        <row r="8672">
          <cell r="A8672"/>
          <cell r="D8672"/>
          <cell r="E8672"/>
          <cell r="F8672"/>
          <cell r="G8672"/>
          <cell r="H8672"/>
          <cell r="I8672"/>
          <cell r="J8672"/>
          <cell r="L8672"/>
        </row>
        <row r="8673">
          <cell r="A8673"/>
          <cell r="D8673"/>
          <cell r="E8673"/>
          <cell r="F8673"/>
          <cell r="G8673"/>
          <cell r="H8673"/>
          <cell r="I8673"/>
          <cell r="J8673"/>
          <cell r="L8673"/>
        </row>
        <row r="8674">
          <cell r="A8674"/>
          <cell r="D8674"/>
          <cell r="E8674"/>
          <cell r="F8674"/>
          <cell r="G8674"/>
          <cell r="H8674"/>
          <cell r="I8674"/>
          <cell r="J8674"/>
          <cell r="L8674"/>
        </row>
        <row r="8675">
          <cell r="A8675"/>
          <cell r="D8675"/>
          <cell r="E8675"/>
          <cell r="F8675"/>
          <cell r="G8675"/>
          <cell r="H8675"/>
          <cell r="I8675"/>
          <cell r="J8675"/>
          <cell r="L8675"/>
        </row>
        <row r="8676">
          <cell r="A8676"/>
          <cell r="D8676"/>
          <cell r="E8676"/>
          <cell r="F8676"/>
          <cell r="G8676"/>
          <cell r="H8676"/>
          <cell r="I8676"/>
          <cell r="J8676"/>
          <cell r="L8676"/>
        </row>
        <row r="8677">
          <cell r="A8677"/>
          <cell r="D8677"/>
          <cell r="E8677"/>
          <cell r="F8677"/>
          <cell r="G8677"/>
          <cell r="H8677"/>
          <cell r="I8677"/>
          <cell r="J8677"/>
          <cell r="L8677"/>
        </row>
        <row r="8678">
          <cell r="A8678"/>
          <cell r="D8678"/>
          <cell r="E8678"/>
          <cell r="F8678"/>
          <cell r="G8678"/>
          <cell r="H8678"/>
          <cell r="I8678"/>
          <cell r="J8678"/>
          <cell r="L8678"/>
        </row>
        <row r="8679">
          <cell r="A8679"/>
          <cell r="D8679"/>
          <cell r="E8679"/>
          <cell r="F8679"/>
          <cell r="G8679"/>
          <cell r="H8679"/>
          <cell r="I8679"/>
          <cell r="J8679"/>
          <cell r="L8679"/>
        </row>
        <row r="8680">
          <cell r="A8680"/>
          <cell r="D8680"/>
          <cell r="E8680"/>
          <cell r="F8680"/>
          <cell r="G8680"/>
          <cell r="H8680"/>
          <cell r="I8680"/>
          <cell r="J8680"/>
          <cell r="L8680"/>
        </row>
        <row r="8681">
          <cell r="A8681"/>
          <cell r="D8681"/>
          <cell r="E8681"/>
          <cell r="F8681"/>
          <cell r="G8681"/>
          <cell r="H8681"/>
          <cell r="I8681"/>
          <cell r="J8681"/>
          <cell r="L8681"/>
        </row>
        <row r="8682">
          <cell r="A8682"/>
          <cell r="D8682"/>
          <cell r="E8682"/>
          <cell r="F8682"/>
          <cell r="G8682"/>
          <cell r="H8682"/>
          <cell r="I8682"/>
          <cell r="J8682"/>
          <cell r="L8682"/>
        </row>
        <row r="8683">
          <cell r="A8683"/>
          <cell r="D8683"/>
          <cell r="E8683"/>
          <cell r="F8683"/>
          <cell r="G8683"/>
          <cell r="H8683"/>
          <cell r="I8683"/>
          <cell r="J8683"/>
          <cell r="L8683"/>
        </row>
        <row r="8684">
          <cell r="A8684"/>
          <cell r="D8684"/>
          <cell r="E8684"/>
          <cell r="F8684"/>
          <cell r="G8684"/>
          <cell r="H8684"/>
          <cell r="I8684"/>
          <cell r="J8684"/>
          <cell r="L8684"/>
        </row>
        <row r="8685">
          <cell r="A8685"/>
          <cell r="D8685"/>
          <cell r="E8685"/>
          <cell r="F8685"/>
          <cell r="G8685"/>
          <cell r="H8685"/>
          <cell r="I8685"/>
          <cell r="J8685"/>
          <cell r="L8685"/>
        </row>
        <row r="8686">
          <cell r="A8686"/>
          <cell r="D8686"/>
          <cell r="E8686"/>
          <cell r="F8686"/>
          <cell r="G8686"/>
          <cell r="H8686"/>
          <cell r="I8686"/>
          <cell r="J8686"/>
          <cell r="L8686"/>
        </row>
        <row r="8687">
          <cell r="A8687"/>
          <cell r="D8687"/>
          <cell r="E8687"/>
          <cell r="F8687"/>
          <cell r="G8687"/>
          <cell r="H8687"/>
          <cell r="I8687"/>
          <cell r="J8687"/>
          <cell r="L8687"/>
        </row>
        <row r="8688">
          <cell r="A8688"/>
          <cell r="D8688"/>
          <cell r="E8688"/>
          <cell r="F8688"/>
          <cell r="G8688"/>
          <cell r="H8688"/>
          <cell r="I8688"/>
          <cell r="J8688"/>
          <cell r="L8688"/>
        </row>
        <row r="8689">
          <cell r="A8689"/>
          <cell r="D8689"/>
          <cell r="E8689"/>
          <cell r="F8689"/>
          <cell r="G8689"/>
          <cell r="H8689"/>
          <cell r="I8689"/>
          <cell r="J8689"/>
          <cell r="L8689"/>
        </row>
        <row r="8690">
          <cell r="A8690"/>
          <cell r="D8690"/>
          <cell r="E8690"/>
          <cell r="F8690"/>
          <cell r="G8690"/>
          <cell r="H8690"/>
          <cell r="I8690"/>
          <cell r="J8690"/>
          <cell r="L8690"/>
        </row>
        <row r="8691">
          <cell r="A8691"/>
          <cell r="D8691"/>
          <cell r="E8691"/>
          <cell r="F8691"/>
          <cell r="G8691"/>
          <cell r="H8691"/>
          <cell r="I8691"/>
          <cell r="J8691"/>
          <cell r="L8691"/>
        </row>
        <row r="8692">
          <cell r="A8692"/>
          <cell r="D8692"/>
          <cell r="E8692"/>
          <cell r="F8692"/>
          <cell r="G8692"/>
          <cell r="H8692"/>
          <cell r="I8692"/>
          <cell r="J8692"/>
          <cell r="L8692"/>
        </row>
        <row r="8693">
          <cell r="A8693"/>
          <cell r="D8693"/>
          <cell r="E8693"/>
          <cell r="F8693"/>
          <cell r="G8693"/>
          <cell r="H8693"/>
          <cell r="I8693"/>
          <cell r="J8693"/>
          <cell r="L8693"/>
        </row>
        <row r="8694">
          <cell r="A8694"/>
          <cell r="D8694"/>
          <cell r="E8694"/>
          <cell r="F8694"/>
          <cell r="G8694"/>
          <cell r="H8694"/>
          <cell r="I8694"/>
          <cell r="J8694"/>
          <cell r="L8694"/>
        </row>
        <row r="8695">
          <cell r="A8695"/>
          <cell r="D8695"/>
          <cell r="E8695"/>
          <cell r="F8695"/>
          <cell r="G8695"/>
          <cell r="H8695"/>
          <cell r="I8695"/>
          <cell r="J8695"/>
          <cell r="L8695"/>
        </row>
        <row r="8696">
          <cell r="A8696"/>
          <cell r="D8696"/>
          <cell r="E8696"/>
          <cell r="F8696"/>
          <cell r="G8696"/>
          <cell r="H8696"/>
          <cell r="I8696"/>
          <cell r="J8696"/>
          <cell r="L8696"/>
        </row>
        <row r="8697">
          <cell r="A8697"/>
          <cell r="D8697"/>
          <cell r="E8697"/>
          <cell r="F8697"/>
          <cell r="G8697"/>
          <cell r="H8697"/>
          <cell r="I8697"/>
          <cell r="J8697"/>
          <cell r="L8697"/>
        </row>
        <row r="8698">
          <cell r="A8698"/>
          <cell r="D8698"/>
          <cell r="E8698"/>
          <cell r="F8698"/>
          <cell r="G8698"/>
          <cell r="H8698"/>
          <cell r="I8698"/>
          <cell r="J8698"/>
          <cell r="L8698"/>
        </row>
        <row r="8699">
          <cell r="A8699"/>
          <cell r="D8699"/>
          <cell r="E8699"/>
          <cell r="F8699"/>
          <cell r="G8699"/>
          <cell r="H8699"/>
          <cell r="I8699"/>
          <cell r="J8699"/>
          <cell r="L8699"/>
        </row>
        <row r="8700">
          <cell r="A8700"/>
          <cell r="D8700"/>
          <cell r="E8700"/>
          <cell r="F8700"/>
          <cell r="G8700"/>
          <cell r="H8700"/>
          <cell r="I8700"/>
          <cell r="J8700"/>
          <cell r="L8700"/>
        </row>
        <row r="8701">
          <cell r="A8701"/>
          <cell r="D8701"/>
          <cell r="E8701"/>
          <cell r="F8701"/>
          <cell r="G8701"/>
          <cell r="H8701"/>
          <cell r="I8701"/>
          <cell r="J8701"/>
          <cell r="L8701"/>
        </row>
        <row r="8702">
          <cell r="A8702"/>
          <cell r="D8702"/>
          <cell r="E8702"/>
          <cell r="F8702"/>
          <cell r="G8702"/>
          <cell r="H8702"/>
          <cell r="I8702"/>
          <cell r="J8702"/>
          <cell r="L8702"/>
        </row>
        <row r="8703">
          <cell r="A8703"/>
          <cell r="D8703"/>
          <cell r="E8703"/>
          <cell r="F8703"/>
          <cell r="G8703"/>
          <cell r="H8703"/>
          <cell r="I8703"/>
          <cell r="J8703"/>
          <cell r="L8703"/>
        </row>
        <row r="8704">
          <cell r="A8704"/>
          <cell r="D8704"/>
          <cell r="E8704"/>
          <cell r="F8704"/>
          <cell r="G8704"/>
          <cell r="H8704"/>
          <cell r="I8704"/>
          <cell r="J8704"/>
          <cell r="L8704"/>
        </row>
        <row r="8705">
          <cell r="A8705"/>
          <cell r="D8705"/>
          <cell r="E8705"/>
          <cell r="F8705"/>
          <cell r="G8705"/>
          <cell r="H8705"/>
          <cell r="I8705"/>
          <cell r="J8705"/>
          <cell r="L8705"/>
        </row>
        <row r="8706">
          <cell r="A8706"/>
          <cell r="D8706"/>
          <cell r="E8706"/>
          <cell r="F8706"/>
          <cell r="G8706"/>
          <cell r="H8706"/>
          <cell r="I8706"/>
          <cell r="J8706"/>
          <cell r="L8706"/>
        </row>
        <row r="8707">
          <cell r="A8707"/>
          <cell r="D8707"/>
          <cell r="E8707"/>
          <cell r="F8707"/>
          <cell r="G8707"/>
          <cell r="H8707"/>
          <cell r="I8707"/>
          <cell r="J8707"/>
          <cell r="L8707"/>
        </row>
        <row r="8708">
          <cell r="A8708"/>
          <cell r="D8708"/>
          <cell r="E8708"/>
          <cell r="F8708"/>
          <cell r="G8708"/>
          <cell r="H8708"/>
          <cell r="I8708"/>
          <cell r="J8708"/>
          <cell r="L8708"/>
        </row>
        <row r="8709">
          <cell r="A8709"/>
          <cell r="D8709"/>
          <cell r="E8709"/>
          <cell r="F8709"/>
          <cell r="G8709"/>
          <cell r="H8709"/>
          <cell r="I8709"/>
          <cell r="J8709"/>
          <cell r="L8709"/>
        </row>
        <row r="8710">
          <cell r="A8710"/>
          <cell r="D8710"/>
          <cell r="E8710"/>
          <cell r="F8710"/>
          <cell r="G8710"/>
          <cell r="H8710"/>
          <cell r="I8710"/>
          <cell r="J8710"/>
          <cell r="L8710"/>
        </row>
        <row r="8711">
          <cell r="A8711"/>
          <cell r="D8711"/>
          <cell r="E8711"/>
          <cell r="F8711"/>
          <cell r="G8711"/>
          <cell r="H8711"/>
          <cell r="I8711"/>
          <cell r="J8711"/>
          <cell r="L8711"/>
        </row>
        <row r="8712">
          <cell r="A8712"/>
          <cell r="D8712"/>
          <cell r="E8712"/>
          <cell r="F8712"/>
          <cell r="G8712"/>
          <cell r="H8712"/>
          <cell r="I8712"/>
          <cell r="J8712"/>
          <cell r="L8712"/>
        </row>
        <row r="8713">
          <cell r="A8713"/>
          <cell r="D8713"/>
          <cell r="E8713"/>
          <cell r="F8713"/>
          <cell r="G8713"/>
          <cell r="H8713"/>
          <cell r="I8713"/>
          <cell r="J8713"/>
          <cell r="L8713"/>
        </row>
        <row r="8714">
          <cell r="A8714"/>
          <cell r="D8714"/>
          <cell r="E8714"/>
          <cell r="F8714"/>
          <cell r="G8714"/>
          <cell r="H8714"/>
          <cell r="I8714"/>
          <cell r="J8714"/>
          <cell r="L8714"/>
        </row>
        <row r="8715">
          <cell r="A8715"/>
          <cell r="D8715"/>
          <cell r="E8715"/>
          <cell r="F8715"/>
          <cell r="G8715"/>
          <cell r="H8715"/>
          <cell r="I8715"/>
          <cell r="J8715"/>
          <cell r="L8715"/>
        </row>
        <row r="8716">
          <cell r="A8716"/>
          <cell r="D8716"/>
          <cell r="E8716"/>
          <cell r="F8716"/>
          <cell r="G8716"/>
          <cell r="H8716"/>
          <cell r="I8716"/>
          <cell r="J8716"/>
          <cell r="L8716"/>
        </row>
        <row r="8717">
          <cell r="A8717"/>
          <cell r="D8717"/>
          <cell r="E8717"/>
          <cell r="F8717"/>
          <cell r="G8717"/>
          <cell r="H8717"/>
          <cell r="I8717"/>
          <cell r="J8717"/>
          <cell r="L8717"/>
        </row>
        <row r="8718">
          <cell r="A8718"/>
          <cell r="D8718"/>
          <cell r="E8718"/>
          <cell r="F8718"/>
          <cell r="G8718"/>
          <cell r="H8718"/>
          <cell r="I8718"/>
          <cell r="J8718"/>
          <cell r="L8718"/>
        </row>
        <row r="8719">
          <cell r="A8719"/>
          <cell r="D8719"/>
          <cell r="E8719"/>
          <cell r="F8719"/>
          <cell r="G8719"/>
          <cell r="H8719"/>
          <cell r="I8719"/>
          <cell r="J8719"/>
          <cell r="L8719"/>
        </row>
        <row r="8720">
          <cell r="A8720"/>
          <cell r="D8720"/>
          <cell r="E8720"/>
          <cell r="F8720"/>
          <cell r="G8720"/>
          <cell r="H8720"/>
          <cell r="I8720"/>
          <cell r="J8720"/>
          <cell r="L8720"/>
        </row>
        <row r="8721">
          <cell r="A8721"/>
          <cell r="D8721"/>
          <cell r="E8721"/>
          <cell r="F8721"/>
          <cell r="G8721"/>
          <cell r="H8721"/>
          <cell r="I8721"/>
          <cell r="J8721"/>
          <cell r="L8721"/>
        </row>
        <row r="8722">
          <cell r="A8722"/>
          <cell r="D8722"/>
          <cell r="E8722"/>
          <cell r="F8722"/>
          <cell r="G8722"/>
          <cell r="H8722"/>
          <cell r="I8722"/>
          <cell r="J8722"/>
          <cell r="L8722"/>
        </row>
        <row r="8723">
          <cell r="A8723"/>
          <cell r="D8723"/>
          <cell r="E8723"/>
          <cell r="F8723"/>
          <cell r="G8723"/>
          <cell r="H8723"/>
          <cell r="I8723"/>
          <cell r="J8723"/>
          <cell r="L8723"/>
        </row>
        <row r="8724">
          <cell r="A8724"/>
          <cell r="D8724"/>
          <cell r="E8724"/>
          <cell r="F8724"/>
          <cell r="G8724"/>
          <cell r="H8724"/>
          <cell r="I8724"/>
          <cell r="J8724"/>
          <cell r="L8724"/>
        </row>
        <row r="8725">
          <cell r="A8725"/>
          <cell r="D8725"/>
          <cell r="E8725"/>
          <cell r="F8725"/>
          <cell r="G8725"/>
          <cell r="H8725"/>
          <cell r="I8725"/>
          <cell r="J8725"/>
          <cell r="L8725"/>
        </row>
        <row r="8726">
          <cell r="A8726"/>
          <cell r="D8726"/>
          <cell r="E8726"/>
          <cell r="F8726"/>
          <cell r="G8726"/>
          <cell r="H8726"/>
          <cell r="I8726"/>
          <cell r="J8726"/>
          <cell r="L8726"/>
        </row>
        <row r="8727">
          <cell r="A8727"/>
          <cell r="D8727"/>
          <cell r="E8727"/>
          <cell r="F8727"/>
          <cell r="G8727"/>
          <cell r="H8727"/>
          <cell r="I8727"/>
          <cell r="J8727"/>
          <cell r="L8727"/>
        </row>
        <row r="8728">
          <cell r="A8728"/>
          <cell r="D8728"/>
          <cell r="E8728"/>
          <cell r="F8728"/>
          <cell r="G8728"/>
          <cell r="H8728"/>
          <cell r="I8728"/>
          <cell r="J8728"/>
          <cell r="L8728"/>
        </row>
        <row r="8729">
          <cell r="A8729"/>
          <cell r="D8729"/>
          <cell r="E8729"/>
          <cell r="F8729"/>
          <cell r="G8729"/>
          <cell r="H8729"/>
          <cell r="I8729"/>
          <cell r="J8729"/>
          <cell r="L8729"/>
        </row>
        <row r="8730">
          <cell r="A8730"/>
          <cell r="D8730"/>
          <cell r="E8730"/>
          <cell r="F8730"/>
          <cell r="G8730"/>
          <cell r="H8730"/>
          <cell r="I8730"/>
          <cell r="J8730"/>
          <cell r="L8730"/>
        </row>
        <row r="8731">
          <cell r="A8731"/>
          <cell r="D8731"/>
          <cell r="E8731"/>
          <cell r="F8731"/>
          <cell r="G8731"/>
          <cell r="H8731"/>
          <cell r="I8731"/>
          <cell r="J8731"/>
          <cell r="L8731"/>
        </row>
        <row r="8732">
          <cell r="A8732"/>
          <cell r="D8732"/>
          <cell r="E8732"/>
          <cell r="F8732"/>
          <cell r="G8732"/>
          <cell r="H8732"/>
          <cell r="I8732"/>
          <cell r="J8732"/>
          <cell r="L8732"/>
        </row>
        <row r="8733">
          <cell r="A8733"/>
          <cell r="D8733"/>
          <cell r="E8733"/>
          <cell r="F8733"/>
          <cell r="G8733"/>
          <cell r="H8733"/>
          <cell r="I8733"/>
          <cell r="J8733"/>
          <cell r="L8733"/>
        </row>
        <row r="8734">
          <cell r="A8734"/>
          <cell r="D8734"/>
          <cell r="E8734"/>
          <cell r="F8734"/>
          <cell r="G8734"/>
          <cell r="H8734"/>
          <cell r="I8734"/>
          <cell r="J8734"/>
          <cell r="L8734"/>
        </row>
        <row r="8735">
          <cell r="A8735"/>
          <cell r="D8735"/>
          <cell r="E8735"/>
          <cell r="F8735"/>
          <cell r="G8735"/>
          <cell r="H8735"/>
          <cell r="I8735"/>
          <cell r="J8735"/>
          <cell r="L8735"/>
        </row>
        <row r="8736">
          <cell r="A8736"/>
          <cell r="D8736"/>
          <cell r="E8736"/>
          <cell r="F8736"/>
          <cell r="G8736"/>
          <cell r="H8736"/>
          <cell r="I8736"/>
          <cell r="J8736"/>
          <cell r="L8736"/>
        </row>
        <row r="8737">
          <cell r="A8737"/>
          <cell r="D8737"/>
          <cell r="E8737"/>
          <cell r="F8737"/>
          <cell r="G8737"/>
          <cell r="H8737"/>
          <cell r="I8737"/>
          <cell r="J8737"/>
          <cell r="L8737"/>
        </row>
        <row r="8738">
          <cell r="A8738"/>
          <cell r="D8738"/>
          <cell r="E8738"/>
          <cell r="F8738"/>
          <cell r="G8738"/>
          <cell r="H8738"/>
          <cell r="I8738"/>
          <cell r="J8738"/>
          <cell r="L8738"/>
        </row>
        <row r="8739">
          <cell r="A8739"/>
          <cell r="D8739"/>
          <cell r="E8739"/>
          <cell r="F8739"/>
          <cell r="G8739"/>
          <cell r="H8739"/>
          <cell r="I8739"/>
          <cell r="J8739"/>
          <cell r="L8739"/>
        </row>
        <row r="8740">
          <cell r="A8740"/>
          <cell r="D8740"/>
          <cell r="E8740"/>
          <cell r="F8740"/>
          <cell r="G8740"/>
          <cell r="H8740"/>
          <cell r="I8740"/>
          <cell r="J8740"/>
          <cell r="L8740"/>
        </row>
        <row r="8741">
          <cell r="A8741"/>
          <cell r="D8741"/>
          <cell r="E8741"/>
          <cell r="F8741"/>
          <cell r="G8741"/>
          <cell r="H8741"/>
          <cell r="I8741"/>
          <cell r="J8741"/>
          <cell r="L8741"/>
        </row>
        <row r="8742">
          <cell r="A8742"/>
          <cell r="D8742"/>
          <cell r="E8742"/>
          <cell r="F8742"/>
          <cell r="G8742"/>
          <cell r="H8742"/>
          <cell r="I8742"/>
          <cell r="J8742"/>
          <cell r="L8742"/>
        </row>
        <row r="8743">
          <cell r="A8743"/>
          <cell r="D8743"/>
          <cell r="E8743"/>
          <cell r="F8743"/>
          <cell r="G8743"/>
          <cell r="H8743"/>
          <cell r="I8743"/>
          <cell r="J8743"/>
          <cell r="L8743"/>
        </row>
        <row r="8744">
          <cell r="A8744"/>
          <cell r="D8744"/>
          <cell r="E8744"/>
          <cell r="F8744"/>
          <cell r="G8744"/>
          <cell r="H8744"/>
          <cell r="I8744"/>
          <cell r="J8744"/>
          <cell r="L8744"/>
        </row>
        <row r="8745">
          <cell r="A8745"/>
          <cell r="D8745"/>
          <cell r="E8745"/>
          <cell r="F8745"/>
          <cell r="G8745"/>
          <cell r="H8745"/>
          <cell r="I8745"/>
          <cell r="J8745"/>
          <cell r="L8745"/>
        </row>
        <row r="8746">
          <cell r="A8746"/>
          <cell r="D8746"/>
          <cell r="E8746"/>
          <cell r="F8746"/>
          <cell r="G8746"/>
          <cell r="H8746"/>
          <cell r="I8746"/>
          <cell r="J8746"/>
          <cell r="L8746"/>
        </row>
        <row r="8747">
          <cell r="A8747"/>
          <cell r="D8747"/>
          <cell r="E8747"/>
          <cell r="F8747"/>
          <cell r="G8747"/>
          <cell r="H8747"/>
          <cell r="I8747"/>
          <cell r="J8747"/>
          <cell r="L8747"/>
        </row>
        <row r="8748">
          <cell r="A8748"/>
          <cell r="D8748"/>
          <cell r="E8748"/>
          <cell r="F8748"/>
          <cell r="G8748"/>
          <cell r="H8748"/>
          <cell r="I8748"/>
          <cell r="J8748"/>
          <cell r="L8748"/>
        </row>
        <row r="8749">
          <cell r="A8749"/>
          <cell r="D8749"/>
          <cell r="E8749"/>
          <cell r="F8749"/>
          <cell r="G8749"/>
          <cell r="H8749"/>
          <cell r="I8749"/>
          <cell r="J8749"/>
          <cell r="L8749"/>
        </row>
        <row r="8750">
          <cell r="A8750"/>
          <cell r="D8750"/>
          <cell r="E8750"/>
          <cell r="F8750"/>
          <cell r="G8750"/>
          <cell r="H8750"/>
          <cell r="I8750"/>
          <cell r="J8750"/>
          <cell r="L8750"/>
        </row>
        <row r="8751">
          <cell r="A8751"/>
          <cell r="D8751"/>
          <cell r="E8751"/>
          <cell r="F8751"/>
          <cell r="G8751"/>
          <cell r="H8751"/>
          <cell r="I8751"/>
          <cell r="J8751"/>
          <cell r="L8751"/>
        </row>
        <row r="8752">
          <cell r="A8752"/>
          <cell r="D8752"/>
          <cell r="E8752"/>
          <cell r="F8752"/>
          <cell r="G8752"/>
          <cell r="H8752"/>
          <cell r="I8752"/>
          <cell r="J8752"/>
          <cell r="L8752"/>
        </row>
        <row r="8753">
          <cell r="A8753"/>
          <cell r="D8753"/>
          <cell r="E8753"/>
          <cell r="F8753"/>
          <cell r="G8753"/>
          <cell r="H8753"/>
          <cell r="I8753"/>
          <cell r="J8753"/>
          <cell r="L8753"/>
        </row>
        <row r="8754">
          <cell r="A8754"/>
          <cell r="D8754"/>
          <cell r="E8754"/>
          <cell r="F8754"/>
          <cell r="G8754"/>
          <cell r="H8754"/>
          <cell r="I8754"/>
          <cell r="J8754"/>
          <cell r="L8754"/>
        </row>
        <row r="8755">
          <cell r="A8755"/>
          <cell r="D8755"/>
          <cell r="E8755"/>
          <cell r="F8755"/>
          <cell r="G8755"/>
          <cell r="H8755"/>
          <cell r="I8755"/>
          <cell r="J8755"/>
          <cell r="L8755"/>
        </row>
        <row r="8756">
          <cell r="A8756"/>
          <cell r="D8756"/>
          <cell r="E8756"/>
          <cell r="F8756"/>
          <cell r="G8756"/>
          <cell r="H8756"/>
          <cell r="I8756"/>
          <cell r="J8756"/>
          <cell r="L8756"/>
        </row>
        <row r="8757">
          <cell r="A8757"/>
          <cell r="D8757"/>
          <cell r="E8757"/>
          <cell r="F8757"/>
          <cell r="G8757"/>
          <cell r="H8757"/>
          <cell r="I8757"/>
          <cell r="J8757"/>
          <cell r="L8757"/>
        </row>
        <row r="8758">
          <cell r="A8758"/>
          <cell r="D8758"/>
          <cell r="E8758"/>
          <cell r="F8758"/>
          <cell r="G8758"/>
          <cell r="H8758"/>
          <cell r="I8758"/>
          <cell r="J8758"/>
          <cell r="L8758"/>
        </row>
        <row r="8759">
          <cell r="A8759"/>
          <cell r="D8759"/>
          <cell r="E8759"/>
          <cell r="F8759"/>
          <cell r="G8759"/>
          <cell r="H8759"/>
          <cell r="I8759"/>
          <cell r="J8759"/>
          <cell r="L8759"/>
        </row>
        <row r="8760">
          <cell r="A8760"/>
          <cell r="D8760"/>
          <cell r="E8760"/>
          <cell r="F8760"/>
          <cell r="G8760"/>
          <cell r="H8760"/>
          <cell r="I8760"/>
          <cell r="J8760"/>
          <cell r="L8760"/>
        </row>
        <row r="8761">
          <cell r="A8761"/>
          <cell r="D8761"/>
          <cell r="E8761"/>
          <cell r="F8761"/>
          <cell r="G8761"/>
          <cell r="H8761"/>
          <cell r="I8761"/>
          <cell r="J8761"/>
          <cell r="L8761"/>
        </row>
        <row r="8762">
          <cell r="A8762"/>
          <cell r="D8762"/>
          <cell r="E8762"/>
          <cell r="F8762"/>
          <cell r="G8762"/>
          <cell r="H8762"/>
          <cell r="I8762"/>
          <cell r="J8762"/>
          <cell r="L8762"/>
        </row>
        <row r="8763">
          <cell r="A8763"/>
          <cell r="D8763"/>
          <cell r="E8763"/>
          <cell r="F8763"/>
          <cell r="G8763"/>
          <cell r="H8763"/>
          <cell r="I8763"/>
          <cell r="J8763"/>
          <cell r="L8763"/>
        </row>
        <row r="8764">
          <cell r="A8764"/>
          <cell r="D8764"/>
          <cell r="E8764"/>
          <cell r="F8764"/>
          <cell r="G8764"/>
          <cell r="H8764"/>
          <cell r="I8764"/>
          <cell r="J8764"/>
          <cell r="L8764"/>
        </row>
        <row r="8765">
          <cell r="A8765"/>
          <cell r="D8765"/>
          <cell r="E8765"/>
          <cell r="F8765"/>
          <cell r="G8765"/>
          <cell r="H8765"/>
          <cell r="I8765"/>
          <cell r="J8765"/>
          <cell r="L8765"/>
        </row>
        <row r="8766">
          <cell r="A8766"/>
          <cell r="D8766"/>
          <cell r="E8766"/>
          <cell r="F8766"/>
          <cell r="G8766"/>
          <cell r="H8766"/>
          <cell r="I8766"/>
          <cell r="J8766"/>
          <cell r="L8766"/>
        </row>
        <row r="8767">
          <cell r="A8767"/>
          <cell r="D8767"/>
          <cell r="E8767"/>
          <cell r="F8767"/>
          <cell r="G8767"/>
          <cell r="H8767"/>
          <cell r="I8767"/>
          <cell r="J8767"/>
          <cell r="L8767"/>
        </row>
        <row r="8768">
          <cell r="A8768"/>
          <cell r="D8768"/>
          <cell r="E8768"/>
          <cell r="F8768"/>
          <cell r="G8768"/>
          <cell r="H8768"/>
          <cell r="I8768"/>
          <cell r="J8768"/>
          <cell r="L8768"/>
        </row>
        <row r="8769">
          <cell r="A8769"/>
          <cell r="D8769"/>
          <cell r="E8769"/>
          <cell r="F8769"/>
          <cell r="G8769"/>
          <cell r="H8769"/>
          <cell r="I8769"/>
          <cell r="J8769"/>
          <cell r="L8769"/>
        </row>
        <row r="8770">
          <cell r="A8770"/>
          <cell r="D8770"/>
          <cell r="E8770"/>
          <cell r="F8770"/>
          <cell r="G8770"/>
          <cell r="H8770"/>
          <cell r="I8770"/>
          <cell r="J8770"/>
          <cell r="L8770"/>
        </row>
        <row r="8771">
          <cell r="A8771"/>
          <cell r="D8771"/>
          <cell r="E8771"/>
          <cell r="F8771"/>
          <cell r="G8771"/>
          <cell r="H8771"/>
          <cell r="I8771"/>
          <cell r="J8771"/>
          <cell r="L8771"/>
        </row>
        <row r="8772">
          <cell r="A8772"/>
          <cell r="D8772"/>
          <cell r="E8772"/>
          <cell r="F8772"/>
          <cell r="G8772"/>
          <cell r="H8772"/>
          <cell r="I8772"/>
          <cell r="J8772"/>
          <cell r="L8772"/>
        </row>
        <row r="8773">
          <cell r="A8773"/>
          <cell r="D8773"/>
          <cell r="E8773"/>
          <cell r="F8773"/>
          <cell r="G8773"/>
          <cell r="H8773"/>
          <cell r="I8773"/>
          <cell r="J8773"/>
          <cell r="L8773"/>
        </row>
        <row r="8774">
          <cell r="A8774"/>
          <cell r="D8774"/>
          <cell r="E8774"/>
          <cell r="F8774"/>
          <cell r="G8774"/>
          <cell r="H8774"/>
          <cell r="I8774"/>
          <cell r="J8774"/>
          <cell r="L8774"/>
        </row>
        <row r="8775">
          <cell r="A8775"/>
          <cell r="D8775"/>
          <cell r="E8775"/>
          <cell r="F8775"/>
          <cell r="G8775"/>
          <cell r="H8775"/>
          <cell r="I8775"/>
          <cell r="J8775"/>
          <cell r="L8775"/>
        </row>
        <row r="8776">
          <cell r="A8776"/>
          <cell r="D8776"/>
          <cell r="E8776"/>
          <cell r="F8776"/>
          <cell r="G8776"/>
          <cell r="H8776"/>
          <cell r="I8776"/>
          <cell r="J8776"/>
          <cell r="L8776"/>
        </row>
        <row r="8777">
          <cell r="A8777"/>
          <cell r="D8777"/>
          <cell r="E8777"/>
          <cell r="F8777"/>
          <cell r="G8777"/>
          <cell r="H8777"/>
          <cell r="I8777"/>
          <cell r="J8777"/>
          <cell r="L8777"/>
        </row>
        <row r="8778">
          <cell r="A8778"/>
          <cell r="D8778"/>
          <cell r="E8778"/>
          <cell r="F8778"/>
          <cell r="G8778"/>
          <cell r="H8778"/>
          <cell r="I8778"/>
          <cell r="J8778"/>
          <cell r="L8778"/>
        </row>
        <row r="8779">
          <cell r="A8779"/>
          <cell r="D8779"/>
          <cell r="E8779"/>
          <cell r="F8779"/>
          <cell r="G8779"/>
          <cell r="H8779"/>
          <cell r="I8779"/>
          <cell r="J8779"/>
          <cell r="L8779"/>
        </row>
        <row r="8780">
          <cell r="A8780"/>
          <cell r="D8780"/>
          <cell r="E8780"/>
          <cell r="F8780"/>
          <cell r="G8780"/>
          <cell r="H8780"/>
          <cell r="I8780"/>
          <cell r="J8780"/>
          <cell r="L8780"/>
        </row>
        <row r="8781">
          <cell r="A8781"/>
          <cell r="D8781"/>
          <cell r="E8781"/>
          <cell r="F8781"/>
          <cell r="G8781"/>
          <cell r="H8781"/>
          <cell r="I8781"/>
          <cell r="J8781"/>
          <cell r="L8781"/>
        </row>
        <row r="8782">
          <cell r="A8782"/>
          <cell r="D8782"/>
          <cell r="E8782"/>
          <cell r="F8782"/>
          <cell r="G8782"/>
          <cell r="H8782"/>
          <cell r="I8782"/>
          <cell r="J8782"/>
          <cell r="L8782"/>
        </row>
        <row r="8783">
          <cell r="A8783"/>
          <cell r="D8783"/>
          <cell r="E8783"/>
          <cell r="F8783"/>
          <cell r="G8783"/>
          <cell r="H8783"/>
          <cell r="I8783"/>
          <cell r="J8783"/>
          <cell r="L8783"/>
        </row>
        <row r="8784">
          <cell r="A8784"/>
          <cell r="D8784"/>
          <cell r="E8784"/>
          <cell r="F8784"/>
          <cell r="G8784"/>
          <cell r="H8784"/>
          <cell r="I8784"/>
          <cell r="J8784"/>
          <cell r="L8784"/>
        </row>
        <row r="8785">
          <cell r="A8785"/>
          <cell r="D8785"/>
          <cell r="E8785"/>
          <cell r="F8785"/>
          <cell r="G8785"/>
          <cell r="H8785"/>
          <cell r="I8785"/>
          <cell r="J8785"/>
          <cell r="L8785"/>
        </row>
        <row r="8786">
          <cell r="A8786"/>
          <cell r="D8786"/>
          <cell r="E8786"/>
          <cell r="F8786"/>
          <cell r="G8786"/>
          <cell r="H8786"/>
          <cell r="I8786"/>
          <cell r="J8786"/>
          <cell r="L8786"/>
        </row>
        <row r="8787">
          <cell r="A8787"/>
          <cell r="D8787"/>
          <cell r="E8787"/>
          <cell r="F8787"/>
          <cell r="G8787"/>
          <cell r="H8787"/>
          <cell r="I8787"/>
          <cell r="J8787"/>
          <cell r="L8787"/>
        </row>
        <row r="8788">
          <cell r="A8788"/>
          <cell r="D8788"/>
          <cell r="E8788"/>
          <cell r="F8788"/>
          <cell r="G8788"/>
          <cell r="H8788"/>
          <cell r="I8788"/>
          <cell r="J8788"/>
          <cell r="L8788"/>
        </row>
        <row r="8789">
          <cell r="A8789"/>
          <cell r="D8789"/>
          <cell r="E8789"/>
          <cell r="F8789"/>
          <cell r="G8789"/>
          <cell r="H8789"/>
          <cell r="I8789"/>
          <cell r="J8789"/>
          <cell r="L8789"/>
        </row>
        <row r="8790">
          <cell r="A8790"/>
          <cell r="D8790"/>
          <cell r="E8790"/>
          <cell r="F8790"/>
          <cell r="G8790"/>
          <cell r="H8790"/>
          <cell r="I8790"/>
          <cell r="J8790"/>
          <cell r="L8790"/>
        </row>
        <row r="8791">
          <cell r="A8791"/>
          <cell r="D8791"/>
          <cell r="E8791"/>
          <cell r="F8791"/>
          <cell r="G8791"/>
          <cell r="H8791"/>
          <cell r="I8791"/>
          <cell r="J8791"/>
          <cell r="L8791"/>
        </row>
        <row r="8792">
          <cell r="A8792"/>
          <cell r="D8792"/>
          <cell r="E8792"/>
          <cell r="F8792"/>
          <cell r="G8792"/>
          <cell r="H8792"/>
          <cell r="I8792"/>
          <cell r="J8792"/>
          <cell r="L8792"/>
        </row>
        <row r="8793">
          <cell r="A8793"/>
          <cell r="D8793"/>
          <cell r="E8793"/>
          <cell r="F8793"/>
          <cell r="G8793"/>
          <cell r="H8793"/>
          <cell r="I8793"/>
          <cell r="J8793"/>
          <cell r="L8793"/>
        </row>
        <row r="8794">
          <cell r="A8794"/>
          <cell r="D8794"/>
          <cell r="E8794"/>
          <cell r="F8794"/>
          <cell r="G8794"/>
          <cell r="H8794"/>
          <cell r="I8794"/>
          <cell r="J8794"/>
          <cell r="L8794"/>
        </row>
        <row r="8795">
          <cell r="A8795"/>
          <cell r="D8795"/>
          <cell r="E8795"/>
          <cell r="F8795"/>
          <cell r="G8795"/>
          <cell r="H8795"/>
          <cell r="I8795"/>
          <cell r="J8795"/>
          <cell r="L8795"/>
        </row>
        <row r="8796">
          <cell r="A8796"/>
          <cell r="D8796"/>
          <cell r="E8796"/>
          <cell r="F8796"/>
          <cell r="G8796"/>
          <cell r="H8796"/>
          <cell r="I8796"/>
          <cell r="J8796"/>
          <cell r="L8796"/>
        </row>
        <row r="8797">
          <cell r="A8797"/>
          <cell r="D8797"/>
          <cell r="E8797"/>
          <cell r="F8797"/>
          <cell r="G8797"/>
          <cell r="H8797"/>
          <cell r="I8797"/>
          <cell r="J8797"/>
          <cell r="L8797"/>
        </row>
        <row r="8798">
          <cell r="A8798"/>
          <cell r="D8798"/>
          <cell r="E8798"/>
          <cell r="F8798"/>
          <cell r="G8798"/>
          <cell r="H8798"/>
          <cell r="I8798"/>
          <cell r="J8798"/>
          <cell r="L8798"/>
        </row>
        <row r="8799">
          <cell r="A8799"/>
          <cell r="D8799"/>
          <cell r="E8799"/>
          <cell r="F8799"/>
          <cell r="G8799"/>
          <cell r="H8799"/>
          <cell r="I8799"/>
          <cell r="J8799"/>
          <cell r="L8799"/>
        </row>
        <row r="8800">
          <cell r="A8800"/>
          <cell r="D8800"/>
          <cell r="E8800"/>
          <cell r="F8800"/>
          <cell r="G8800"/>
          <cell r="H8800"/>
          <cell r="I8800"/>
          <cell r="J8800"/>
          <cell r="L8800"/>
        </row>
        <row r="8801">
          <cell r="A8801"/>
          <cell r="D8801"/>
          <cell r="E8801"/>
          <cell r="F8801"/>
          <cell r="G8801"/>
          <cell r="H8801"/>
          <cell r="I8801"/>
          <cell r="J8801"/>
          <cell r="L8801"/>
        </row>
        <row r="8802">
          <cell r="A8802"/>
          <cell r="D8802"/>
          <cell r="E8802"/>
          <cell r="F8802"/>
          <cell r="G8802"/>
          <cell r="H8802"/>
          <cell r="I8802"/>
          <cell r="J8802"/>
          <cell r="L8802"/>
        </row>
        <row r="8803">
          <cell r="A8803"/>
          <cell r="D8803"/>
          <cell r="E8803"/>
          <cell r="F8803"/>
          <cell r="G8803"/>
          <cell r="H8803"/>
          <cell r="I8803"/>
          <cell r="J8803"/>
          <cell r="L8803"/>
        </row>
        <row r="8804">
          <cell r="A8804"/>
          <cell r="D8804"/>
          <cell r="E8804"/>
          <cell r="F8804"/>
          <cell r="G8804"/>
          <cell r="H8804"/>
          <cell r="I8804"/>
          <cell r="J8804"/>
          <cell r="L8804"/>
        </row>
        <row r="8805">
          <cell r="A8805"/>
          <cell r="D8805"/>
          <cell r="E8805"/>
          <cell r="F8805"/>
          <cell r="G8805"/>
          <cell r="H8805"/>
          <cell r="I8805"/>
          <cell r="J8805"/>
          <cell r="L8805"/>
        </row>
        <row r="8806">
          <cell r="A8806"/>
          <cell r="D8806"/>
          <cell r="E8806"/>
          <cell r="F8806"/>
          <cell r="G8806"/>
          <cell r="H8806"/>
          <cell r="I8806"/>
          <cell r="J8806"/>
          <cell r="L8806"/>
        </row>
        <row r="8807">
          <cell r="A8807"/>
          <cell r="D8807"/>
          <cell r="E8807"/>
          <cell r="F8807"/>
          <cell r="G8807"/>
          <cell r="H8807"/>
          <cell r="I8807"/>
          <cell r="J8807"/>
          <cell r="L8807"/>
        </row>
        <row r="8808">
          <cell r="A8808"/>
          <cell r="D8808"/>
          <cell r="E8808"/>
          <cell r="F8808"/>
          <cell r="G8808"/>
          <cell r="H8808"/>
          <cell r="I8808"/>
          <cell r="J8808"/>
          <cell r="L8808"/>
        </row>
        <row r="8809">
          <cell r="A8809"/>
          <cell r="D8809"/>
          <cell r="E8809"/>
          <cell r="F8809"/>
          <cell r="G8809"/>
          <cell r="H8809"/>
          <cell r="I8809"/>
          <cell r="J8809"/>
          <cell r="L8809"/>
        </row>
        <row r="8810">
          <cell r="A8810"/>
          <cell r="D8810"/>
          <cell r="E8810"/>
          <cell r="F8810"/>
          <cell r="G8810"/>
          <cell r="H8810"/>
          <cell r="I8810"/>
          <cell r="J8810"/>
          <cell r="L8810"/>
        </row>
        <row r="8811">
          <cell r="A8811"/>
          <cell r="D8811"/>
          <cell r="E8811"/>
          <cell r="F8811"/>
          <cell r="G8811"/>
          <cell r="H8811"/>
          <cell r="I8811"/>
          <cell r="J8811"/>
          <cell r="L8811"/>
        </row>
        <row r="8812">
          <cell r="A8812"/>
          <cell r="D8812"/>
          <cell r="E8812"/>
          <cell r="F8812"/>
          <cell r="G8812"/>
          <cell r="H8812"/>
          <cell r="I8812"/>
          <cell r="J8812"/>
          <cell r="L8812"/>
        </row>
        <row r="8813">
          <cell r="A8813"/>
          <cell r="D8813"/>
          <cell r="E8813"/>
          <cell r="F8813"/>
          <cell r="G8813"/>
          <cell r="H8813"/>
          <cell r="I8813"/>
          <cell r="J8813"/>
          <cell r="L8813"/>
        </row>
        <row r="8814">
          <cell r="A8814"/>
          <cell r="D8814"/>
          <cell r="E8814"/>
          <cell r="F8814"/>
          <cell r="G8814"/>
          <cell r="H8814"/>
          <cell r="I8814"/>
          <cell r="J8814"/>
          <cell r="L8814"/>
        </row>
        <row r="8815">
          <cell r="A8815"/>
          <cell r="D8815"/>
          <cell r="E8815"/>
          <cell r="F8815"/>
          <cell r="G8815"/>
          <cell r="H8815"/>
          <cell r="I8815"/>
          <cell r="J8815"/>
          <cell r="L8815"/>
        </row>
        <row r="8816">
          <cell r="A8816"/>
          <cell r="D8816"/>
          <cell r="E8816"/>
          <cell r="F8816"/>
          <cell r="G8816"/>
          <cell r="H8816"/>
          <cell r="I8816"/>
          <cell r="J8816"/>
          <cell r="L8816"/>
        </row>
        <row r="8817">
          <cell r="A8817"/>
          <cell r="D8817"/>
          <cell r="E8817"/>
          <cell r="F8817"/>
          <cell r="G8817"/>
          <cell r="H8817"/>
          <cell r="I8817"/>
          <cell r="J8817"/>
          <cell r="L8817"/>
        </row>
        <row r="8818">
          <cell r="A8818"/>
          <cell r="D8818"/>
          <cell r="E8818"/>
          <cell r="F8818"/>
          <cell r="G8818"/>
          <cell r="H8818"/>
          <cell r="I8818"/>
          <cell r="J8818"/>
          <cell r="L8818"/>
        </row>
        <row r="8819">
          <cell r="A8819"/>
          <cell r="D8819"/>
          <cell r="E8819"/>
          <cell r="F8819"/>
          <cell r="G8819"/>
          <cell r="H8819"/>
          <cell r="I8819"/>
          <cell r="J8819"/>
          <cell r="L8819"/>
        </row>
        <row r="8820">
          <cell r="A8820"/>
          <cell r="D8820"/>
          <cell r="E8820"/>
          <cell r="F8820"/>
          <cell r="G8820"/>
          <cell r="H8820"/>
          <cell r="I8820"/>
          <cell r="J8820"/>
          <cell r="L8820"/>
        </row>
        <row r="8821">
          <cell r="A8821"/>
          <cell r="D8821"/>
          <cell r="E8821"/>
          <cell r="F8821"/>
          <cell r="G8821"/>
          <cell r="H8821"/>
          <cell r="I8821"/>
          <cell r="J8821"/>
          <cell r="L8821"/>
        </row>
        <row r="8822">
          <cell r="A8822"/>
          <cell r="D8822"/>
          <cell r="E8822"/>
          <cell r="F8822"/>
          <cell r="G8822"/>
          <cell r="H8822"/>
          <cell r="I8822"/>
          <cell r="J8822"/>
          <cell r="L8822"/>
        </row>
        <row r="8823">
          <cell r="A8823"/>
          <cell r="D8823"/>
          <cell r="E8823"/>
          <cell r="F8823"/>
          <cell r="G8823"/>
          <cell r="H8823"/>
          <cell r="I8823"/>
          <cell r="J8823"/>
          <cell r="L8823"/>
        </row>
        <row r="8824">
          <cell r="A8824"/>
          <cell r="D8824"/>
          <cell r="E8824"/>
          <cell r="F8824"/>
          <cell r="G8824"/>
          <cell r="H8824"/>
          <cell r="I8824"/>
          <cell r="J8824"/>
          <cell r="L8824"/>
        </row>
        <row r="8825">
          <cell r="A8825"/>
          <cell r="D8825"/>
          <cell r="E8825"/>
          <cell r="F8825"/>
          <cell r="G8825"/>
          <cell r="H8825"/>
          <cell r="I8825"/>
          <cell r="J8825"/>
          <cell r="L8825"/>
        </row>
        <row r="8826">
          <cell r="A8826"/>
          <cell r="D8826"/>
          <cell r="E8826"/>
          <cell r="F8826"/>
          <cell r="G8826"/>
          <cell r="H8826"/>
          <cell r="I8826"/>
          <cell r="J8826"/>
          <cell r="L8826"/>
        </row>
        <row r="8827">
          <cell r="A8827"/>
          <cell r="D8827"/>
          <cell r="E8827"/>
          <cell r="F8827"/>
          <cell r="G8827"/>
          <cell r="H8827"/>
          <cell r="I8827"/>
          <cell r="J8827"/>
          <cell r="L8827"/>
        </row>
        <row r="8828">
          <cell r="A8828"/>
          <cell r="D8828"/>
          <cell r="E8828"/>
          <cell r="F8828"/>
          <cell r="G8828"/>
          <cell r="H8828"/>
          <cell r="I8828"/>
          <cell r="J8828"/>
          <cell r="L8828"/>
        </row>
        <row r="8829">
          <cell r="A8829"/>
          <cell r="D8829"/>
          <cell r="E8829"/>
          <cell r="F8829"/>
          <cell r="G8829"/>
          <cell r="H8829"/>
          <cell r="I8829"/>
          <cell r="J8829"/>
          <cell r="L8829"/>
        </row>
        <row r="8830">
          <cell r="A8830"/>
          <cell r="D8830"/>
          <cell r="E8830"/>
          <cell r="F8830"/>
          <cell r="G8830"/>
          <cell r="H8830"/>
          <cell r="I8830"/>
          <cell r="J8830"/>
          <cell r="L8830"/>
        </row>
        <row r="8831">
          <cell r="A8831"/>
          <cell r="D8831"/>
          <cell r="E8831"/>
          <cell r="F8831"/>
          <cell r="G8831"/>
          <cell r="H8831"/>
          <cell r="I8831"/>
          <cell r="J8831"/>
          <cell r="L8831"/>
        </row>
        <row r="8832">
          <cell r="A8832"/>
          <cell r="D8832"/>
          <cell r="E8832"/>
          <cell r="F8832"/>
          <cell r="G8832"/>
          <cell r="H8832"/>
          <cell r="I8832"/>
          <cell r="J8832"/>
          <cell r="L8832"/>
        </row>
        <row r="8833">
          <cell r="A8833"/>
          <cell r="D8833"/>
          <cell r="E8833"/>
          <cell r="F8833"/>
          <cell r="G8833"/>
          <cell r="H8833"/>
          <cell r="I8833"/>
          <cell r="J8833"/>
          <cell r="L8833"/>
        </row>
        <row r="8834">
          <cell r="A8834"/>
          <cell r="D8834"/>
          <cell r="E8834"/>
          <cell r="F8834"/>
          <cell r="G8834"/>
          <cell r="H8834"/>
          <cell r="I8834"/>
          <cell r="J8834"/>
          <cell r="L8834"/>
        </row>
        <row r="8835">
          <cell r="A8835"/>
          <cell r="D8835"/>
          <cell r="E8835"/>
          <cell r="F8835"/>
          <cell r="G8835"/>
          <cell r="H8835"/>
          <cell r="I8835"/>
          <cell r="J8835"/>
          <cell r="L8835"/>
        </row>
        <row r="8836">
          <cell r="A8836"/>
          <cell r="D8836"/>
          <cell r="E8836"/>
          <cell r="F8836"/>
          <cell r="G8836"/>
          <cell r="H8836"/>
          <cell r="I8836"/>
          <cell r="J8836"/>
          <cell r="L8836"/>
        </row>
        <row r="8837">
          <cell r="A8837"/>
          <cell r="D8837"/>
          <cell r="E8837"/>
          <cell r="F8837"/>
          <cell r="G8837"/>
          <cell r="H8837"/>
          <cell r="I8837"/>
          <cell r="J8837"/>
          <cell r="L8837"/>
        </row>
        <row r="8838">
          <cell r="A8838"/>
          <cell r="D8838"/>
          <cell r="E8838"/>
          <cell r="F8838"/>
          <cell r="G8838"/>
          <cell r="H8838"/>
          <cell r="I8838"/>
          <cell r="J8838"/>
          <cell r="L8838"/>
        </row>
        <row r="8839">
          <cell r="A8839"/>
          <cell r="D8839"/>
          <cell r="E8839"/>
          <cell r="F8839"/>
          <cell r="G8839"/>
          <cell r="H8839"/>
          <cell r="I8839"/>
          <cell r="J8839"/>
          <cell r="L8839"/>
        </row>
        <row r="8840">
          <cell r="A8840"/>
          <cell r="D8840"/>
          <cell r="E8840"/>
          <cell r="F8840"/>
          <cell r="G8840"/>
          <cell r="H8840"/>
          <cell r="I8840"/>
          <cell r="J8840"/>
          <cell r="L8840"/>
        </row>
        <row r="8841">
          <cell r="A8841"/>
          <cell r="D8841"/>
          <cell r="E8841"/>
          <cell r="F8841"/>
          <cell r="G8841"/>
          <cell r="H8841"/>
          <cell r="I8841"/>
          <cell r="J8841"/>
          <cell r="L8841"/>
        </row>
        <row r="8842">
          <cell r="A8842"/>
          <cell r="D8842"/>
          <cell r="E8842"/>
          <cell r="F8842"/>
          <cell r="G8842"/>
          <cell r="H8842"/>
          <cell r="I8842"/>
          <cell r="J8842"/>
          <cell r="L8842"/>
        </row>
        <row r="8843">
          <cell r="A8843"/>
          <cell r="D8843"/>
          <cell r="E8843"/>
          <cell r="F8843"/>
          <cell r="G8843"/>
          <cell r="H8843"/>
          <cell r="I8843"/>
          <cell r="J8843"/>
          <cell r="L8843"/>
        </row>
        <row r="8844">
          <cell r="A8844"/>
          <cell r="D8844"/>
          <cell r="E8844"/>
          <cell r="F8844"/>
          <cell r="G8844"/>
          <cell r="H8844"/>
          <cell r="I8844"/>
          <cell r="J8844"/>
          <cell r="L8844"/>
        </row>
        <row r="8845">
          <cell r="A8845"/>
          <cell r="D8845"/>
          <cell r="E8845"/>
          <cell r="F8845"/>
          <cell r="G8845"/>
          <cell r="H8845"/>
          <cell r="I8845"/>
          <cell r="J8845"/>
          <cell r="L8845"/>
        </row>
        <row r="8846">
          <cell r="A8846"/>
          <cell r="D8846"/>
          <cell r="E8846"/>
          <cell r="F8846"/>
          <cell r="G8846"/>
          <cell r="H8846"/>
          <cell r="I8846"/>
          <cell r="J8846"/>
          <cell r="L8846"/>
        </row>
        <row r="8847">
          <cell r="A8847"/>
          <cell r="D8847"/>
          <cell r="E8847"/>
          <cell r="F8847"/>
          <cell r="G8847"/>
          <cell r="H8847"/>
          <cell r="I8847"/>
          <cell r="J8847"/>
          <cell r="L8847"/>
        </row>
        <row r="8848">
          <cell r="A8848"/>
          <cell r="D8848"/>
          <cell r="E8848"/>
          <cell r="F8848"/>
          <cell r="G8848"/>
          <cell r="H8848"/>
          <cell r="I8848"/>
          <cell r="J8848"/>
          <cell r="L8848"/>
        </row>
        <row r="8849">
          <cell r="A8849"/>
          <cell r="D8849"/>
          <cell r="E8849"/>
          <cell r="F8849"/>
          <cell r="G8849"/>
          <cell r="H8849"/>
          <cell r="I8849"/>
          <cell r="J8849"/>
          <cell r="L8849"/>
        </row>
        <row r="8850">
          <cell r="A8850"/>
          <cell r="D8850"/>
          <cell r="E8850"/>
          <cell r="F8850"/>
          <cell r="G8850"/>
          <cell r="H8850"/>
          <cell r="I8850"/>
          <cell r="J8850"/>
          <cell r="L8850"/>
        </row>
        <row r="8851">
          <cell r="A8851"/>
          <cell r="D8851"/>
          <cell r="E8851"/>
          <cell r="F8851"/>
          <cell r="G8851"/>
          <cell r="H8851"/>
          <cell r="I8851"/>
          <cell r="J8851"/>
          <cell r="L8851"/>
        </row>
        <row r="8852">
          <cell r="A8852"/>
          <cell r="D8852"/>
          <cell r="E8852"/>
          <cell r="F8852"/>
          <cell r="G8852"/>
          <cell r="H8852"/>
          <cell r="I8852"/>
          <cell r="J8852"/>
          <cell r="L8852"/>
        </row>
        <row r="8853">
          <cell r="A8853"/>
          <cell r="D8853"/>
          <cell r="E8853"/>
          <cell r="F8853"/>
          <cell r="G8853"/>
          <cell r="H8853"/>
          <cell r="I8853"/>
          <cell r="J8853"/>
          <cell r="L8853"/>
        </row>
        <row r="8854">
          <cell r="A8854"/>
          <cell r="D8854"/>
          <cell r="E8854"/>
          <cell r="F8854"/>
          <cell r="G8854"/>
          <cell r="H8854"/>
          <cell r="I8854"/>
          <cell r="J8854"/>
          <cell r="L8854"/>
        </row>
        <row r="8855">
          <cell r="A8855"/>
          <cell r="D8855"/>
          <cell r="E8855"/>
          <cell r="F8855"/>
          <cell r="G8855"/>
          <cell r="H8855"/>
          <cell r="I8855"/>
          <cell r="J8855"/>
          <cell r="L8855"/>
        </row>
        <row r="8856">
          <cell r="A8856"/>
          <cell r="D8856"/>
          <cell r="E8856"/>
          <cell r="F8856"/>
          <cell r="G8856"/>
          <cell r="H8856"/>
          <cell r="I8856"/>
          <cell r="J8856"/>
          <cell r="L8856"/>
        </row>
        <row r="8857">
          <cell r="A8857"/>
          <cell r="D8857"/>
          <cell r="E8857"/>
          <cell r="F8857"/>
          <cell r="G8857"/>
          <cell r="H8857"/>
          <cell r="I8857"/>
          <cell r="J8857"/>
          <cell r="L8857"/>
        </row>
        <row r="8858">
          <cell r="A8858"/>
          <cell r="D8858"/>
          <cell r="E8858"/>
          <cell r="F8858"/>
          <cell r="G8858"/>
          <cell r="H8858"/>
          <cell r="I8858"/>
          <cell r="J8858"/>
          <cell r="L8858"/>
        </row>
        <row r="8859">
          <cell r="A8859"/>
          <cell r="D8859"/>
          <cell r="E8859"/>
          <cell r="F8859"/>
          <cell r="G8859"/>
          <cell r="H8859"/>
          <cell r="I8859"/>
          <cell r="J8859"/>
          <cell r="L8859"/>
        </row>
        <row r="8860">
          <cell r="A8860"/>
          <cell r="D8860"/>
          <cell r="E8860"/>
          <cell r="F8860"/>
          <cell r="G8860"/>
          <cell r="H8860"/>
          <cell r="I8860"/>
          <cell r="J8860"/>
          <cell r="L8860"/>
        </row>
        <row r="8861">
          <cell r="A8861"/>
          <cell r="D8861"/>
          <cell r="E8861"/>
          <cell r="F8861"/>
          <cell r="G8861"/>
          <cell r="H8861"/>
          <cell r="I8861"/>
          <cell r="J8861"/>
          <cell r="L8861"/>
        </row>
        <row r="8862">
          <cell r="A8862"/>
          <cell r="D8862"/>
          <cell r="E8862"/>
          <cell r="F8862"/>
          <cell r="G8862"/>
          <cell r="H8862"/>
          <cell r="I8862"/>
          <cell r="J8862"/>
          <cell r="L8862"/>
        </row>
        <row r="8863">
          <cell r="A8863"/>
          <cell r="D8863"/>
          <cell r="E8863"/>
          <cell r="F8863"/>
          <cell r="G8863"/>
          <cell r="H8863"/>
          <cell r="I8863"/>
          <cell r="J8863"/>
          <cell r="L8863"/>
        </row>
        <row r="8864">
          <cell r="A8864"/>
          <cell r="D8864"/>
          <cell r="E8864"/>
          <cell r="F8864"/>
          <cell r="G8864"/>
          <cell r="H8864"/>
          <cell r="I8864"/>
          <cell r="J8864"/>
          <cell r="L8864"/>
        </row>
        <row r="8865">
          <cell r="A8865"/>
          <cell r="D8865"/>
          <cell r="E8865"/>
          <cell r="F8865"/>
          <cell r="G8865"/>
          <cell r="H8865"/>
          <cell r="I8865"/>
          <cell r="J8865"/>
          <cell r="L8865"/>
        </row>
        <row r="8866">
          <cell r="A8866"/>
          <cell r="D8866"/>
          <cell r="E8866"/>
          <cell r="F8866"/>
          <cell r="G8866"/>
          <cell r="H8866"/>
          <cell r="I8866"/>
          <cell r="J8866"/>
          <cell r="L8866"/>
        </row>
        <row r="8867">
          <cell r="A8867"/>
          <cell r="D8867"/>
          <cell r="E8867"/>
          <cell r="F8867"/>
          <cell r="G8867"/>
          <cell r="H8867"/>
          <cell r="I8867"/>
          <cell r="J8867"/>
          <cell r="L8867"/>
        </row>
        <row r="8868">
          <cell r="A8868"/>
          <cell r="D8868"/>
          <cell r="E8868"/>
          <cell r="F8868"/>
          <cell r="G8868"/>
          <cell r="H8868"/>
          <cell r="I8868"/>
          <cell r="J8868"/>
          <cell r="L8868"/>
        </row>
        <row r="8869">
          <cell r="A8869"/>
          <cell r="D8869"/>
          <cell r="E8869"/>
          <cell r="F8869"/>
          <cell r="G8869"/>
          <cell r="H8869"/>
          <cell r="I8869"/>
          <cell r="J8869"/>
          <cell r="L8869"/>
        </row>
        <row r="8870">
          <cell r="A8870"/>
          <cell r="D8870"/>
          <cell r="E8870"/>
          <cell r="F8870"/>
          <cell r="G8870"/>
          <cell r="H8870"/>
          <cell r="I8870"/>
          <cell r="J8870"/>
          <cell r="L8870"/>
        </row>
        <row r="8871">
          <cell r="A8871"/>
          <cell r="D8871"/>
          <cell r="E8871"/>
          <cell r="F8871"/>
          <cell r="G8871"/>
          <cell r="H8871"/>
          <cell r="I8871"/>
          <cell r="J8871"/>
          <cell r="L8871"/>
        </row>
        <row r="8872">
          <cell r="A8872"/>
          <cell r="D8872"/>
          <cell r="E8872"/>
          <cell r="F8872"/>
          <cell r="G8872"/>
          <cell r="H8872"/>
          <cell r="I8872"/>
          <cell r="J8872"/>
          <cell r="L8872"/>
        </row>
        <row r="8873">
          <cell r="A8873"/>
          <cell r="D8873"/>
          <cell r="E8873"/>
          <cell r="F8873"/>
          <cell r="G8873"/>
          <cell r="H8873"/>
          <cell r="I8873"/>
          <cell r="J8873"/>
          <cell r="L8873"/>
        </row>
        <row r="8874">
          <cell r="A8874"/>
          <cell r="D8874"/>
          <cell r="E8874"/>
          <cell r="F8874"/>
          <cell r="G8874"/>
          <cell r="H8874"/>
          <cell r="I8874"/>
          <cell r="J8874"/>
          <cell r="L8874"/>
        </row>
        <row r="8875">
          <cell r="A8875"/>
          <cell r="D8875"/>
          <cell r="E8875"/>
          <cell r="F8875"/>
          <cell r="G8875"/>
          <cell r="H8875"/>
          <cell r="I8875"/>
          <cell r="J8875"/>
          <cell r="L8875"/>
        </row>
        <row r="8876">
          <cell r="A8876"/>
          <cell r="D8876"/>
          <cell r="E8876"/>
          <cell r="F8876"/>
          <cell r="G8876"/>
          <cell r="H8876"/>
          <cell r="I8876"/>
          <cell r="J8876"/>
          <cell r="L8876"/>
        </row>
        <row r="8877">
          <cell r="A8877"/>
          <cell r="D8877"/>
          <cell r="E8877"/>
          <cell r="F8877"/>
          <cell r="G8877"/>
          <cell r="H8877"/>
          <cell r="I8877"/>
          <cell r="J8877"/>
          <cell r="L8877"/>
        </row>
        <row r="8878">
          <cell r="A8878"/>
          <cell r="D8878"/>
          <cell r="E8878"/>
          <cell r="F8878"/>
          <cell r="G8878"/>
          <cell r="H8878"/>
          <cell r="I8878"/>
          <cell r="J8878"/>
          <cell r="L8878"/>
        </row>
        <row r="8879">
          <cell r="A8879"/>
          <cell r="D8879"/>
          <cell r="E8879"/>
          <cell r="F8879"/>
          <cell r="G8879"/>
          <cell r="H8879"/>
          <cell r="I8879"/>
          <cell r="J8879"/>
          <cell r="L8879"/>
        </row>
        <row r="8880">
          <cell r="A8880"/>
          <cell r="D8880"/>
          <cell r="E8880"/>
          <cell r="F8880"/>
          <cell r="G8880"/>
          <cell r="H8880"/>
          <cell r="I8880"/>
          <cell r="J8880"/>
          <cell r="L8880"/>
        </row>
        <row r="8881">
          <cell r="A8881"/>
          <cell r="D8881"/>
          <cell r="E8881"/>
          <cell r="F8881"/>
          <cell r="G8881"/>
          <cell r="H8881"/>
          <cell r="I8881"/>
          <cell r="J8881"/>
          <cell r="L8881"/>
        </row>
        <row r="8882">
          <cell r="A8882"/>
          <cell r="D8882"/>
          <cell r="E8882"/>
          <cell r="F8882"/>
          <cell r="G8882"/>
          <cell r="H8882"/>
          <cell r="I8882"/>
          <cell r="J8882"/>
          <cell r="L8882"/>
        </row>
        <row r="8883">
          <cell r="A8883"/>
          <cell r="D8883"/>
          <cell r="E8883"/>
          <cell r="F8883"/>
          <cell r="G8883"/>
          <cell r="H8883"/>
          <cell r="I8883"/>
          <cell r="J8883"/>
          <cell r="L8883"/>
        </row>
        <row r="8884">
          <cell r="A8884"/>
          <cell r="D8884"/>
          <cell r="E8884"/>
          <cell r="F8884"/>
          <cell r="G8884"/>
          <cell r="H8884"/>
          <cell r="I8884"/>
          <cell r="J8884"/>
          <cell r="L8884"/>
        </row>
        <row r="8885">
          <cell r="A8885"/>
          <cell r="D8885"/>
          <cell r="E8885"/>
          <cell r="F8885"/>
          <cell r="G8885"/>
          <cell r="H8885"/>
          <cell r="I8885"/>
          <cell r="J8885"/>
          <cell r="L8885"/>
        </row>
        <row r="8886">
          <cell r="A8886"/>
          <cell r="D8886"/>
          <cell r="E8886"/>
          <cell r="F8886"/>
          <cell r="G8886"/>
          <cell r="H8886"/>
          <cell r="I8886"/>
          <cell r="J8886"/>
          <cell r="L8886"/>
        </row>
        <row r="8887">
          <cell r="A8887"/>
          <cell r="D8887"/>
          <cell r="E8887"/>
          <cell r="F8887"/>
          <cell r="G8887"/>
          <cell r="H8887"/>
          <cell r="I8887"/>
          <cell r="J8887"/>
          <cell r="L8887"/>
        </row>
        <row r="8888">
          <cell r="A8888"/>
          <cell r="D8888"/>
          <cell r="E8888"/>
          <cell r="F8888"/>
          <cell r="G8888"/>
          <cell r="H8888"/>
          <cell r="I8888"/>
          <cell r="J8888"/>
          <cell r="L8888"/>
        </row>
        <row r="8889">
          <cell r="A8889"/>
          <cell r="D8889"/>
          <cell r="E8889"/>
          <cell r="F8889"/>
          <cell r="G8889"/>
          <cell r="H8889"/>
          <cell r="I8889"/>
          <cell r="J8889"/>
          <cell r="L8889"/>
        </row>
        <row r="8890">
          <cell r="A8890"/>
          <cell r="D8890"/>
          <cell r="E8890"/>
          <cell r="F8890"/>
          <cell r="G8890"/>
          <cell r="H8890"/>
          <cell r="I8890"/>
          <cell r="J8890"/>
          <cell r="L8890"/>
        </row>
        <row r="8891">
          <cell r="A8891"/>
          <cell r="D8891"/>
          <cell r="E8891"/>
          <cell r="F8891"/>
          <cell r="G8891"/>
          <cell r="H8891"/>
          <cell r="I8891"/>
          <cell r="J8891"/>
          <cell r="L8891"/>
        </row>
        <row r="8892">
          <cell r="A8892"/>
          <cell r="D8892"/>
          <cell r="E8892"/>
          <cell r="F8892"/>
          <cell r="G8892"/>
          <cell r="H8892"/>
          <cell r="I8892"/>
          <cell r="J8892"/>
          <cell r="L8892"/>
        </row>
        <row r="8893">
          <cell r="A8893"/>
          <cell r="D8893"/>
          <cell r="E8893"/>
          <cell r="F8893"/>
          <cell r="G8893"/>
          <cell r="H8893"/>
          <cell r="I8893"/>
          <cell r="J8893"/>
          <cell r="L8893"/>
        </row>
        <row r="8894">
          <cell r="A8894"/>
          <cell r="D8894"/>
          <cell r="E8894"/>
          <cell r="F8894"/>
          <cell r="G8894"/>
          <cell r="H8894"/>
          <cell r="I8894"/>
          <cell r="J8894"/>
          <cell r="L8894"/>
        </row>
        <row r="8895">
          <cell r="A8895"/>
          <cell r="D8895"/>
          <cell r="E8895"/>
          <cell r="F8895"/>
          <cell r="G8895"/>
          <cell r="H8895"/>
          <cell r="I8895"/>
          <cell r="J8895"/>
          <cell r="L8895"/>
        </row>
        <row r="8896">
          <cell r="A8896"/>
          <cell r="D8896"/>
          <cell r="E8896"/>
          <cell r="F8896"/>
          <cell r="G8896"/>
          <cell r="H8896"/>
          <cell r="I8896"/>
          <cell r="J8896"/>
          <cell r="L8896"/>
        </row>
        <row r="8897">
          <cell r="A8897"/>
          <cell r="D8897"/>
          <cell r="E8897"/>
          <cell r="F8897"/>
          <cell r="G8897"/>
          <cell r="H8897"/>
          <cell r="I8897"/>
          <cell r="J8897"/>
          <cell r="L8897"/>
        </row>
        <row r="8898">
          <cell r="A8898"/>
          <cell r="D8898"/>
          <cell r="E8898"/>
          <cell r="F8898"/>
          <cell r="G8898"/>
          <cell r="H8898"/>
          <cell r="I8898"/>
          <cell r="J8898"/>
          <cell r="L8898"/>
        </row>
        <row r="8899">
          <cell r="A8899"/>
          <cell r="D8899"/>
          <cell r="E8899"/>
          <cell r="F8899"/>
          <cell r="G8899"/>
          <cell r="H8899"/>
          <cell r="I8899"/>
          <cell r="J8899"/>
          <cell r="L8899"/>
        </row>
        <row r="8900">
          <cell r="A8900"/>
          <cell r="D8900"/>
          <cell r="E8900"/>
          <cell r="F8900"/>
          <cell r="G8900"/>
          <cell r="H8900"/>
          <cell r="I8900"/>
          <cell r="J8900"/>
          <cell r="L8900"/>
        </row>
        <row r="8901">
          <cell r="A8901"/>
          <cell r="D8901"/>
          <cell r="E8901"/>
          <cell r="F8901"/>
          <cell r="G8901"/>
          <cell r="H8901"/>
          <cell r="I8901"/>
          <cell r="J8901"/>
          <cell r="L8901"/>
        </row>
        <row r="8902">
          <cell r="A8902"/>
          <cell r="D8902"/>
          <cell r="E8902"/>
          <cell r="F8902"/>
          <cell r="G8902"/>
          <cell r="H8902"/>
          <cell r="I8902"/>
          <cell r="J8902"/>
          <cell r="L8902"/>
        </row>
        <row r="8903">
          <cell r="A8903"/>
          <cell r="D8903"/>
          <cell r="E8903"/>
          <cell r="F8903"/>
          <cell r="G8903"/>
          <cell r="H8903"/>
          <cell r="I8903"/>
          <cell r="J8903"/>
          <cell r="L8903"/>
        </row>
        <row r="8904">
          <cell r="A8904"/>
          <cell r="D8904"/>
          <cell r="E8904"/>
          <cell r="F8904"/>
          <cell r="G8904"/>
          <cell r="H8904"/>
          <cell r="I8904"/>
          <cell r="J8904"/>
          <cell r="L8904"/>
        </row>
        <row r="8905">
          <cell r="A8905"/>
          <cell r="D8905"/>
          <cell r="E8905"/>
          <cell r="F8905"/>
          <cell r="G8905"/>
          <cell r="H8905"/>
          <cell r="I8905"/>
          <cell r="J8905"/>
          <cell r="L8905"/>
        </row>
        <row r="8906">
          <cell r="A8906"/>
          <cell r="D8906"/>
          <cell r="E8906"/>
          <cell r="F8906"/>
          <cell r="G8906"/>
          <cell r="H8906"/>
          <cell r="I8906"/>
          <cell r="J8906"/>
          <cell r="L8906"/>
        </row>
        <row r="8907">
          <cell r="A8907"/>
          <cell r="D8907"/>
          <cell r="E8907"/>
          <cell r="F8907"/>
          <cell r="G8907"/>
          <cell r="H8907"/>
          <cell r="I8907"/>
          <cell r="J8907"/>
          <cell r="L8907"/>
        </row>
        <row r="8908">
          <cell r="A8908"/>
          <cell r="D8908"/>
          <cell r="E8908"/>
          <cell r="F8908"/>
          <cell r="G8908"/>
          <cell r="H8908"/>
          <cell r="I8908"/>
          <cell r="J8908"/>
          <cell r="L8908"/>
        </row>
        <row r="8909">
          <cell r="A8909"/>
          <cell r="D8909"/>
          <cell r="E8909"/>
          <cell r="F8909"/>
          <cell r="G8909"/>
          <cell r="H8909"/>
          <cell r="I8909"/>
          <cell r="J8909"/>
          <cell r="L8909"/>
        </row>
        <row r="8910">
          <cell r="A8910"/>
          <cell r="D8910"/>
          <cell r="E8910"/>
          <cell r="F8910"/>
          <cell r="G8910"/>
          <cell r="H8910"/>
          <cell r="I8910"/>
          <cell r="J8910"/>
          <cell r="L8910"/>
        </row>
        <row r="8911">
          <cell r="A8911"/>
          <cell r="D8911"/>
          <cell r="E8911"/>
          <cell r="F8911"/>
          <cell r="G8911"/>
          <cell r="H8911"/>
          <cell r="I8911"/>
          <cell r="J8911"/>
          <cell r="L8911"/>
        </row>
        <row r="8912">
          <cell r="A8912"/>
          <cell r="D8912"/>
          <cell r="E8912"/>
          <cell r="F8912"/>
          <cell r="G8912"/>
          <cell r="H8912"/>
          <cell r="I8912"/>
          <cell r="J8912"/>
          <cell r="L8912"/>
        </row>
        <row r="8913">
          <cell r="A8913"/>
          <cell r="D8913"/>
          <cell r="E8913"/>
          <cell r="F8913"/>
          <cell r="G8913"/>
          <cell r="H8913"/>
          <cell r="I8913"/>
          <cell r="J8913"/>
          <cell r="L8913"/>
        </row>
        <row r="8914">
          <cell r="A8914"/>
          <cell r="D8914"/>
          <cell r="E8914"/>
          <cell r="F8914"/>
          <cell r="G8914"/>
          <cell r="H8914"/>
          <cell r="I8914"/>
          <cell r="J8914"/>
          <cell r="L8914"/>
        </row>
        <row r="8915">
          <cell r="A8915"/>
          <cell r="D8915"/>
          <cell r="E8915"/>
          <cell r="F8915"/>
          <cell r="G8915"/>
          <cell r="H8915"/>
          <cell r="I8915"/>
          <cell r="J8915"/>
          <cell r="L8915"/>
        </row>
        <row r="8916">
          <cell r="A8916"/>
          <cell r="D8916"/>
          <cell r="E8916"/>
          <cell r="F8916"/>
          <cell r="G8916"/>
          <cell r="H8916"/>
          <cell r="I8916"/>
          <cell r="J8916"/>
          <cell r="L8916"/>
        </row>
        <row r="8917">
          <cell r="A8917"/>
          <cell r="D8917"/>
          <cell r="E8917"/>
          <cell r="F8917"/>
          <cell r="G8917"/>
          <cell r="H8917"/>
          <cell r="I8917"/>
          <cell r="J8917"/>
          <cell r="L8917"/>
        </row>
        <row r="8918">
          <cell r="A8918"/>
          <cell r="D8918"/>
          <cell r="E8918"/>
          <cell r="F8918"/>
          <cell r="G8918"/>
          <cell r="H8918"/>
          <cell r="I8918"/>
          <cell r="J8918"/>
          <cell r="L8918"/>
        </row>
        <row r="8919">
          <cell r="A8919"/>
          <cell r="D8919"/>
          <cell r="E8919"/>
          <cell r="F8919"/>
          <cell r="G8919"/>
          <cell r="H8919"/>
          <cell r="I8919"/>
          <cell r="J8919"/>
          <cell r="L8919"/>
        </row>
        <row r="8920">
          <cell r="A8920"/>
          <cell r="D8920"/>
          <cell r="E8920"/>
          <cell r="F8920"/>
          <cell r="G8920"/>
          <cell r="H8920"/>
          <cell r="I8920"/>
          <cell r="J8920"/>
          <cell r="L8920"/>
        </row>
        <row r="8921">
          <cell r="A8921"/>
          <cell r="D8921"/>
          <cell r="E8921"/>
          <cell r="F8921"/>
          <cell r="G8921"/>
          <cell r="H8921"/>
          <cell r="I8921"/>
          <cell r="J8921"/>
          <cell r="L8921"/>
        </row>
        <row r="8922">
          <cell r="A8922"/>
          <cell r="D8922"/>
          <cell r="E8922"/>
          <cell r="F8922"/>
          <cell r="G8922"/>
          <cell r="H8922"/>
          <cell r="I8922"/>
          <cell r="J8922"/>
          <cell r="L8922"/>
        </row>
        <row r="8923">
          <cell r="A8923"/>
          <cell r="D8923"/>
          <cell r="E8923"/>
          <cell r="F8923"/>
          <cell r="G8923"/>
          <cell r="H8923"/>
          <cell r="I8923"/>
          <cell r="J8923"/>
          <cell r="L8923"/>
        </row>
        <row r="8924">
          <cell r="A8924"/>
          <cell r="D8924"/>
          <cell r="E8924"/>
          <cell r="F8924"/>
          <cell r="G8924"/>
          <cell r="H8924"/>
          <cell r="I8924"/>
          <cell r="J8924"/>
          <cell r="L8924"/>
        </row>
        <row r="8925">
          <cell r="A8925"/>
          <cell r="D8925"/>
          <cell r="E8925"/>
          <cell r="F8925"/>
          <cell r="G8925"/>
          <cell r="H8925"/>
          <cell r="I8925"/>
          <cell r="J8925"/>
          <cell r="L8925"/>
        </row>
        <row r="8926">
          <cell r="A8926"/>
          <cell r="D8926"/>
          <cell r="E8926"/>
          <cell r="F8926"/>
          <cell r="G8926"/>
          <cell r="H8926"/>
          <cell r="I8926"/>
          <cell r="J8926"/>
          <cell r="L8926"/>
        </row>
        <row r="8927">
          <cell r="A8927"/>
          <cell r="D8927"/>
          <cell r="E8927"/>
          <cell r="F8927"/>
          <cell r="G8927"/>
          <cell r="H8927"/>
          <cell r="I8927"/>
          <cell r="J8927"/>
          <cell r="L8927"/>
        </row>
        <row r="8928">
          <cell r="A8928"/>
          <cell r="D8928"/>
          <cell r="E8928"/>
          <cell r="F8928"/>
          <cell r="G8928"/>
          <cell r="H8928"/>
          <cell r="I8928"/>
          <cell r="J8928"/>
          <cell r="L8928"/>
        </row>
        <row r="8929">
          <cell r="A8929"/>
          <cell r="D8929"/>
          <cell r="E8929"/>
          <cell r="F8929"/>
          <cell r="G8929"/>
          <cell r="H8929"/>
          <cell r="I8929"/>
          <cell r="J8929"/>
          <cell r="L8929"/>
        </row>
        <row r="8930">
          <cell r="A8930"/>
          <cell r="D8930"/>
          <cell r="E8930"/>
          <cell r="F8930"/>
          <cell r="G8930"/>
          <cell r="H8930"/>
          <cell r="I8930"/>
          <cell r="J8930"/>
          <cell r="L8930"/>
        </row>
        <row r="8931">
          <cell r="A8931"/>
          <cell r="D8931"/>
          <cell r="E8931"/>
          <cell r="F8931"/>
          <cell r="G8931"/>
          <cell r="H8931"/>
          <cell r="I8931"/>
          <cell r="J8931"/>
          <cell r="L8931"/>
        </row>
        <row r="8932">
          <cell r="A8932"/>
          <cell r="D8932"/>
          <cell r="E8932"/>
          <cell r="F8932"/>
          <cell r="G8932"/>
          <cell r="H8932"/>
          <cell r="I8932"/>
          <cell r="J8932"/>
          <cell r="L8932"/>
        </row>
        <row r="8933">
          <cell r="A8933"/>
          <cell r="D8933"/>
          <cell r="E8933"/>
          <cell r="F8933"/>
          <cell r="G8933"/>
          <cell r="H8933"/>
          <cell r="I8933"/>
          <cell r="J8933"/>
          <cell r="L8933"/>
        </row>
        <row r="8934">
          <cell r="A8934"/>
          <cell r="D8934"/>
          <cell r="E8934"/>
          <cell r="F8934"/>
          <cell r="G8934"/>
          <cell r="H8934"/>
          <cell r="I8934"/>
          <cell r="J8934"/>
          <cell r="L8934"/>
        </row>
        <row r="8935">
          <cell r="A8935"/>
          <cell r="D8935"/>
          <cell r="E8935"/>
          <cell r="F8935"/>
          <cell r="G8935"/>
          <cell r="H8935"/>
          <cell r="I8935"/>
          <cell r="J8935"/>
          <cell r="L8935"/>
        </row>
        <row r="8936">
          <cell r="A8936"/>
          <cell r="D8936"/>
          <cell r="E8936"/>
          <cell r="F8936"/>
          <cell r="G8936"/>
          <cell r="H8936"/>
          <cell r="I8936"/>
          <cell r="J8936"/>
          <cell r="L8936"/>
        </row>
        <row r="8937">
          <cell r="A8937"/>
          <cell r="D8937"/>
          <cell r="E8937"/>
          <cell r="F8937"/>
          <cell r="G8937"/>
          <cell r="H8937"/>
          <cell r="I8937"/>
          <cell r="J8937"/>
          <cell r="L8937"/>
        </row>
        <row r="8938">
          <cell r="A8938"/>
          <cell r="D8938"/>
          <cell r="E8938"/>
          <cell r="F8938"/>
          <cell r="G8938"/>
          <cell r="H8938"/>
          <cell r="I8938"/>
          <cell r="J8938"/>
          <cell r="L8938"/>
        </row>
        <row r="8939">
          <cell r="A8939"/>
          <cell r="D8939"/>
          <cell r="E8939"/>
          <cell r="F8939"/>
          <cell r="G8939"/>
          <cell r="H8939"/>
          <cell r="I8939"/>
          <cell r="J8939"/>
          <cell r="L8939"/>
        </row>
        <row r="8940">
          <cell r="A8940"/>
          <cell r="D8940"/>
          <cell r="E8940"/>
          <cell r="F8940"/>
          <cell r="G8940"/>
          <cell r="H8940"/>
          <cell r="I8940"/>
          <cell r="J8940"/>
          <cell r="L8940"/>
        </row>
        <row r="8941">
          <cell r="A8941"/>
          <cell r="D8941"/>
          <cell r="E8941"/>
          <cell r="F8941"/>
          <cell r="G8941"/>
          <cell r="H8941"/>
          <cell r="I8941"/>
          <cell r="J8941"/>
          <cell r="L8941"/>
        </row>
        <row r="8942">
          <cell r="A8942"/>
          <cell r="D8942"/>
          <cell r="E8942"/>
          <cell r="F8942"/>
          <cell r="G8942"/>
          <cell r="H8942"/>
          <cell r="I8942"/>
          <cell r="J8942"/>
          <cell r="L8942"/>
        </row>
        <row r="8943">
          <cell r="A8943"/>
          <cell r="D8943"/>
          <cell r="E8943"/>
          <cell r="F8943"/>
          <cell r="G8943"/>
          <cell r="H8943"/>
          <cell r="I8943"/>
          <cell r="J8943"/>
          <cell r="L8943"/>
        </row>
        <row r="8944">
          <cell r="A8944"/>
          <cell r="D8944"/>
          <cell r="E8944"/>
          <cell r="F8944"/>
          <cell r="G8944"/>
          <cell r="H8944"/>
          <cell r="I8944"/>
          <cell r="J8944"/>
          <cell r="L8944"/>
        </row>
        <row r="8945">
          <cell r="A8945"/>
          <cell r="D8945"/>
          <cell r="E8945"/>
          <cell r="F8945"/>
          <cell r="G8945"/>
          <cell r="H8945"/>
          <cell r="I8945"/>
          <cell r="J8945"/>
          <cell r="L8945"/>
        </row>
        <row r="8946">
          <cell r="A8946"/>
          <cell r="D8946"/>
          <cell r="E8946"/>
          <cell r="F8946"/>
          <cell r="G8946"/>
          <cell r="H8946"/>
          <cell r="I8946"/>
          <cell r="J8946"/>
          <cell r="L8946"/>
        </row>
        <row r="8947">
          <cell r="A8947"/>
          <cell r="D8947"/>
          <cell r="E8947"/>
          <cell r="F8947"/>
          <cell r="G8947"/>
          <cell r="H8947"/>
          <cell r="I8947"/>
          <cell r="J8947"/>
          <cell r="L8947"/>
        </row>
        <row r="8948">
          <cell r="A8948"/>
          <cell r="D8948"/>
          <cell r="E8948"/>
          <cell r="F8948"/>
          <cell r="G8948"/>
          <cell r="H8948"/>
          <cell r="I8948"/>
          <cell r="J8948"/>
          <cell r="L8948"/>
        </row>
        <row r="8949">
          <cell r="A8949"/>
          <cell r="D8949"/>
          <cell r="E8949"/>
          <cell r="F8949"/>
          <cell r="G8949"/>
          <cell r="H8949"/>
          <cell r="I8949"/>
          <cell r="J8949"/>
          <cell r="L8949"/>
        </row>
        <row r="8950">
          <cell r="A8950"/>
          <cell r="D8950"/>
          <cell r="E8950"/>
          <cell r="F8950"/>
          <cell r="G8950"/>
          <cell r="H8950"/>
          <cell r="I8950"/>
          <cell r="J8950"/>
          <cell r="L8950"/>
        </row>
        <row r="8951">
          <cell r="A8951"/>
          <cell r="D8951"/>
          <cell r="E8951"/>
          <cell r="F8951"/>
          <cell r="G8951"/>
          <cell r="H8951"/>
          <cell r="I8951"/>
          <cell r="J8951"/>
          <cell r="L8951"/>
        </row>
        <row r="8952">
          <cell r="A8952"/>
          <cell r="D8952"/>
          <cell r="E8952"/>
          <cell r="F8952"/>
          <cell r="G8952"/>
          <cell r="H8952"/>
          <cell r="I8952"/>
          <cell r="J8952"/>
          <cell r="L8952"/>
        </row>
        <row r="8953">
          <cell r="A8953"/>
          <cell r="D8953"/>
          <cell r="E8953"/>
          <cell r="F8953"/>
          <cell r="G8953"/>
          <cell r="H8953"/>
          <cell r="I8953"/>
          <cell r="J8953"/>
          <cell r="L8953"/>
        </row>
        <row r="8954">
          <cell r="A8954"/>
          <cell r="D8954"/>
          <cell r="E8954"/>
          <cell r="F8954"/>
          <cell r="G8954"/>
          <cell r="H8954"/>
          <cell r="I8954"/>
          <cell r="J8954"/>
          <cell r="L8954"/>
        </row>
        <row r="8955">
          <cell r="A8955"/>
          <cell r="D8955"/>
          <cell r="E8955"/>
          <cell r="F8955"/>
          <cell r="G8955"/>
          <cell r="H8955"/>
          <cell r="I8955"/>
          <cell r="J8955"/>
          <cell r="L8955"/>
        </row>
        <row r="8956">
          <cell r="A8956"/>
          <cell r="D8956"/>
          <cell r="E8956"/>
          <cell r="F8956"/>
          <cell r="G8956"/>
          <cell r="H8956"/>
          <cell r="I8956"/>
          <cell r="J8956"/>
          <cell r="L8956"/>
        </row>
        <row r="8957">
          <cell r="A8957"/>
          <cell r="D8957"/>
          <cell r="E8957"/>
          <cell r="F8957"/>
          <cell r="G8957"/>
          <cell r="H8957"/>
          <cell r="I8957"/>
          <cell r="J8957"/>
          <cell r="L8957"/>
        </row>
        <row r="8958">
          <cell r="A8958"/>
          <cell r="D8958"/>
          <cell r="E8958"/>
          <cell r="F8958"/>
          <cell r="G8958"/>
          <cell r="H8958"/>
          <cell r="I8958"/>
          <cell r="J8958"/>
          <cell r="L8958"/>
        </row>
        <row r="8959">
          <cell r="A8959"/>
          <cell r="D8959"/>
          <cell r="E8959"/>
          <cell r="F8959"/>
          <cell r="G8959"/>
          <cell r="H8959"/>
          <cell r="I8959"/>
          <cell r="J8959"/>
          <cell r="L8959"/>
        </row>
        <row r="8960">
          <cell r="A8960"/>
          <cell r="D8960"/>
          <cell r="E8960"/>
          <cell r="F8960"/>
          <cell r="G8960"/>
          <cell r="H8960"/>
          <cell r="I8960"/>
          <cell r="J8960"/>
          <cell r="L8960"/>
        </row>
        <row r="8961">
          <cell r="A8961"/>
          <cell r="D8961"/>
          <cell r="E8961"/>
          <cell r="F8961"/>
          <cell r="G8961"/>
          <cell r="H8961"/>
          <cell r="I8961"/>
          <cell r="J8961"/>
          <cell r="L8961"/>
        </row>
        <row r="8962">
          <cell r="A8962"/>
          <cell r="D8962"/>
          <cell r="E8962"/>
          <cell r="F8962"/>
          <cell r="G8962"/>
          <cell r="H8962"/>
          <cell r="I8962"/>
          <cell r="J8962"/>
          <cell r="L8962"/>
        </row>
        <row r="8963">
          <cell r="A8963"/>
          <cell r="D8963"/>
          <cell r="E8963"/>
          <cell r="F8963"/>
          <cell r="G8963"/>
          <cell r="H8963"/>
          <cell r="I8963"/>
          <cell r="J8963"/>
          <cell r="L8963"/>
        </row>
        <row r="8964">
          <cell r="A8964"/>
          <cell r="D8964"/>
          <cell r="E8964"/>
          <cell r="F8964"/>
          <cell r="G8964"/>
          <cell r="H8964"/>
          <cell r="I8964"/>
          <cell r="J8964"/>
          <cell r="L8964"/>
        </row>
        <row r="8965">
          <cell r="A8965"/>
          <cell r="D8965"/>
          <cell r="E8965"/>
          <cell r="F8965"/>
          <cell r="G8965"/>
          <cell r="H8965"/>
          <cell r="I8965"/>
          <cell r="J8965"/>
          <cell r="L8965"/>
        </row>
        <row r="8966">
          <cell r="A8966"/>
          <cell r="D8966"/>
          <cell r="E8966"/>
          <cell r="F8966"/>
          <cell r="G8966"/>
          <cell r="H8966"/>
          <cell r="I8966"/>
          <cell r="J8966"/>
          <cell r="L8966"/>
        </row>
        <row r="8967">
          <cell r="A8967"/>
          <cell r="D8967"/>
          <cell r="E8967"/>
          <cell r="F8967"/>
          <cell r="G8967"/>
          <cell r="H8967"/>
          <cell r="I8967"/>
          <cell r="J8967"/>
          <cell r="L8967"/>
        </row>
        <row r="8968">
          <cell r="A8968"/>
          <cell r="D8968"/>
          <cell r="E8968"/>
          <cell r="F8968"/>
          <cell r="G8968"/>
          <cell r="H8968"/>
          <cell r="I8968"/>
          <cell r="J8968"/>
          <cell r="L8968"/>
        </row>
        <row r="8969">
          <cell r="A8969"/>
          <cell r="D8969"/>
          <cell r="E8969"/>
          <cell r="F8969"/>
          <cell r="G8969"/>
          <cell r="H8969"/>
          <cell r="I8969"/>
          <cell r="J8969"/>
          <cell r="L8969"/>
        </row>
        <row r="8970">
          <cell r="A8970"/>
          <cell r="D8970"/>
          <cell r="E8970"/>
          <cell r="F8970"/>
          <cell r="G8970"/>
          <cell r="H8970"/>
          <cell r="I8970"/>
          <cell r="J8970"/>
          <cell r="L8970"/>
        </row>
        <row r="8971">
          <cell r="A8971"/>
          <cell r="D8971"/>
          <cell r="E8971"/>
          <cell r="F8971"/>
          <cell r="G8971"/>
          <cell r="H8971"/>
          <cell r="I8971"/>
          <cell r="J8971"/>
          <cell r="L8971"/>
        </row>
        <row r="8972">
          <cell r="A8972"/>
          <cell r="D8972"/>
          <cell r="E8972"/>
          <cell r="F8972"/>
          <cell r="G8972"/>
          <cell r="H8972"/>
          <cell r="I8972"/>
          <cell r="J8972"/>
          <cell r="L8972"/>
        </row>
        <row r="8973">
          <cell r="A8973"/>
          <cell r="D8973"/>
          <cell r="E8973"/>
          <cell r="F8973"/>
          <cell r="G8973"/>
          <cell r="H8973"/>
          <cell r="I8973"/>
          <cell r="J8973"/>
          <cell r="L8973"/>
        </row>
        <row r="8974">
          <cell r="A8974"/>
          <cell r="D8974"/>
          <cell r="E8974"/>
          <cell r="F8974"/>
          <cell r="G8974"/>
          <cell r="H8974"/>
          <cell r="I8974"/>
          <cell r="J8974"/>
          <cell r="L8974"/>
        </row>
        <row r="8975">
          <cell r="A8975"/>
          <cell r="D8975"/>
          <cell r="E8975"/>
          <cell r="F8975"/>
          <cell r="G8975"/>
          <cell r="H8975"/>
          <cell r="I8975"/>
          <cell r="J8975"/>
          <cell r="L8975"/>
        </row>
        <row r="8976">
          <cell r="A8976"/>
          <cell r="D8976"/>
          <cell r="E8976"/>
          <cell r="F8976"/>
          <cell r="G8976"/>
          <cell r="H8976"/>
          <cell r="I8976"/>
          <cell r="J8976"/>
          <cell r="L8976"/>
        </row>
        <row r="8977">
          <cell r="A8977"/>
          <cell r="D8977"/>
          <cell r="E8977"/>
          <cell r="F8977"/>
          <cell r="G8977"/>
          <cell r="H8977"/>
          <cell r="I8977"/>
          <cell r="J8977"/>
          <cell r="L8977"/>
        </row>
        <row r="8978">
          <cell r="A8978"/>
          <cell r="D8978"/>
          <cell r="E8978"/>
          <cell r="F8978"/>
          <cell r="G8978"/>
          <cell r="H8978"/>
          <cell r="I8978"/>
          <cell r="J8978"/>
          <cell r="L8978"/>
        </row>
        <row r="8979">
          <cell r="A8979"/>
          <cell r="D8979"/>
          <cell r="E8979"/>
          <cell r="F8979"/>
          <cell r="G8979"/>
          <cell r="H8979"/>
          <cell r="I8979"/>
          <cell r="J8979"/>
          <cell r="L8979"/>
        </row>
        <row r="8980">
          <cell r="A8980"/>
          <cell r="D8980"/>
          <cell r="E8980"/>
          <cell r="F8980"/>
          <cell r="G8980"/>
          <cell r="H8980"/>
          <cell r="I8980"/>
          <cell r="J8980"/>
          <cell r="L8980"/>
        </row>
        <row r="8981">
          <cell r="A8981"/>
          <cell r="D8981"/>
          <cell r="E8981"/>
          <cell r="F8981"/>
          <cell r="G8981"/>
          <cell r="H8981"/>
          <cell r="I8981"/>
          <cell r="J8981"/>
          <cell r="L8981"/>
        </row>
        <row r="8982">
          <cell r="A8982"/>
          <cell r="D8982"/>
          <cell r="E8982"/>
          <cell r="F8982"/>
          <cell r="G8982"/>
          <cell r="H8982"/>
          <cell r="I8982"/>
          <cell r="J8982"/>
          <cell r="L8982"/>
        </row>
        <row r="8983">
          <cell r="A8983"/>
          <cell r="D8983"/>
          <cell r="E8983"/>
          <cell r="F8983"/>
          <cell r="G8983"/>
          <cell r="H8983"/>
          <cell r="I8983"/>
          <cell r="J8983"/>
          <cell r="L8983"/>
        </row>
        <row r="8984">
          <cell r="A8984"/>
          <cell r="D8984"/>
          <cell r="E8984"/>
          <cell r="F8984"/>
          <cell r="G8984"/>
          <cell r="H8984"/>
          <cell r="I8984"/>
          <cell r="J8984"/>
          <cell r="L8984"/>
        </row>
        <row r="8985">
          <cell r="A8985"/>
          <cell r="D8985"/>
          <cell r="E8985"/>
          <cell r="F8985"/>
          <cell r="G8985"/>
          <cell r="H8985"/>
          <cell r="I8985"/>
          <cell r="J8985"/>
          <cell r="L8985"/>
        </row>
        <row r="8986">
          <cell r="A8986"/>
          <cell r="D8986"/>
          <cell r="E8986"/>
          <cell r="F8986"/>
          <cell r="G8986"/>
          <cell r="H8986"/>
          <cell r="I8986"/>
          <cell r="J8986"/>
          <cell r="L8986"/>
        </row>
        <row r="8987">
          <cell r="A8987"/>
          <cell r="D8987"/>
          <cell r="E8987"/>
          <cell r="F8987"/>
          <cell r="G8987"/>
          <cell r="H8987"/>
          <cell r="I8987"/>
          <cell r="J8987"/>
          <cell r="L8987"/>
        </row>
        <row r="8988">
          <cell r="A8988"/>
          <cell r="D8988"/>
          <cell r="E8988"/>
          <cell r="F8988"/>
          <cell r="G8988"/>
          <cell r="H8988"/>
          <cell r="I8988"/>
          <cell r="J8988"/>
          <cell r="L8988"/>
        </row>
        <row r="8989">
          <cell r="A8989"/>
          <cell r="D8989"/>
          <cell r="E8989"/>
          <cell r="F8989"/>
          <cell r="G8989"/>
          <cell r="H8989"/>
          <cell r="I8989"/>
          <cell r="J8989"/>
          <cell r="L8989"/>
        </row>
        <row r="8990">
          <cell r="A8990"/>
          <cell r="D8990"/>
          <cell r="E8990"/>
          <cell r="F8990"/>
          <cell r="G8990"/>
          <cell r="H8990"/>
          <cell r="I8990"/>
          <cell r="J8990"/>
          <cell r="L8990"/>
        </row>
        <row r="8991">
          <cell r="A8991"/>
          <cell r="D8991"/>
          <cell r="E8991"/>
          <cell r="F8991"/>
          <cell r="G8991"/>
          <cell r="H8991"/>
          <cell r="I8991"/>
          <cell r="J8991"/>
          <cell r="L8991"/>
        </row>
        <row r="8992">
          <cell r="A8992"/>
          <cell r="D8992"/>
          <cell r="E8992"/>
          <cell r="F8992"/>
          <cell r="G8992"/>
          <cell r="H8992"/>
          <cell r="I8992"/>
          <cell r="J8992"/>
          <cell r="L8992"/>
        </row>
        <row r="8993">
          <cell r="A8993"/>
          <cell r="D8993"/>
          <cell r="E8993"/>
          <cell r="F8993"/>
          <cell r="G8993"/>
          <cell r="H8993"/>
          <cell r="I8993"/>
          <cell r="J8993"/>
          <cell r="L8993"/>
        </row>
        <row r="8994">
          <cell r="A8994"/>
          <cell r="D8994"/>
          <cell r="E8994"/>
          <cell r="F8994"/>
          <cell r="G8994"/>
          <cell r="H8994"/>
          <cell r="I8994"/>
          <cell r="J8994"/>
          <cell r="L8994"/>
        </row>
        <row r="8995">
          <cell r="A8995"/>
          <cell r="D8995"/>
          <cell r="E8995"/>
          <cell r="F8995"/>
          <cell r="G8995"/>
          <cell r="H8995"/>
          <cell r="I8995"/>
          <cell r="J8995"/>
          <cell r="L8995"/>
        </row>
        <row r="8996">
          <cell r="A8996"/>
          <cell r="D8996"/>
          <cell r="E8996"/>
          <cell r="F8996"/>
          <cell r="G8996"/>
          <cell r="H8996"/>
          <cell r="I8996"/>
          <cell r="J8996"/>
          <cell r="L8996"/>
        </row>
        <row r="8997">
          <cell r="A8997"/>
          <cell r="D8997"/>
          <cell r="E8997"/>
          <cell r="F8997"/>
          <cell r="G8997"/>
          <cell r="H8997"/>
          <cell r="I8997"/>
          <cell r="J8997"/>
          <cell r="L8997"/>
        </row>
        <row r="8998">
          <cell r="A8998"/>
          <cell r="D8998"/>
          <cell r="E8998"/>
          <cell r="F8998"/>
          <cell r="G8998"/>
          <cell r="H8998"/>
          <cell r="I8998"/>
          <cell r="J8998"/>
          <cell r="L8998"/>
        </row>
        <row r="8999">
          <cell r="A8999"/>
          <cell r="D8999"/>
          <cell r="E8999"/>
          <cell r="F8999"/>
          <cell r="G8999"/>
          <cell r="H8999"/>
          <cell r="I8999"/>
          <cell r="J8999"/>
          <cell r="L8999"/>
        </row>
        <row r="9000">
          <cell r="A9000"/>
          <cell r="D9000"/>
          <cell r="E9000"/>
          <cell r="F9000"/>
          <cell r="G9000"/>
          <cell r="H9000"/>
          <cell r="I9000"/>
          <cell r="J9000"/>
          <cell r="L9000"/>
        </row>
        <row r="9001">
          <cell r="A9001"/>
          <cell r="D9001"/>
          <cell r="E9001"/>
          <cell r="F9001"/>
          <cell r="G9001"/>
          <cell r="H9001"/>
          <cell r="I9001"/>
          <cell r="J9001"/>
          <cell r="L9001"/>
        </row>
        <row r="9002">
          <cell r="A9002"/>
          <cell r="D9002"/>
          <cell r="E9002"/>
          <cell r="F9002"/>
          <cell r="G9002"/>
          <cell r="H9002"/>
          <cell r="I9002"/>
          <cell r="J9002"/>
          <cell r="L9002"/>
        </row>
        <row r="9003">
          <cell r="A9003"/>
          <cell r="D9003"/>
          <cell r="E9003"/>
          <cell r="F9003"/>
          <cell r="G9003"/>
          <cell r="H9003"/>
          <cell r="I9003"/>
          <cell r="J9003"/>
          <cell r="L9003"/>
        </row>
        <row r="9004">
          <cell r="A9004"/>
          <cell r="D9004"/>
          <cell r="E9004"/>
          <cell r="F9004"/>
          <cell r="G9004"/>
          <cell r="H9004"/>
          <cell r="I9004"/>
          <cell r="J9004"/>
          <cell r="L9004"/>
        </row>
        <row r="9005">
          <cell r="A9005"/>
          <cell r="D9005"/>
          <cell r="E9005"/>
          <cell r="F9005"/>
          <cell r="G9005"/>
          <cell r="H9005"/>
          <cell r="I9005"/>
          <cell r="J9005"/>
          <cell r="L9005"/>
        </row>
        <row r="9006">
          <cell r="A9006"/>
          <cell r="D9006"/>
          <cell r="E9006"/>
          <cell r="F9006"/>
          <cell r="G9006"/>
          <cell r="H9006"/>
          <cell r="I9006"/>
          <cell r="J9006"/>
          <cell r="L9006"/>
        </row>
        <row r="9007">
          <cell r="A9007"/>
          <cell r="D9007"/>
          <cell r="E9007"/>
          <cell r="F9007"/>
          <cell r="G9007"/>
          <cell r="H9007"/>
          <cell r="I9007"/>
          <cell r="J9007"/>
          <cell r="L9007"/>
        </row>
        <row r="9008">
          <cell r="A9008"/>
          <cell r="D9008"/>
          <cell r="E9008"/>
          <cell r="F9008"/>
          <cell r="G9008"/>
          <cell r="H9008"/>
          <cell r="I9008"/>
          <cell r="J9008"/>
          <cell r="L9008"/>
        </row>
        <row r="9009">
          <cell r="A9009"/>
          <cell r="D9009"/>
          <cell r="E9009"/>
          <cell r="F9009"/>
          <cell r="G9009"/>
          <cell r="H9009"/>
          <cell r="I9009"/>
          <cell r="J9009"/>
          <cell r="L9009"/>
        </row>
        <row r="9010">
          <cell r="A9010"/>
          <cell r="D9010"/>
          <cell r="E9010"/>
          <cell r="F9010"/>
          <cell r="G9010"/>
          <cell r="H9010"/>
          <cell r="I9010"/>
          <cell r="J9010"/>
          <cell r="L9010"/>
        </row>
        <row r="9011">
          <cell r="A9011"/>
          <cell r="D9011"/>
          <cell r="E9011"/>
          <cell r="F9011"/>
          <cell r="G9011"/>
          <cell r="H9011"/>
          <cell r="I9011"/>
          <cell r="J9011"/>
          <cell r="L9011"/>
        </row>
        <row r="9012">
          <cell r="A9012"/>
          <cell r="D9012"/>
          <cell r="E9012"/>
          <cell r="F9012"/>
          <cell r="G9012"/>
          <cell r="H9012"/>
          <cell r="I9012"/>
          <cell r="J9012"/>
          <cell r="L9012"/>
        </row>
        <row r="9013">
          <cell r="A9013"/>
          <cell r="D9013"/>
          <cell r="E9013"/>
          <cell r="F9013"/>
          <cell r="G9013"/>
          <cell r="H9013"/>
          <cell r="I9013"/>
          <cell r="J9013"/>
          <cell r="L9013"/>
        </row>
        <row r="9014">
          <cell r="A9014"/>
          <cell r="D9014"/>
          <cell r="E9014"/>
          <cell r="F9014"/>
          <cell r="G9014"/>
          <cell r="H9014"/>
          <cell r="I9014"/>
          <cell r="J9014"/>
          <cell r="L9014"/>
        </row>
        <row r="9015">
          <cell r="A9015"/>
          <cell r="D9015"/>
          <cell r="E9015"/>
          <cell r="F9015"/>
          <cell r="G9015"/>
          <cell r="H9015"/>
          <cell r="I9015"/>
          <cell r="J9015"/>
          <cell r="L9015"/>
        </row>
        <row r="9016">
          <cell r="A9016"/>
          <cell r="D9016"/>
          <cell r="E9016"/>
          <cell r="F9016"/>
          <cell r="G9016"/>
          <cell r="H9016"/>
          <cell r="I9016"/>
          <cell r="J9016"/>
          <cell r="L9016"/>
        </row>
        <row r="9017">
          <cell r="A9017"/>
          <cell r="D9017"/>
          <cell r="E9017"/>
          <cell r="F9017"/>
          <cell r="G9017"/>
          <cell r="H9017"/>
          <cell r="I9017"/>
          <cell r="J9017"/>
          <cell r="L9017"/>
        </row>
        <row r="9018">
          <cell r="A9018"/>
          <cell r="D9018"/>
          <cell r="E9018"/>
          <cell r="F9018"/>
          <cell r="G9018"/>
          <cell r="H9018"/>
          <cell r="I9018"/>
          <cell r="J9018"/>
          <cell r="L9018"/>
        </row>
        <row r="9019">
          <cell r="A9019"/>
          <cell r="D9019"/>
          <cell r="E9019"/>
          <cell r="F9019"/>
          <cell r="G9019"/>
          <cell r="H9019"/>
          <cell r="I9019"/>
          <cell r="J9019"/>
          <cell r="L9019"/>
        </row>
        <row r="9020">
          <cell r="A9020"/>
          <cell r="D9020"/>
          <cell r="E9020"/>
          <cell r="F9020"/>
          <cell r="G9020"/>
          <cell r="H9020"/>
          <cell r="I9020"/>
          <cell r="J9020"/>
          <cell r="L9020"/>
        </row>
        <row r="9021">
          <cell r="A9021"/>
          <cell r="D9021"/>
          <cell r="E9021"/>
          <cell r="F9021"/>
          <cell r="G9021"/>
          <cell r="H9021"/>
          <cell r="I9021"/>
          <cell r="J9021"/>
          <cell r="L9021"/>
        </row>
        <row r="9022">
          <cell r="A9022"/>
          <cell r="D9022"/>
          <cell r="E9022"/>
          <cell r="F9022"/>
          <cell r="G9022"/>
          <cell r="H9022"/>
          <cell r="I9022"/>
          <cell r="J9022"/>
          <cell r="L9022"/>
        </row>
        <row r="9023">
          <cell r="A9023"/>
          <cell r="D9023"/>
          <cell r="E9023"/>
          <cell r="F9023"/>
          <cell r="G9023"/>
          <cell r="H9023"/>
          <cell r="I9023"/>
          <cell r="J9023"/>
          <cell r="L9023"/>
        </row>
        <row r="9024">
          <cell r="A9024"/>
          <cell r="D9024"/>
          <cell r="E9024"/>
          <cell r="F9024"/>
          <cell r="G9024"/>
          <cell r="H9024"/>
          <cell r="I9024"/>
          <cell r="J9024"/>
          <cell r="L9024"/>
        </row>
        <row r="9025">
          <cell r="A9025"/>
          <cell r="D9025"/>
          <cell r="E9025"/>
          <cell r="F9025"/>
          <cell r="G9025"/>
          <cell r="H9025"/>
          <cell r="I9025"/>
          <cell r="J9025"/>
          <cell r="L9025"/>
        </row>
        <row r="9026">
          <cell r="A9026"/>
          <cell r="D9026"/>
          <cell r="E9026"/>
          <cell r="F9026"/>
          <cell r="G9026"/>
          <cell r="H9026"/>
          <cell r="I9026"/>
          <cell r="J9026"/>
          <cell r="L9026"/>
        </row>
        <row r="9027">
          <cell r="A9027"/>
          <cell r="D9027"/>
          <cell r="E9027"/>
          <cell r="F9027"/>
          <cell r="G9027"/>
          <cell r="H9027"/>
          <cell r="I9027"/>
          <cell r="J9027"/>
          <cell r="L9027"/>
        </row>
        <row r="9028">
          <cell r="A9028"/>
          <cell r="D9028"/>
          <cell r="E9028"/>
          <cell r="F9028"/>
          <cell r="G9028"/>
          <cell r="H9028"/>
          <cell r="I9028"/>
          <cell r="J9028"/>
          <cell r="L9028"/>
        </row>
        <row r="9029">
          <cell r="A9029"/>
          <cell r="D9029"/>
          <cell r="E9029"/>
          <cell r="F9029"/>
          <cell r="G9029"/>
          <cell r="H9029"/>
          <cell r="I9029"/>
          <cell r="J9029"/>
          <cell r="L9029"/>
        </row>
        <row r="9030">
          <cell r="A9030"/>
          <cell r="D9030"/>
          <cell r="E9030"/>
          <cell r="F9030"/>
          <cell r="G9030"/>
          <cell r="H9030"/>
          <cell r="I9030"/>
          <cell r="J9030"/>
          <cell r="L9030"/>
        </row>
        <row r="9031">
          <cell r="A9031"/>
          <cell r="D9031"/>
          <cell r="E9031"/>
          <cell r="F9031"/>
          <cell r="G9031"/>
          <cell r="H9031"/>
          <cell r="I9031"/>
          <cell r="J9031"/>
          <cell r="L9031"/>
        </row>
        <row r="9032">
          <cell r="A9032"/>
          <cell r="D9032"/>
          <cell r="E9032"/>
          <cell r="F9032"/>
          <cell r="G9032"/>
          <cell r="H9032"/>
          <cell r="I9032"/>
          <cell r="J9032"/>
          <cell r="L9032"/>
        </row>
        <row r="9033">
          <cell r="A9033"/>
          <cell r="D9033"/>
          <cell r="E9033"/>
          <cell r="F9033"/>
          <cell r="G9033"/>
          <cell r="H9033"/>
          <cell r="I9033"/>
          <cell r="J9033"/>
          <cell r="L9033"/>
        </row>
        <row r="9034">
          <cell r="A9034"/>
          <cell r="D9034"/>
          <cell r="E9034"/>
          <cell r="F9034"/>
          <cell r="G9034"/>
          <cell r="H9034"/>
          <cell r="I9034"/>
          <cell r="J9034"/>
          <cell r="L9034"/>
        </row>
        <row r="9035">
          <cell r="A9035"/>
          <cell r="D9035"/>
          <cell r="E9035"/>
          <cell r="F9035"/>
          <cell r="G9035"/>
          <cell r="H9035"/>
          <cell r="I9035"/>
          <cell r="J9035"/>
          <cell r="L9035"/>
        </row>
        <row r="9036">
          <cell r="A9036"/>
          <cell r="D9036"/>
          <cell r="E9036"/>
          <cell r="F9036"/>
          <cell r="G9036"/>
          <cell r="H9036"/>
          <cell r="I9036"/>
          <cell r="J9036"/>
          <cell r="L9036"/>
        </row>
        <row r="9037">
          <cell r="A9037"/>
          <cell r="D9037"/>
          <cell r="E9037"/>
          <cell r="F9037"/>
          <cell r="G9037"/>
          <cell r="H9037"/>
          <cell r="I9037"/>
          <cell r="J9037"/>
          <cell r="L9037"/>
        </row>
        <row r="9038">
          <cell r="A9038"/>
          <cell r="D9038"/>
          <cell r="E9038"/>
          <cell r="F9038"/>
          <cell r="G9038"/>
          <cell r="H9038"/>
          <cell r="I9038"/>
          <cell r="J9038"/>
          <cell r="L9038"/>
        </row>
        <row r="9039">
          <cell r="A9039"/>
          <cell r="D9039"/>
          <cell r="E9039"/>
          <cell r="F9039"/>
          <cell r="G9039"/>
          <cell r="H9039"/>
          <cell r="I9039"/>
          <cell r="J9039"/>
          <cell r="L9039"/>
        </row>
        <row r="9040">
          <cell r="A9040"/>
          <cell r="D9040"/>
          <cell r="E9040"/>
          <cell r="F9040"/>
          <cell r="G9040"/>
          <cell r="H9040"/>
          <cell r="I9040"/>
          <cell r="J9040"/>
          <cell r="L9040"/>
        </row>
        <row r="9041">
          <cell r="A9041"/>
          <cell r="D9041"/>
          <cell r="E9041"/>
          <cell r="F9041"/>
          <cell r="G9041"/>
          <cell r="H9041"/>
          <cell r="I9041"/>
          <cell r="J9041"/>
          <cell r="L9041"/>
        </row>
        <row r="9042">
          <cell r="A9042"/>
          <cell r="D9042"/>
          <cell r="E9042"/>
          <cell r="F9042"/>
          <cell r="G9042"/>
          <cell r="H9042"/>
          <cell r="I9042"/>
          <cell r="J9042"/>
          <cell r="L9042"/>
        </row>
        <row r="9043">
          <cell r="A9043"/>
          <cell r="D9043"/>
          <cell r="E9043"/>
          <cell r="F9043"/>
          <cell r="G9043"/>
          <cell r="H9043"/>
          <cell r="I9043"/>
          <cell r="J9043"/>
          <cell r="L9043"/>
        </row>
        <row r="9044">
          <cell r="A9044"/>
          <cell r="D9044"/>
          <cell r="E9044"/>
          <cell r="F9044"/>
          <cell r="G9044"/>
          <cell r="H9044"/>
          <cell r="I9044"/>
          <cell r="J9044"/>
          <cell r="L9044"/>
        </row>
        <row r="9045">
          <cell r="A9045"/>
          <cell r="D9045"/>
          <cell r="E9045"/>
          <cell r="F9045"/>
          <cell r="G9045"/>
          <cell r="H9045"/>
          <cell r="I9045"/>
          <cell r="J9045"/>
          <cell r="L9045"/>
        </row>
        <row r="9046">
          <cell r="A9046"/>
          <cell r="D9046"/>
          <cell r="E9046"/>
          <cell r="F9046"/>
          <cell r="G9046"/>
          <cell r="H9046"/>
          <cell r="I9046"/>
          <cell r="J9046"/>
          <cell r="L9046"/>
        </row>
        <row r="9047">
          <cell r="A9047"/>
          <cell r="D9047"/>
          <cell r="E9047"/>
          <cell r="F9047"/>
          <cell r="G9047"/>
          <cell r="H9047"/>
          <cell r="I9047"/>
          <cell r="J9047"/>
          <cell r="L9047"/>
        </row>
        <row r="9048">
          <cell r="A9048"/>
          <cell r="D9048"/>
          <cell r="E9048"/>
          <cell r="F9048"/>
          <cell r="G9048"/>
          <cell r="H9048"/>
          <cell r="I9048"/>
          <cell r="J9048"/>
          <cell r="L9048"/>
        </row>
        <row r="9049">
          <cell r="A9049"/>
          <cell r="D9049"/>
          <cell r="E9049"/>
          <cell r="F9049"/>
          <cell r="G9049"/>
          <cell r="H9049"/>
          <cell r="I9049"/>
          <cell r="J9049"/>
          <cell r="L9049"/>
        </row>
        <row r="9050">
          <cell r="A9050"/>
          <cell r="D9050"/>
          <cell r="E9050"/>
          <cell r="F9050"/>
          <cell r="G9050"/>
          <cell r="H9050"/>
          <cell r="I9050"/>
          <cell r="J9050"/>
          <cell r="L9050"/>
        </row>
        <row r="9051">
          <cell r="A9051"/>
          <cell r="D9051"/>
          <cell r="E9051"/>
          <cell r="F9051"/>
          <cell r="G9051"/>
          <cell r="H9051"/>
          <cell r="I9051"/>
          <cell r="J9051"/>
          <cell r="L9051"/>
        </row>
        <row r="9052">
          <cell r="A9052"/>
          <cell r="D9052"/>
          <cell r="E9052"/>
          <cell r="F9052"/>
          <cell r="G9052"/>
          <cell r="H9052"/>
          <cell r="I9052"/>
          <cell r="J9052"/>
          <cell r="L9052"/>
        </row>
        <row r="9053">
          <cell r="A9053"/>
          <cell r="D9053"/>
          <cell r="E9053"/>
          <cell r="F9053"/>
          <cell r="G9053"/>
          <cell r="H9053"/>
          <cell r="I9053"/>
          <cell r="J9053"/>
          <cell r="L9053"/>
        </row>
        <row r="9054">
          <cell r="A9054"/>
          <cell r="D9054"/>
          <cell r="E9054"/>
          <cell r="F9054"/>
          <cell r="G9054"/>
          <cell r="H9054"/>
          <cell r="I9054"/>
          <cell r="J9054"/>
          <cell r="L9054"/>
        </row>
        <row r="9055">
          <cell r="A9055"/>
          <cell r="D9055"/>
          <cell r="E9055"/>
          <cell r="F9055"/>
          <cell r="G9055"/>
          <cell r="H9055"/>
          <cell r="I9055"/>
          <cell r="J9055"/>
          <cell r="L9055"/>
        </row>
        <row r="9056">
          <cell r="A9056"/>
          <cell r="D9056"/>
          <cell r="E9056"/>
          <cell r="F9056"/>
          <cell r="G9056"/>
          <cell r="H9056"/>
          <cell r="I9056"/>
          <cell r="J9056"/>
          <cell r="L9056"/>
        </row>
        <row r="9057">
          <cell r="A9057"/>
          <cell r="D9057"/>
          <cell r="E9057"/>
          <cell r="F9057"/>
          <cell r="G9057"/>
          <cell r="H9057"/>
          <cell r="I9057"/>
          <cell r="J9057"/>
          <cell r="L9057"/>
        </row>
        <row r="9058">
          <cell r="A9058"/>
          <cell r="D9058"/>
          <cell r="E9058"/>
          <cell r="F9058"/>
          <cell r="G9058"/>
          <cell r="H9058"/>
          <cell r="I9058"/>
          <cell r="J9058"/>
          <cell r="L9058"/>
        </row>
        <row r="9059">
          <cell r="A9059"/>
          <cell r="D9059"/>
          <cell r="E9059"/>
          <cell r="F9059"/>
          <cell r="G9059"/>
          <cell r="H9059"/>
          <cell r="I9059"/>
          <cell r="J9059"/>
          <cell r="L9059"/>
        </row>
        <row r="9060">
          <cell r="A9060"/>
          <cell r="D9060"/>
          <cell r="E9060"/>
          <cell r="F9060"/>
          <cell r="G9060"/>
          <cell r="H9060"/>
          <cell r="I9060"/>
          <cell r="J9060"/>
          <cell r="L9060"/>
        </row>
        <row r="9061">
          <cell r="A9061"/>
          <cell r="D9061"/>
          <cell r="E9061"/>
          <cell r="F9061"/>
          <cell r="G9061"/>
          <cell r="H9061"/>
          <cell r="I9061"/>
          <cell r="J9061"/>
          <cell r="L9061"/>
        </row>
        <row r="9062">
          <cell r="A9062"/>
          <cell r="D9062"/>
          <cell r="E9062"/>
          <cell r="F9062"/>
          <cell r="G9062"/>
          <cell r="H9062"/>
          <cell r="I9062"/>
          <cell r="J9062"/>
          <cell r="L9062"/>
        </row>
        <row r="9063">
          <cell r="A9063"/>
          <cell r="D9063"/>
          <cell r="E9063"/>
          <cell r="F9063"/>
          <cell r="G9063"/>
          <cell r="H9063"/>
          <cell r="I9063"/>
          <cell r="J9063"/>
          <cell r="L9063"/>
        </row>
        <row r="9064">
          <cell r="A9064"/>
          <cell r="D9064"/>
          <cell r="E9064"/>
          <cell r="F9064"/>
          <cell r="G9064"/>
          <cell r="H9064"/>
          <cell r="I9064"/>
          <cell r="J9064"/>
          <cell r="L9064"/>
        </row>
        <row r="9065">
          <cell r="A9065"/>
          <cell r="D9065"/>
          <cell r="E9065"/>
          <cell r="F9065"/>
          <cell r="G9065"/>
          <cell r="H9065"/>
          <cell r="I9065"/>
          <cell r="J9065"/>
          <cell r="L9065"/>
        </row>
        <row r="9066">
          <cell r="A9066"/>
          <cell r="D9066"/>
          <cell r="E9066"/>
          <cell r="F9066"/>
          <cell r="G9066"/>
          <cell r="H9066"/>
          <cell r="I9066"/>
          <cell r="J9066"/>
          <cell r="L9066"/>
        </row>
        <row r="9067">
          <cell r="A9067"/>
          <cell r="D9067"/>
          <cell r="E9067"/>
          <cell r="F9067"/>
          <cell r="G9067"/>
          <cell r="H9067"/>
          <cell r="I9067"/>
          <cell r="J9067"/>
          <cell r="L9067"/>
        </row>
        <row r="9068">
          <cell r="A9068"/>
          <cell r="D9068"/>
          <cell r="E9068"/>
          <cell r="F9068"/>
          <cell r="G9068"/>
          <cell r="H9068"/>
          <cell r="I9068"/>
          <cell r="J9068"/>
          <cell r="L9068"/>
        </row>
        <row r="9069">
          <cell r="A9069"/>
          <cell r="D9069"/>
          <cell r="E9069"/>
          <cell r="F9069"/>
          <cell r="G9069"/>
          <cell r="H9069"/>
          <cell r="I9069"/>
          <cell r="J9069"/>
          <cell r="L9069"/>
        </row>
        <row r="9070">
          <cell r="A9070"/>
          <cell r="D9070"/>
          <cell r="E9070"/>
          <cell r="F9070"/>
          <cell r="G9070"/>
          <cell r="H9070"/>
          <cell r="I9070"/>
          <cell r="J9070"/>
          <cell r="L9070"/>
        </row>
        <row r="9071">
          <cell r="A9071"/>
          <cell r="D9071"/>
          <cell r="E9071"/>
          <cell r="F9071"/>
          <cell r="G9071"/>
          <cell r="H9071"/>
          <cell r="I9071"/>
          <cell r="J9071"/>
          <cell r="L9071"/>
        </row>
        <row r="9072">
          <cell r="A9072"/>
          <cell r="D9072"/>
          <cell r="E9072"/>
          <cell r="F9072"/>
          <cell r="G9072"/>
          <cell r="H9072"/>
          <cell r="I9072"/>
          <cell r="J9072"/>
          <cell r="L9072"/>
        </row>
        <row r="9073">
          <cell r="A9073"/>
          <cell r="D9073"/>
          <cell r="E9073"/>
          <cell r="F9073"/>
          <cell r="G9073"/>
          <cell r="H9073"/>
          <cell r="I9073"/>
          <cell r="J9073"/>
          <cell r="L9073"/>
        </row>
        <row r="9074">
          <cell r="A9074"/>
          <cell r="D9074"/>
          <cell r="E9074"/>
          <cell r="F9074"/>
          <cell r="G9074"/>
          <cell r="H9074"/>
          <cell r="I9074"/>
          <cell r="J9074"/>
          <cell r="L9074"/>
        </row>
        <row r="9075">
          <cell r="A9075"/>
          <cell r="D9075"/>
          <cell r="E9075"/>
          <cell r="F9075"/>
          <cell r="G9075"/>
          <cell r="H9075"/>
          <cell r="I9075"/>
          <cell r="J9075"/>
          <cell r="L9075"/>
        </row>
        <row r="9076">
          <cell r="A9076"/>
          <cell r="D9076"/>
          <cell r="E9076"/>
          <cell r="F9076"/>
          <cell r="G9076"/>
          <cell r="H9076"/>
          <cell r="I9076"/>
          <cell r="J9076"/>
          <cell r="L9076"/>
        </row>
        <row r="9077">
          <cell r="A9077"/>
          <cell r="D9077"/>
          <cell r="E9077"/>
          <cell r="F9077"/>
          <cell r="G9077"/>
          <cell r="H9077"/>
          <cell r="I9077"/>
          <cell r="J9077"/>
          <cell r="L9077"/>
        </row>
        <row r="9078">
          <cell r="A9078"/>
          <cell r="D9078"/>
          <cell r="E9078"/>
          <cell r="F9078"/>
          <cell r="G9078"/>
          <cell r="H9078"/>
          <cell r="I9078"/>
          <cell r="J9078"/>
          <cell r="L9078"/>
        </row>
        <row r="9079">
          <cell r="A9079"/>
          <cell r="D9079"/>
          <cell r="E9079"/>
          <cell r="F9079"/>
          <cell r="G9079"/>
          <cell r="H9079"/>
          <cell r="I9079"/>
          <cell r="J9079"/>
          <cell r="L9079"/>
        </row>
        <row r="9080">
          <cell r="A9080"/>
          <cell r="D9080"/>
          <cell r="E9080"/>
          <cell r="F9080"/>
          <cell r="G9080"/>
          <cell r="H9080"/>
          <cell r="I9080"/>
          <cell r="J9080"/>
          <cell r="L9080"/>
        </row>
        <row r="9081">
          <cell r="A9081"/>
          <cell r="D9081"/>
          <cell r="E9081"/>
          <cell r="F9081"/>
          <cell r="G9081"/>
          <cell r="H9081"/>
          <cell r="I9081"/>
          <cell r="J9081"/>
          <cell r="L9081"/>
        </row>
        <row r="9082">
          <cell r="A9082"/>
          <cell r="D9082"/>
          <cell r="E9082"/>
          <cell r="F9082"/>
          <cell r="G9082"/>
          <cell r="H9082"/>
          <cell r="I9082"/>
          <cell r="J9082"/>
          <cell r="L9082"/>
        </row>
        <row r="9083">
          <cell r="A9083"/>
          <cell r="D9083"/>
          <cell r="E9083"/>
          <cell r="F9083"/>
          <cell r="G9083"/>
          <cell r="H9083"/>
          <cell r="I9083"/>
          <cell r="J9083"/>
          <cell r="L9083"/>
        </row>
        <row r="9084">
          <cell r="A9084"/>
          <cell r="D9084"/>
          <cell r="E9084"/>
          <cell r="F9084"/>
          <cell r="G9084"/>
          <cell r="H9084"/>
          <cell r="I9084"/>
          <cell r="J9084"/>
          <cell r="L9084"/>
        </row>
        <row r="9085">
          <cell r="A9085"/>
          <cell r="D9085"/>
          <cell r="E9085"/>
          <cell r="F9085"/>
          <cell r="G9085"/>
          <cell r="H9085"/>
          <cell r="I9085"/>
          <cell r="J9085"/>
          <cell r="L9085"/>
        </row>
        <row r="9086">
          <cell r="A9086"/>
          <cell r="D9086"/>
          <cell r="E9086"/>
          <cell r="F9086"/>
          <cell r="G9086"/>
          <cell r="H9086"/>
          <cell r="I9086"/>
          <cell r="J9086"/>
          <cell r="L9086"/>
        </row>
        <row r="9087">
          <cell r="A9087"/>
          <cell r="D9087"/>
          <cell r="E9087"/>
          <cell r="F9087"/>
          <cell r="G9087"/>
          <cell r="H9087"/>
          <cell r="I9087"/>
          <cell r="J9087"/>
          <cell r="L9087"/>
        </row>
        <row r="9088">
          <cell r="A9088"/>
          <cell r="D9088"/>
          <cell r="E9088"/>
          <cell r="F9088"/>
          <cell r="G9088"/>
          <cell r="H9088"/>
          <cell r="I9088"/>
          <cell r="J9088"/>
          <cell r="L9088"/>
        </row>
        <row r="9089">
          <cell r="A9089"/>
          <cell r="D9089"/>
          <cell r="E9089"/>
          <cell r="F9089"/>
          <cell r="G9089"/>
          <cell r="H9089"/>
          <cell r="I9089"/>
          <cell r="J9089"/>
          <cell r="L9089"/>
        </row>
        <row r="9090">
          <cell r="A9090"/>
          <cell r="D9090"/>
          <cell r="E9090"/>
          <cell r="F9090"/>
          <cell r="G9090"/>
          <cell r="H9090"/>
          <cell r="I9090"/>
          <cell r="J9090"/>
          <cell r="L9090"/>
        </row>
        <row r="9091">
          <cell r="A9091"/>
          <cell r="D9091"/>
          <cell r="E9091"/>
          <cell r="F9091"/>
          <cell r="G9091"/>
          <cell r="H9091"/>
          <cell r="I9091"/>
          <cell r="J9091"/>
          <cell r="L9091"/>
        </row>
        <row r="9092">
          <cell r="A9092"/>
          <cell r="D9092"/>
          <cell r="E9092"/>
          <cell r="F9092"/>
          <cell r="G9092"/>
          <cell r="H9092"/>
          <cell r="I9092"/>
          <cell r="J9092"/>
          <cell r="L9092"/>
        </row>
        <row r="9093">
          <cell r="A9093"/>
          <cell r="D9093"/>
          <cell r="E9093"/>
          <cell r="F9093"/>
          <cell r="G9093"/>
          <cell r="H9093"/>
          <cell r="I9093"/>
          <cell r="J9093"/>
          <cell r="L9093"/>
        </row>
        <row r="9094">
          <cell r="A9094"/>
          <cell r="D9094"/>
          <cell r="E9094"/>
          <cell r="F9094"/>
          <cell r="G9094"/>
          <cell r="H9094"/>
          <cell r="I9094"/>
          <cell r="J9094"/>
          <cell r="L9094"/>
        </row>
        <row r="9095">
          <cell r="A9095"/>
          <cell r="D9095"/>
          <cell r="E9095"/>
          <cell r="F9095"/>
          <cell r="G9095"/>
          <cell r="H9095"/>
          <cell r="I9095"/>
          <cell r="J9095"/>
          <cell r="L9095"/>
        </row>
        <row r="9096">
          <cell r="A9096"/>
          <cell r="D9096"/>
          <cell r="E9096"/>
          <cell r="F9096"/>
          <cell r="G9096"/>
          <cell r="H9096"/>
          <cell r="I9096"/>
          <cell r="J9096"/>
          <cell r="L9096"/>
        </row>
        <row r="9097">
          <cell r="A9097"/>
          <cell r="D9097"/>
          <cell r="E9097"/>
          <cell r="F9097"/>
          <cell r="G9097"/>
          <cell r="H9097"/>
          <cell r="I9097"/>
          <cell r="J9097"/>
          <cell r="L9097"/>
        </row>
        <row r="9098">
          <cell r="A9098"/>
          <cell r="D9098"/>
          <cell r="E9098"/>
          <cell r="F9098"/>
          <cell r="G9098"/>
          <cell r="H9098"/>
          <cell r="I9098"/>
          <cell r="J9098"/>
          <cell r="L9098"/>
        </row>
        <row r="9099">
          <cell r="A9099"/>
          <cell r="D9099"/>
          <cell r="E9099"/>
          <cell r="F9099"/>
          <cell r="G9099"/>
          <cell r="H9099"/>
          <cell r="I9099"/>
          <cell r="J9099"/>
          <cell r="L9099"/>
        </row>
        <row r="9100">
          <cell r="A9100"/>
          <cell r="D9100"/>
          <cell r="E9100"/>
          <cell r="F9100"/>
          <cell r="G9100"/>
          <cell r="H9100"/>
          <cell r="I9100"/>
          <cell r="J9100"/>
          <cell r="L9100"/>
        </row>
        <row r="9101">
          <cell r="A9101"/>
          <cell r="D9101"/>
          <cell r="E9101"/>
          <cell r="F9101"/>
          <cell r="G9101"/>
          <cell r="H9101"/>
          <cell r="I9101"/>
          <cell r="J9101"/>
          <cell r="L9101"/>
        </row>
        <row r="9102">
          <cell r="A9102"/>
          <cell r="D9102"/>
          <cell r="E9102"/>
          <cell r="F9102"/>
          <cell r="G9102"/>
          <cell r="H9102"/>
          <cell r="I9102"/>
          <cell r="J9102"/>
          <cell r="L9102"/>
        </row>
        <row r="9103">
          <cell r="A9103"/>
          <cell r="D9103"/>
          <cell r="E9103"/>
          <cell r="F9103"/>
          <cell r="G9103"/>
          <cell r="H9103"/>
          <cell r="I9103"/>
          <cell r="J9103"/>
          <cell r="L9103"/>
        </row>
        <row r="9104">
          <cell r="A9104"/>
          <cell r="D9104"/>
          <cell r="E9104"/>
          <cell r="F9104"/>
          <cell r="G9104"/>
          <cell r="H9104"/>
          <cell r="I9104"/>
          <cell r="J9104"/>
          <cell r="L9104"/>
        </row>
        <row r="9105">
          <cell r="A9105"/>
          <cell r="D9105"/>
          <cell r="E9105"/>
          <cell r="F9105"/>
          <cell r="G9105"/>
          <cell r="H9105"/>
          <cell r="I9105"/>
          <cell r="J9105"/>
          <cell r="L9105"/>
        </row>
        <row r="9106">
          <cell r="A9106"/>
          <cell r="D9106"/>
          <cell r="E9106"/>
          <cell r="F9106"/>
          <cell r="G9106"/>
          <cell r="H9106"/>
          <cell r="I9106"/>
          <cell r="J9106"/>
          <cell r="L9106"/>
        </row>
        <row r="9107">
          <cell r="A9107"/>
          <cell r="D9107"/>
          <cell r="E9107"/>
          <cell r="F9107"/>
          <cell r="G9107"/>
          <cell r="H9107"/>
          <cell r="I9107"/>
          <cell r="J9107"/>
          <cell r="L9107"/>
        </row>
        <row r="9108">
          <cell r="A9108"/>
          <cell r="D9108"/>
          <cell r="E9108"/>
          <cell r="F9108"/>
          <cell r="G9108"/>
          <cell r="H9108"/>
          <cell r="I9108"/>
          <cell r="J9108"/>
          <cell r="L9108"/>
        </row>
        <row r="9109">
          <cell r="A9109"/>
          <cell r="D9109"/>
          <cell r="E9109"/>
          <cell r="F9109"/>
          <cell r="G9109"/>
          <cell r="H9109"/>
          <cell r="I9109"/>
          <cell r="J9109"/>
          <cell r="L9109"/>
        </row>
        <row r="9110">
          <cell r="A9110"/>
          <cell r="D9110"/>
          <cell r="E9110"/>
          <cell r="F9110"/>
          <cell r="G9110"/>
          <cell r="H9110"/>
          <cell r="I9110"/>
          <cell r="J9110"/>
          <cell r="L9110"/>
        </row>
        <row r="9111">
          <cell r="A9111"/>
          <cell r="D9111"/>
          <cell r="E9111"/>
          <cell r="F9111"/>
          <cell r="G9111"/>
          <cell r="H9111"/>
          <cell r="I9111"/>
          <cell r="J9111"/>
          <cell r="L9111"/>
        </row>
        <row r="9112">
          <cell r="A9112"/>
          <cell r="D9112"/>
          <cell r="E9112"/>
          <cell r="F9112"/>
          <cell r="G9112"/>
          <cell r="H9112"/>
          <cell r="I9112"/>
          <cell r="J9112"/>
          <cell r="L9112"/>
        </row>
        <row r="9113">
          <cell r="A9113"/>
          <cell r="D9113"/>
          <cell r="E9113"/>
          <cell r="F9113"/>
          <cell r="G9113"/>
          <cell r="H9113"/>
          <cell r="I9113"/>
          <cell r="J9113"/>
          <cell r="L9113"/>
        </row>
        <row r="9114">
          <cell r="A9114"/>
          <cell r="D9114"/>
          <cell r="E9114"/>
          <cell r="F9114"/>
          <cell r="G9114"/>
          <cell r="H9114"/>
          <cell r="I9114"/>
          <cell r="J9114"/>
          <cell r="L9114"/>
        </row>
        <row r="9115">
          <cell r="A9115"/>
          <cell r="D9115"/>
          <cell r="E9115"/>
          <cell r="F9115"/>
          <cell r="G9115"/>
          <cell r="H9115"/>
          <cell r="I9115"/>
          <cell r="J9115"/>
          <cell r="L9115"/>
        </row>
        <row r="9116">
          <cell r="A9116"/>
          <cell r="D9116"/>
          <cell r="E9116"/>
          <cell r="F9116"/>
          <cell r="G9116"/>
          <cell r="H9116"/>
          <cell r="I9116"/>
          <cell r="J9116"/>
          <cell r="L9116"/>
        </row>
        <row r="9117">
          <cell r="A9117"/>
          <cell r="D9117"/>
          <cell r="E9117"/>
          <cell r="F9117"/>
          <cell r="G9117"/>
          <cell r="H9117"/>
          <cell r="I9117"/>
          <cell r="J9117"/>
          <cell r="L9117"/>
        </row>
        <row r="9118">
          <cell r="A9118"/>
          <cell r="D9118"/>
          <cell r="E9118"/>
          <cell r="F9118"/>
          <cell r="G9118"/>
          <cell r="H9118"/>
          <cell r="I9118"/>
          <cell r="J9118"/>
          <cell r="L9118"/>
        </row>
        <row r="9119">
          <cell r="A9119"/>
          <cell r="D9119"/>
          <cell r="E9119"/>
          <cell r="F9119"/>
          <cell r="G9119"/>
          <cell r="H9119"/>
          <cell r="I9119"/>
          <cell r="J9119"/>
          <cell r="L9119"/>
        </row>
        <row r="9120">
          <cell r="A9120"/>
          <cell r="D9120"/>
          <cell r="E9120"/>
          <cell r="F9120"/>
          <cell r="G9120"/>
          <cell r="H9120"/>
          <cell r="I9120"/>
          <cell r="J9120"/>
          <cell r="L9120"/>
        </row>
        <row r="9121">
          <cell r="A9121"/>
          <cell r="D9121"/>
          <cell r="E9121"/>
          <cell r="F9121"/>
          <cell r="G9121"/>
          <cell r="H9121"/>
          <cell r="I9121"/>
          <cell r="J9121"/>
          <cell r="L9121"/>
        </row>
        <row r="9122">
          <cell r="A9122"/>
          <cell r="D9122"/>
          <cell r="E9122"/>
          <cell r="F9122"/>
          <cell r="G9122"/>
          <cell r="H9122"/>
          <cell r="I9122"/>
          <cell r="J9122"/>
          <cell r="L9122"/>
        </row>
        <row r="9123">
          <cell r="A9123"/>
          <cell r="D9123"/>
          <cell r="E9123"/>
          <cell r="F9123"/>
          <cell r="G9123"/>
          <cell r="H9123"/>
          <cell r="I9123"/>
          <cell r="J9123"/>
          <cell r="L9123"/>
        </row>
        <row r="9124">
          <cell r="A9124"/>
          <cell r="D9124"/>
          <cell r="E9124"/>
          <cell r="F9124"/>
          <cell r="G9124"/>
          <cell r="H9124"/>
          <cell r="I9124"/>
          <cell r="J9124"/>
          <cell r="L9124"/>
        </row>
        <row r="9125">
          <cell r="A9125"/>
          <cell r="D9125"/>
          <cell r="E9125"/>
          <cell r="F9125"/>
          <cell r="G9125"/>
          <cell r="H9125"/>
          <cell r="I9125"/>
          <cell r="J9125"/>
          <cell r="L9125"/>
        </row>
        <row r="9126">
          <cell r="A9126"/>
          <cell r="D9126"/>
          <cell r="E9126"/>
          <cell r="F9126"/>
          <cell r="G9126"/>
          <cell r="H9126"/>
          <cell r="I9126"/>
          <cell r="J9126"/>
          <cell r="L9126"/>
        </row>
        <row r="9127">
          <cell r="A9127"/>
          <cell r="D9127"/>
          <cell r="E9127"/>
          <cell r="F9127"/>
          <cell r="G9127"/>
          <cell r="H9127"/>
          <cell r="I9127"/>
          <cell r="J9127"/>
          <cell r="L9127"/>
        </row>
        <row r="9128">
          <cell r="A9128"/>
          <cell r="D9128"/>
          <cell r="E9128"/>
          <cell r="F9128"/>
          <cell r="G9128"/>
          <cell r="H9128"/>
          <cell r="I9128"/>
          <cell r="J9128"/>
          <cell r="L9128"/>
        </row>
        <row r="9129">
          <cell r="A9129"/>
          <cell r="D9129"/>
          <cell r="E9129"/>
          <cell r="F9129"/>
          <cell r="G9129"/>
          <cell r="H9129"/>
          <cell r="I9129"/>
          <cell r="J9129"/>
          <cell r="L9129"/>
        </row>
        <row r="9130">
          <cell r="A9130"/>
          <cell r="D9130"/>
          <cell r="E9130"/>
          <cell r="F9130"/>
          <cell r="G9130"/>
          <cell r="H9130"/>
          <cell r="I9130"/>
          <cell r="J9130"/>
          <cell r="L9130"/>
        </row>
        <row r="9131">
          <cell r="A9131"/>
          <cell r="D9131"/>
          <cell r="E9131"/>
          <cell r="F9131"/>
          <cell r="G9131"/>
          <cell r="H9131"/>
          <cell r="I9131"/>
          <cell r="J9131"/>
          <cell r="L9131"/>
        </row>
        <row r="9132">
          <cell r="A9132"/>
          <cell r="D9132"/>
          <cell r="E9132"/>
          <cell r="F9132"/>
          <cell r="G9132"/>
          <cell r="H9132"/>
          <cell r="I9132"/>
          <cell r="J9132"/>
          <cell r="L9132"/>
        </row>
        <row r="9133">
          <cell r="A9133"/>
          <cell r="D9133"/>
          <cell r="E9133"/>
          <cell r="F9133"/>
          <cell r="G9133"/>
          <cell r="H9133"/>
          <cell r="I9133"/>
          <cell r="J9133"/>
          <cell r="L9133"/>
        </row>
        <row r="9134">
          <cell r="A9134"/>
          <cell r="D9134"/>
          <cell r="E9134"/>
          <cell r="F9134"/>
          <cell r="G9134"/>
          <cell r="H9134"/>
          <cell r="I9134"/>
          <cell r="J9134"/>
          <cell r="L9134"/>
        </row>
        <row r="9135">
          <cell r="A9135"/>
          <cell r="D9135"/>
          <cell r="E9135"/>
          <cell r="F9135"/>
          <cell r="G9135"/>
          <cell r="H9135"/>
          <cell r="I9135"/>
          <cell r="J9135"/>
          <cell r="L9135"/>
        </row>
        <row r="9136">
          <cell r="A9136"/>
          <cell r="D9136"/>
          <cell r="E9136"/>
          <cell r="F9136"/>
          <cell r="G9136"/>
          <cell r="H9136"/>
          <cell r="I9136"/>
          <cell r="J9136"/>
          <cell r="L9136"/>
        </row>
        <row r="9137">
          <cell r="A9137"/>
          <cell r="D9137"/>
          <cell r="E9137"/>
          <cell r="F9137"/>
          <cell r="G9137"/>
          <cell r="H9137"/>
          <cell r="I9137"/>
          <cell r="J9137"/>
          <cell r="L9137"/>
        </row>
        <row r="9138">
          <cell r="A9138"/>
          <cell r="D9138"/>
          <cell r="E9138"/>
          <cell r="F9138"/>
          <cell r="G9138"/>
          <cell r="H9138"/>
          <cell r="I9138"/>
          <cell r="J9138"/>
          <cell r="L9138"/>
        </row>
        <row r="9139">
          <cell r="A9139"/>
          <cell r="D9139"/>
          <cell r="E9139"/>
          <cell r="F9139"/>
          <cell r="G9139"/>
          <cell r="H9139"/>
          <cell r="I9139"/>
          <cell r="J9139"/>
          <cell r="L9139"/>
        </row>
        <row r="9140">
          <cell r="A9140"/>
          <cell r="D9140"/>
          <cell r="E9140"/>
          <cell r="F9140"/>
          <cell r="G9140"/>
          <cell r="H9140"/>
          <cell r="I9140"/>
          <cell r="J9140"/>
          <cell r="L9140"/>
        </row>
        <row r="9141">
          <cell r="A9141"/>
          <cell r="D9141"/>
          <cell r="E9141"/>
          <cell r="F9141"/>
          <cell r="G9141"/>
          <cell r="H9141"/>
          <cell r="I9141"/>
          <cell r="J9141"/>
          <cell r="L9141"/>
        </row>
        <row r="9142">
          <cell r="A9142"/>
          <cell r="D9142"/>
          <cell r="E9142"/>
          <cell r="F9142"/>
          <cell r="G9142"/>
          <cell r="H9142"/>
          <cell r="I9142"/>
          <cell r="J9142"/>
          <cell r="L9142"/>
        </row>
        <row r="9143">
          <cell r="A9143"/>
          <cell r="D9143"/>
          <cell r="E9143"/>
          <cell r="F9143"/>
          <cell r="G9143"/>
          <cell r="H9143"/>
          <cell r="I9143"/>
          <cell r="J9143"/>
          <cell r="L9143"/>
        </row>
        <row r="9144">
          <cell r="A9144"/>
          <cell r="D9144"/>
          <cell r="E9144"/>
          <cell r="F9144"/>
          <cell r="G9144"/>
          <cell r="H9144"/>
          <cell r="I9144"/>
          <cell r="J9144"/>
          <cell r="L9144"/>
        </row>
        <row r="9145">
          <cell r="A9145"/>
          <cell r="D9145"/>
          <cell r="E9145"/>
          <cell r="F9145"/>
          <cell r="G9145"/>
          <cell r="H9145"/>
          <cell r="I9145"/>
          <cell r="J9145"/>
          <cell r="L9145"/>
        </row>
        <row r="9146">
          <cell r="A9146"/>
          <cell r="D9146"/>
          <cell r="E9146"/>
          <cell r="F9146"/>
          <cell r="G9146"/>
          <cell r="H9146"/>
          <cell r="I9146"/>
          <cell r="J9146"/>
          <cell r="L9146"/>
        </row>
        <row r="9147">
          <cell r="A9147"/>
          <cell r="D9147"/>
          <cell r="E9147"/>
          <cell r="F9147"/>
          <cell r="G9147"/>
          <cell r="H9147"/>
          <cell r="I9147"/>
          <cell r="J9147"/>
          <cell r="L9147"/>
        </row>
        <row r="9148">
          <cell r="A9148"/>
          <cell r="D9148"/>
          <cell r="E9148"/>
          <cell r="F9148"/>
          <cell r="G9148"/>
          <cell r="H9148"/>
          <cell r="I9148"/>
          <cell r="J9148"/>
          <cell r="L9148"/>
        </row>
        <row r="9149">
          <cell r="A9149"/>
          <cell r="D9149"/>
          <cell r="E9149"/>
          <cell r="F9149"/>
          <cell r="G9149"/>
          <cell r="H9149"/>
          <cell r="I9149"/>
          <cell r="J9149"/>
          <cell r="L9149"/>
        </row>
        <row r="9150">
          <cell r="A9150"/>
          <cell r="D9150"/>
          <cell r="E9150"/>
          <cell r="F9150"/>
          <cell r="G9150"/>
          <cell r="H9150"/>
          <cell r="I9150"/>
          <cell r="J9150"/>
          <cell r="L9150"/>
        </row>
        <row r="9151">
          <cell r="A9151"/>
          <cell r="D9151"/>
          <cell r="E9151"/>
          <cell r="F9151"/>
          <cell r="G9151"/>
          <cell r="H9151"/>
          <cell r="I9151"/>
          <cell r="J9151"/>
          <cell r="L9151"/>
        </row>
        <row r="9152">
          <cell r="A9152"/>
          <cell r="D9152"/>
          <cell r="E9152"/>
          <cell r="F9152"/>
          <cell r="G9152"/>
          <cell r="H9152"/>
          <cell r="I9152"/>
          <cell r="J9152"/>
          <cell r="L9152"/>
        </row>
        <row r="9153">
          <cell r="A9153"/>
          <cell r="D9153"/>
          <cell r="E9153"/>
          <cell r="F9153"/>
          <cell r="G9153"/>
          <cell r="H9153"/>
          <cell r="I9153"/>
          <cell r="J9153"/>
          <cell r="L9153"/>
        </row>
        <row r="9154">
          <cell r="A9154"/>
          <cell r="D9154"/>
          <cell r="E9154"/>
          <cell r="F9154"/>
          <cell r="G9154"/>
          <cell r="H9154"/>
          <cell r="I9154"/>
          <cell r="J9154"/>
          <cell r="L9154"/>
        </row>
        <row r="9155">
          <cell r="A9155"/>
          <cell r="D9155"/>
          <cell r="E9155"/>
          <cell r="F9155"/>
          <cell r="G9155"/>
          <cell r="H9155"/>
          <cell r="I9155"/>
          <cell r="J9155"/>
          <cell r="L9155"/>
        </row>
        <row r="9156">
          <cell r="A9156"/>
          <cell r="D9156"/>
          <cell r="E9156"/>
          <cell r="F9156"/>
          <cell r="G9156"/>
          <cell r="H9156"/>
          <cell r="I9156"/>
          <cell r="J9156"/>
          <cell r="L9156"/>
        </row>
        <row r="9157">
          <cell r="A9157"/>
          <cell r="D9157"/>
          <cell r="E9157"/>
          <cell r="F9157"/>
          <cell r="G9157"/>
          <cell r="H9157"/>
          <cell r="I9157"/>
          <cell r="J9157"/>
          <cell r="L9157"/>
        </row>
        <row r="9158">
          <cell r="A9158"/>
          <cell r="D9158"/>
          <cell r="E9158"/>
          <cell r="F9158"/>
          <cell r="G9158"/>
          <cell r="H9158"/>
          <cell r="I9158"/>
          <cell r="J9158"/>
          <cell r="L9158"/>
        </row>
        <row r="9159">
          <cell r="A9159"/>
          <cell r="D9159"/>
          <cell r="E9159"/>
          <cell r="F9159"/>
          <cell r="G9159"/>
          <cell r="H9159"/>
          <cell r="I9159"/>
          <cell r="J9159"/>
          <cell r="L9159"/>
        </row>
        <row r="9160">
          <cell r="A9160"/>
          <cell r="D9160"/>
          <cell r="E9160"/>
          <cell r="F9160"/>
          <cell r="G9160"/>
          <cell r="H9160"/>
          <cell r="I9160"/>
          <cell r="J9160"/>
          <cell r="L9160"/>
        </row>
        <row r="9161">
          <cell r="A9161"/>
          <cell r="D9161"/>
          <cell r="E9161"/>
          <cell r="F9161"/>
          <cell r="G9161"/>
          <cell r="H9161"/>
          <cell r="I9161"/>
          <cell r="J9161"/>
          <cell r="L9161"/>
        </row>
        <row r="9162">
          <cell r="A9162"/>
          <cell r="D9162"/>
          <cell r="E9162"/>
          <cell r="F9162"/>
          <cell r="G9162"/>
          <cell r="H9162"/>
          <cell r="I9162"/>
          <cell r="J9162"/>
          <cell r="L9162"/>
        </row>
        <row r="9163">
          <cell r="A9163"/>
          <cell r="D9163"/>
          <cell r="E9163"/>
          <cell r="F9163"/>
          <cell r="G9163"/>
          <cell r="H9163"/>
          <cell r="I9163"/>
          <cell r="J9163"/>
          <cell r="L9163"/>
        </row>
        <row r="9164">
          <cell r="A9164"/>
          <cell r="D9164"/>
          <cell r="E9164"/>
          <cell r="F9164"/>
          <cell r="G9164"/>
          <cell r="H9164"/>
          <cell r="I9164"/>
          <cell r="J9164"/>
          <cell r="L9164"/>
        </row>
        <row r="9165">
          <cell r="A9165"/>
          <cell r="D9165"/>
          <cell r="E9165"/>
          <cell r="F9165"/>
          <cell r="G9165"/>
          <cell r="H9165"/>
          <cell r="I9165"/>
          <cell r="J9165"/>
          <cell r="L9165"/>
        </row>
        <row r="9166">
          <cell r="A9166"/>
          <cell r="D9166"/>
          <cell r="E9166"/>
          <cell r="F9166"/>
          <cell r="G9166"/>
          <cell r="H9166"/>
          <cell r="I9166"/>
          <cell r="J9166"/>
          <cell r="L9166"/>
        </row>
        <row r="9167">
          <cell r="A9167"/>
          <cell r="D9167"/>
          <cell r="E9167"/>
          <cell r="F9167"/>
          <cell r="G9167"/>
          <cell r="H9167"/>
          <cell r="I9167"/>
          <cell r="J9167"/>
          <cell r="L9167"/>
        </row>
        <row r="9168">
          <cell r="A9168"/>
          <cell r="D9168"/>
          <cell r="E9168"/>
          <cell r="F9168"/>
          <cell r="G9168"/>
          <cell r="H9168"/>
          <cell r="I9168"/>
          <cell r="J9168"/>
          <cell r="L9168"/>
        </row>
        <row r="9169">
          <cell r="A9169"/>
          <cell r="D9169"/>
          <cell r="E9169"/>
          <cell r="F9169"/>
          <cell r="G9169"/>
          <cell r="H9169"/>
          <cell r="I9169"/>
          <cell r="J9169"/>
          <cell r="L9169"/>
        </row>
        <row r="9170">
          <cell r="A9170"/>
          <cell r="D9170"/>
          <cell r="E9170"/>
          <cell r="F9170"/>
          <cell r="G9170"/>
          <cell r="H9170"/>
          <cell r="I9170"/>
          <cell r="J9170"/>
          <cell r="L9170"/>
        </row>
        <row r="9171">
          <cell r="A9171"/>
          <cell r="D9171"/>
          <cell r="E9171"/>
          <cell r="F9171"/>
          <cell r="G9171"/>
          <cell r="H9171"/>
          <cell r="I9171"/>
          <cell r="J9171"/>
          <cell r="L9171"/>
        </row>
        <row r="9172">
          <cell r="A9172"/>
          <cell r="D9172"/>
          <cell r="E9172"/>
          <cell r="F9172"/>
          <cell r="G9172"/>
          <cell r="H9172"/>
          <cell r="I9172"/>
          <cell r="J9172"/>
          <cell r="L9172"/>
        </row>
        <row r="9173">
          <cell r="A9173"/>
          <cell r="D9173"/>
          <cell r="E9173"/>
          <cell r="F9173"/>
          <cell r="G9173"/>
          <cell r="H9173"/>
          <cell r="I9173"/>
          <cell r="J9173"/>
          <cell r="L9173"/>
        </row>
        <row r="9174">
          <cell r="A9174"/>
          <cell r="D9174"/>
          <cell r="E9174"/>
          <cell r="F9174"/>
          <cell r="G9174"/>
          <cell r="H9174"/>
          <cell r="I9174"/>
          <cell r="J9174"/>
          <cell r="L9174"/>
        </row>
        <row r="9175">
          <cell r="A9175"/>
          <cell r="D9175"/>
          <cell r="E9175"/>
          <cell r="F9175"/>
          <cell r="G9175"/>
          <cell r="H9175"/>
          <cell r="I9175"/>
          <cell r="J9175"/>
          <cell r="L9175"/>
        </row>
        <row r="9176">
          <cell r="A9176"/>
          <cell r="D9176"/>
          <cell r="E9176"/>
          <cell r="F9176"/>
          <cell r="G9176"/>
          <cell r="H9176"/>
          <cell r="I9176"/>
          <cell r="J9176"/>
          <cell r="L9176"/>
        </row>
        <row r="9177">
          <cell r="A9177"/>
          <cell r="D9177"/>
          <cell r="E9177"/>
          <cell r="F9177"/>
          <cell r="G9177"/>
          <cell r="H9177"/>
          <cell r="I9177"/>
          <cell r="J9177"/>
          <cell r="L9177"/>
        </row>
        <row r="9178">
          <cell r="A9178"/>
          <cell r="D9178"/>
          <cell r="E9178"/>
          <cell r="F9178"/>
          <cell r="G9178"/>
          <cell r="H9178"/>
          <cell r="I9178"/>
          <cell r="J9178"/>
          <cell r="L9178"/>
        </row>
        <row r="9179">
          <cell r="A9179"/>
          <cell r="D9179"/>
          <cell r="E9179"/>
          <cell r="F9179"/>
          <cell r="G9179"/>
          <cell r="H9179"/>
          <cell r="I9179"/>
          <cell r="J9179"/>
          <cell r="L9179"/>
        </row>
        <row r="9180">
          <cell r="A9180"/>
          <cell r="D9180"/>
          <cell r="E9180"/>
          <cell r="F9180"/>
          <cell r="G9180"/>
          <cell r="H9180"/>
          <cell r="I9180"/>
          <cell r="J9180"/>
          <cell r="L9180"/>
        </row>
        <row r="9181">
          <cell r="A9181"/>
          <cell r="D9181"/>
          <cell r="E9181"/>
          <cell r="F9181"/>
          <cell r="G9181"/>
          <cell r="H9181"/>
          <cell r="I9181"/>
          <cell r="J9181"/>
          <cell r="L9181"/>
        </row>
        <row r="9182">
          <cell r="A9182"/>
          <cell r="D9182"/>
          <cell r="E9182"/>
          <cell r="F9182"/>
          <cell r="G9182"/>
          <cell r="H9182"/>
          <cell r="I9182"/>
          <cell r="J9182"/>
          <cell r="L9182"/>
        </row>
        <row r="9183">
          <cell r="A9183"/>
          <cell r="D9183"/>
          <cell r="E9183"/>
          <cell r="F9183"/>
          <cell r="G9183"/>
          <cell r="H9183"/>
          <cell r="I9183"/>
          <cell r="J9183"/>
          <cell r="L9183"/>
        </row>
        <row r="9184">
          <cell r="A9184"/>
          <cell r="D9184"/>
          <cell r="E9184"/>
          <cell r="F9184"/>
          <cell r="G9184"/>
          <cell r="H9184"/>
          <cell r="I9184"/>
          <cell r="J9184"/>
          <cell r="L9184"/>
        </row>
        <row r="9185">
          <cell r="A9185"/>
          <cell r="D9185"/>
          <cell r="E9185"/>
          <cell r="F9185"/>
          <cell r="G9185"/>
          <cell r="H9185"/>
          <cell r="I9185"/>
          <cell r="J9185"/>
          <cell r="L9185"/>
        </row>
        <row r="9186">
          <cell r="A9186"/>
          <cell r="D9186"/>
          <cell r="E9186"/>
          <cell r="F9186"/>
          <cell r="G9186"/>
          <cell r="H9186"/>
          <cell r="I9186"/>
          <cell r="J9186"/>
          <cell r="L9186"/>
        </row>
        <row r="9187">
          <cell r="A9187"/>
          <cell r="D9187"/>
          <cell r="E9187"/>
          <cell r="F9187"/>
          <cell r="G9187"/>
          <cell r="H9187"/>
          <cell r="I9187"/>
          <cell r="J9187"/>
          <cell r="L9187"/>
        </row>
        <row r="9188">
          <cell r="A9188"/>
          <cell r="D9188"/>
          <cell r="E9188"/>
          <cell r="F9188"/>
          <cell r="G9188"/>
          <cell r="H9188"/>
          <cell r="I9188"/>
          <cell r="J9188"/>
          <cell r="L9188"/>
        </row>
        <row r="9189">
          <cell r="A9189"/>
          <cell r="D9189"/>
          <cell r="E9189"/>
          <cell r="F9189"/>
          <cell r="G9189"/>
          <cell r="H9189"/>
          <cell r="I9189"/>
          <cell r="J9189"/>
          <cell r="L9189"/>
        </row>
        <row r="9190">
          <cell r="A9190"/>
          <cell r="D9190"/>
          <cell r="E9190"/>
          <cell r="F9190"/>
          <cell r="G9190"/>
          <cell r="H9190"/>
          <cell r="I9190"/>
          <cell r="J9190"/>
          <cell r="L9190"/>
        </row>
        <row r="9191">
          <cell r="A9191"/>
          <cell r="D9191"/>
          <cell r="E9191"/>
          <cell r="F9191"/>
          <cell r="G9191"/>
          <cell r="H9191"/>
          <cell r="I9191"/>
          <cell r="J9191"/>
          <cell r="L9191"/>
        </row>
        <row r="9192">
          <cell r="A9192"/>
          <cell r="D9192"/>
          <cell r="E9192"/>
          <cell r="F9192"/>
          <cell r="G9192"/>
          <cell r="H9192"/>
          <cell r="I9192"/>
          <cell r="J9192"/>
          <cell r="L9192"/>
        </row>
        <row r="9193">
          <cell r="A9193"/>
          <cell r="D9193"/>
          <cell r="E9193"/>
          <cell r="F9193"/>
          <cell r="G9193"/>
          <cell r="H9193"/>
          <cell r="I9193"/>
          <cell r="J9193"/>
          <cell r="L9193"/>
        </row>
        <row r="9194">
          <cell r="A9194"/>
          <cell r="D9194"/>
          <cell r="E9194"/>
          <cell r="F9194"/>
          <cell r="G9194"/>
          <cell r="H9194"/>
          <cell r="I9194"/>
          <cell r="J9194"/>
          <cell r="L9194"/>
        </row>
        <row r="9195">
          <cell r="A9195"/>
          <cell r="D9195"/>
          <cell r="E9195"/>
          <cell r="F9195"/>
          <cell r="G9195"/>
          <cell r="H9195"/>
          <cell r="I9195"/>
          <cell r="J9195"/>
          <cell r="L9195"/>
        </row>
        <row r="9196">
          <cell r="A9196"/>
          <cell r="D9196"/>
          <cell r="E9196"/>
          <cell r="F9196"/>
          <cell r="G9196"/>
          <cell r="H9196"/>
          <cell r="I9196"/>
          <cell r="J9196"/>
          <cell r="L9196"/>
        </row>
        <row r="9197">
          <cell r="A9197"/>
          <cell r="D9197"/>
          <cell r="E9197"/>
          <cell r="F9197"/>
          <cell r="G9197"/>
          <cell r="H9197"/>
          <cell r="I9197"/>
          <cell r="J9197"/>
          <cell r="L9197"/>
        </row>
        <row r="9198">
          <cell r="A9198"/>
          <cell r="D9198"/>
          <cell r="E9198"/>
          <cell r="F9198"/>
          <cell r="G9198"/>
          <cell r="H9198"/>
          <cell r="I9198"/>
          <cell r="J9198"/>
          <cell r="L9198"/>
        </row>
        <row r="9199">
          <cell r="A9199"/>
          <cell r="D9199"/>
          <cell r="E9199"/>
          <cell r="F9199"/>
          <cell r="G9199"/>
          <cell r="H9199"/>
          <cell r="I9199"/>
          <cell r="J9199"/>
          <cell r="L9199"/>
        </row>
        <row r="9200">
          <cell r="A9200"/>
          <cell r="D9200"/>
          <cell r="E9200"/>
          <cell r="F9200"/>
          <cell r="G9200"/>
          <cell r="H9200"/>
          <cell r="I9200"/>
          <cell r="J9200"/>
          <cell r="L9200"/>
        </row>
        <row r="9201">
          <cell r="A9201"/>
          <cell r="D9201"/>
          <cell r="E9201"/>
          <cell r="F9201"/>
          <cell r="G9201"/>
          <cell r="H9201"/>
          <cell r="I9201"/>
          <cell r="J9201"/>
          <cell r="L9201"/>
        </row>
        <row r="9202">
          <cell r="A9202"/>
          <cell r="D9202"/>
          <cell r="E9202"/>
          <cell r="F9202"/>
          <cell r="G9202"/>
          <cell r="H9202"/>
          <cell r="I9202"/>
          <cell r="J9202"/>
          <cell r="L9202"/>
        </row>
        <row r="9203">
          <cell r="A9203"/>
          <cell r="D9203"/>
          <cell r="E9203"/>
          <cell r="F9203"/>
          <cell r="G9203"/>
          <cell r="H9203"/>
          <cell r="I9203"/>
          <cell r="J9203"/>
          <cell r="L9203"/>
        </row>
        <row r="9204">
          <cell r="A9204"/>
          <cell r="D9204"/>
          <cell r="E9204"/>
          <cell r="F9204"/>
          <cell r="G9204"/>
          <cell r="H9204"/>
          <cell r="I9204"/>
          <cell r="J9204"/>
          <cell r="L9204"/>
        </row>
        <row r="9205">
          <cell r="A9205"/>
          <cell r="D9205"/>
          <cell r="E9205"/>
          <cell r="F9205"/>
          <cell r="G9205"/>
          <cell r="H9205"/>
          <cell r="I9205"/>
          <cell r="J9205"/>
          <cell r="L9205"/>
        </row>
        <row r="9206">
          <cell r="A9206"/>
          <cell r="D9206"/>
          <cell r="E9206"/>
          <cell r="F9206"/>
          <cell r="G9206"/>
          <cell r="H9206"/>
          <cell r="I9206"/>
          <cell r="J9206"/>
          <cell r="L9206"/>
        </row>
        <row r="9207">
          <cell r="A9207"/>
          <cell r="D9207"/>
          <cell r="E9207"/>
          <cell r="F9207"/>
          <cell r="G9207"/>
          <cell r="H9207"/>
          <cell r="I9207"/>
          <cell r="J9207"/>
          <cell r="L9207"/>
        </row>
        <row r="9208">
          <cell r="A9208"/>
          <cell r="D9208"/>
          <cell r="E9208"/>
          <cell r="F9208"/>
          <cell r="G9208"/>
          <cell r="H9208"/>
          <cell r="I9208"/>
          <cell r="J9208"/>
          <cell r="L9208"/>
        </row>
        <row r="9209">
          <cell r="A9209"/>
          <cell r="D9209"/>
          <cell r="E9209"/>
          <cell r="F9209"/>
          <cell r="G9209"/>
          <cell r="H9209"/>
          <cell r="I9209"/>
          <cell r="J9209"/>
          <cell r="L9209"/>
        </row>
        <row r="9210">
          <cell r="A9210"/>
          <cell r="D9210"/>
          <cell r="E9210"/>
          <cell r="F9210"/>
          <cell r="G9210"/>
          <cell r="H9210"/>
          <cell r="I9210"/>
          <cell r="J9210"/>
          <cell r="L9210"/>
        </row>
        <row r="9211">
          <cell r="A9211"/>
          <cell r="D9211"/>
          <cell r="E9211"/>
          <cell r="F9211"/>
          <cell r="G9211"/>
          <cell r="H9211"/>
          <cell r="I9211"/>
          <cell r="J9211"/>
          <cell r="L9211"/>
        </row>
        <row r="9212">
          <cell r="A9212"/>
          <cell r="D9212"/>
          <cell r="E9212"/>
          <cell r="F9212"/>
          <cell r="G9212"/>
          <cell r="H9212"/>
          <cell r="I9212"/>
          <cell r="J9212"/>
          <cell r="L9212"/>
        </row>
        <row r="9213">
          <cell r="A9213"/>
          <cell r="D9213"/>
          <cell r="E9213"/>
          <cell r="F9213"/>
          <cell r="G9213"/>
          <cell r="H9213"/>
          <cell r="I9213"/>
          <cell r="J9213"/>
          <cell r="L9213"/>
        </row>
        <row r="9214">
          <cell r="A9214"/>
          <cell r="D9214"/>
          <cell r="E9214"/>
          <cell r="F9214"/>
          <cell r="G9214"/>
          <cell r="H9214"/>
          <cell r="I9214"/>
          <cell r="J9214"/>
          <cell r="L9214"/>
        </row>
        <row r="9215">
          <cell r="A9215"/>
          <cell r="D9215"/>
          <cell r="E9215"/>
          <cell r="F9215"/>
          <cell r="G9215"/>
          <cell r="H9215"/>
          <cell r="I9215"/>
          <cell r="J9215"/>
          <cell r="L9215"/>
        </row>
        <row r="9216">
          <cell r="A9216"/>
          <cell r="D9216"/>
          <cell r="E9216"/>
          <cell r="F9216"/>
          <cell r="G9216"/>
          <cell r="H9216"/>
          <cell r="I9216"/>
          <cell r="J9216"/>
          <cell r="L9216"/>
        </row>
        <row r="9217">
          <cell r="A9217"/>
          <cell r="D9217"/>
          <cell r="E9217"/>
          <cell r="F9217"/>
          <cell r="G9217"/>
          <cell r="H9217"/>
          <cell r="I9217"/>
          <cell r="J9217"/>
          <cell r="L9217"/>
        </row>
        <row r="9218">
          <cell r="A9218"/>
          <cell r="D9218"/>
          <cell r="E9218"/>
          <cell r="F9218"/>
          <cell r="G9218"/>
          <cell r="H9218"/>
          <cell r="I9218"/>
          <cell r="J9218"/>
          <cell r="L9218"/>
        </row>
        <row r="9219">
          <cell r="A9219"/>
          <cell r="D9219"/>
          <cell r="E9219"/>
          <cell r="F9219"/>
          <cell r="G9219"/>
          <cell r="H9219"/>
          <cell r="I9219"/>
          <cell r="J9219"/>
          <cell r="L9219"/>
        </row>
        <row r="9220">
          <cell r="A9220"/>
          <cell r="D9220"/>
          <cell r="E9220"/>
          <cell r="F9220"/>
          <cell r="G9220"/>
          <cell r="H9220"/>
          <cell r="I9220"/>
          <cell r="J9220"/>
          <cell r="L9220"/>
        </row>
        <row r="9221">
          <cell r="A9221"/>
          <cell r="D9221"/>
          <cell r="E9221"/>
          <cell r="F9221"/>
          <cell r="G9221"/>
          <cell r="H9221"/>
          <cell r="I9221"/>
          <cell r="J9221"/>
          <cell r="L9221"/>
        </row>
        <row r="9222">
          <cell r="A9222"/>
          <cell r="D9222"/>
          <cell r="E9222"/>
          <cell r="F9222"/>
          <cell r="G9222"/>
          <cell r="H9222"/>
          <cell r="I9222"/>
          <cell r="J9222"/>
          <cell r="L9222"/>
        </row>
        <row r="9223">
          <cell r="A9223"/>
          <cell r="D9223"/>
          <cell r="E9223"/>
          <cell r="F9223"/>
          <cell r="G9223"/>
          <cell r="H9223"/>
          <cell r="I9223"/>
          <cell r="J9223"/>
          <cell r="L9223"/>
        </row>
        <row r="9224">
          <cell r="A9224"/>
          <cell r="D9224"/>
          <cell r="E9224"/>
          <cell r="F9224"/>
          <cell r="G9224"/>
          <cell r="H9224"/>
          <cell r="I9224"/>
          <cell r="J9224"/>
          <cell r="L9224"/>
        </row>
        <row r="9225">
          <cell r="A9225"/>
          <cell r="D9225"/>
          <cell r="E9225"/>
          <cell r="F9225"/>
          <cell r="G9225"/>
          <cell r="H9225"/>
          <cell r="I9225"/>
          <cell r="J9225"/>
          <cell r="L9225"/>
        </row>
        <row r="9226">
          <cell r="A9226"/>
          <cell r="D9226"/>
          <cell r="E9226"/>
          <cell r="F9226"/>
          <cell r="G9226"/>
          <cell r="H9226"/>
          <cell r="I9226"/>
          <cell r="J9226"/>
          <cell r="L9226"/>
        </row>
        <row r="9227">
          <cell r="A9227"/>
          <cell r="D9227"/>
          <cell r="E9227"/>
          <cell r="F9227"/>
          <cell r="G9227"/>
          <cell r="H9227"/>
          <cell r="I9227"/>
          <cell r="J9227"/>
          <cell r="L9227"/>
        </row>
        <row r="9228">
          <cell r="A9228"/>
          <cell r="D9228"/>
          <cell r="E9228"/>
          <cell r="F9228"/>
          <cell r="G9228"/>
          <cell r="H9228"/>
          <cell r="I9228"/>
          <cell r="J9228"/>
          <cell r="L9228"/>
        </row>
        <row r="9229">
          <cell r="A9229"/>
          <cell r="D9229"/>
          <cell r="E9229"/>
          <cell r="F9229"/>
          <cell r="G9229"/>
          <cell r="H9229"/>
          <cell r="I9229"/>
          <cell r="J9229"/>
          <cell r="L9229"/>
        </row>
        <row r="9230">
          <cell r="A9230"/>
          <cell r="D9230"/>
          <cell r="E9230"/>
          <cell r="F9230"/>
          <cell r="G9230"/>
          <cell r="H9230"/>
          <cell r="I9230"/>
          <cell r="J9230"/>
          <cell r="L9230"/>
        </row>
        <row r="9231">
          <cell r="A9231"/>
          <cell r="D9231"/>
          <cell r="E9231"/>
          <cell r="F9231"/>
          <cell r="G9231"/>
          <cell r="H9231"/>
          <cell r="I9231"/>
          <cell r="J9231"/>
          <cell r="L9231"/>
        </row>
        <row r="9232">
          <cell r="A9232"/>
          <cell r="D9232"/>
          <cell r="E9232"/>
          <cell r="F9232"/>
          <cell r="G9232"/>
          <cell r="H9232"/>
          <cell r="I9232"/>
          <cell r="J9232"/>
          <cell r="L9232"/>
        </row>
        <row r="9233">
          <cell r="A9233"/>
          <cell r="D9233"/>
          <cell r="E9233"/>
          <cell r="F9233"/>
          <cell r="G9233"/>
          <cell r="H9233"/>
          <cell r="I9233"/>
          <cell r="J9233"/>
          <cell r="L9233"/>
        </row>
        <row r="9234">
          <cell r="A9234"/>
          <cell r="D9234"/>
          <cell r="E9234"/>
          <cell r="F9234"/>
          <cell r="G9234"/>
          <cell r="H9234"/>
          <cell r="I9234"/>
          <cell r="J9234"/>
          <cell r="L9234"/>
        </row>
        <row r="9235">
          <cell r="A9235"/>
          <cell r="D9235"/>
          <cell r="E9235"/>
          <cell r="F9235"/>
          <cell r="G9235"/>
          <cell r="H9235"/>
          <cell r="I9235"/>
          <cell r="J9235"/>
          <cell r="L9235"/>
        </row>
        <row r="9236">
          <cell r="A9236"/>
          <cell r="D9236"/>
          <cell r="E9236"/>
          <cell r="F9236"/>
          <cell r="G9236"/>
          <cell r="H9236"/>
          <cell r="I9236"/>
          <cell r="J9236"/>
          <cell r="L9236"/>
        </row>
        <row r="9237">
          <cell r="A9237"/>
          <cell r="D9237"/>
          <cell r="E9237"/>
          <cell r="F9237"/>
          <cell r="G9237"/>
          <cell r="H9237"/>
          <cell r="I9237"/>
          <cell r="J9237"/>
          <cell r="L9237"/>
        </row>
        <row r="9238">
          <cell r="A9238"/>
          <cell r="D9238"/>
          <cell r="E9238"/>
          <cell r="F9238"/>
          <cell r="G9238"/>
          <cell r="H9238"/>
          <cell r="I9238"/>
          <cell r="J9238"/>
          <cell r="L9238"/>
        </row>
        <row r="9239">
          <cell r="A9239"/>
          <cell r="D9239"/>
          <cell r="E9239"/>
          <cell r="F9239"/>
          <cell r="G9239"/>
          <cell r="H9239"/>
          <cell r="I9239"/>
          <cell r="J9239"/>
          <cell r="L9239"/>
        </row>
        <row r="9240">
          <cell r="A9240"/>
          <cell r="D9240"/>
          <cell r="E9240"/>
          <cell r="F9240"/>
          <cell r="G9240"/>
          <cell r="H9240"/>
          <cell r="I9240"/>
          <cell r="J9240"/>
          <cell r="L9240"/>
        </row>
        <row r="9241">
          <cell r="A9241"/>
          <cell r="D9241"/>
          <cell r="E9241"/>
          <cell r="F9241"/>
          <cell r="G9241"/>
          <cell r="H9241"/>
          <cell r="I9241"/>
          <cell r="J9241"/>
          <cell r="L9241"/>
        </row>
        <row r="9242">
          <cell r="A9242"/>
          <cell r="D9242"/>
          <cell r="E9242"/>
          <cell r="F9242"/>
          <cell r="G9242"/>
          <cell r="H9242"/>
          <cell r="I9242"/>
          <cell r="J9242"/>
          <cell r="L9242"/>
        </row>
        <row r="9243">
          <cell r="A9243"/>
          <cell r="D9243"/>
          <cell r="E9243"/>
          <cell r="F9243"/>
          <cell r="G9243"/>
          <cell r="H9243"/>
          <cell r="I9243"/>
          <cell r="J9243"/>
          <cell r="L9243"/>
        </row>
        <row r="9244">
          <cell r="A9244"/>
          <cell r="D9244"/>
          <cell r="E9244"/>
          <cell r="F9244"/>
          <cell r="G9244"/>
          <cell r="H9244"/>
          <cell r="I9244"/>
          <cell r="J9244"/>
          <cell r="L9244"/>
        </row>
        <row r="9245">
          <cell r="A9245"/>
          <cell r="D9245"/>
          <cell r="E9245"/>
          <cell r="F9245"/>
          <cell r="G9245"/>
          <cell r="H9245"/>
          <cell r="I9245"/>
          <cell r="J9245"/>
          <cell r="L9245"/>
        </row>
        <row r="9246">
          <cell r="A9246"/>
          <cell r="D9246"/>
          <cell r="E9246"/>
          <cell r="F9246"/>
          <cell r="G9246"/>
          <cell r="H9246"/>
          <cell r="I9246"/>
          <cell r="J9246"/>
          <cell r="L9246"/>
        </row>
        <row r="9247">
          <cell r="A9247"/>
          <cell r="D9247"/>
          <cell r="E9247"/>
          <cell r="F9247"/>
          <cell r="G9247"/>
          <cell r="H9247"/>
          <cell r="I9247"/>
          <cell r="J9247"/>
          <cell r="L9247"/>
        </row>
        <row r="9248">
          <cell r="A9248"/>
          <cell r="D9248"/>
          <cell r="E9248"/>
          <cell r="F9248"/>
          <cell r="G9248"/>
          <cell r="H9248"/>
          <cell r="I9248"/>
          <cell r="J9248"/>
          <cell r="L9248"/>
        </row>
        <row r="9249">
          <cell r="A9249"/>
          <cell r="D9249"/>
          <cell r="E9249"/>
          <cell r="F9249"/>
          <cell r="G9249"/>
          <cell r="H9249"/>
          <cell r="I9249"/>
          <cell r="J9249"/>
          <cell r="L9249"/>
        </row>
        <row r="9250">
          <cell r="A9250"/>
          <cell r="D9250"/>
          <cell r="E9250"/>
          <cell r="F9250"/>
          <cell r="G9250"/>
          <cell r="H9250"/>
          <cell r="I9250"/>
          <cell r="J9250"/>
          <cell r="L9250"/>
        </row>
        <row r="9251">
          <cell r="A9251"/>
          <cell r="D9251"/>
          <cell r="E9251"/>
          <cell r="F9251"/>
          <cell r="G9251"/>
          <cell r="H9251"/>
          <cell r="I9251"/>
          <cell r="J9251"/>
          <cell r="L9251"/>
        </row>
        <row r="9252">
          <cell r="A9252"/>
          <cell r="D9252"/>
          <cell r="E9252"/>
          <cell r="F9252"/>
          <cell r="G9252"/>
          <cell r="H9252"/>
          <cell r="I9252"/>
          <cell r="J9252"/>
          <cell r="L9252"/>
        </row>
        <row r="9253">
          <cell r="A9253"/>
          <cell r="D9253"/>
          <cell r="E9253"/>
          <cell r="F9253"/>
          <cell r="G9253"/>
          <cell r="H9253"/>
          <cell r="I9253"/>
          <cell r="J9253"/>
          <cell r="L9253"/>
        </row>
        <row r="9254">
          <cell r="A9254"/>
          <cell r="D9254"/>
          <cell r="E9254"/>
          <cell r="F9254"/>
          <cell r="G9254"/>
          <cell r="H9254"/>
          <cell r="I9254"/>
          <cell r="J9254"/>
          <cell r="L9254"/>
        </row>
        <row r="9255">
          <cell r="A9255"/>
          <cell r="D9255"/>
          <cell r="E9255"/>
          <cell r="F9255"/>
          <cell r="G9255"/>
          <cell r="H9255"/>
          <cell r="I9255"/>
          <cell r="J9255"/>
          <cell r="L9255"/>
        </row>
        <row r="9256">
          <cell r="A9256"/>
          <cell r="D9256"/>
          <cell r="E9256"/>
          <cell r="F9256"/>
          <cell r="G9256"/>
          <cell r="H9256"/>
          <cell r="I9256"/>
          <cell r="J9256"/>
          <cell r="L9256"/>
        </row>
        <row r="9257">
          <cell r="A9257"/>
          <cell r="D9257"/>
          <cell r="E9257"/>
          <cell r="F9257"/>
          <cell r="G9257"/>
          <cell r="H9257"/>
          <cell r="I9257"/>
          <cell r="J9257"/>
          <cell r="L9257"/>
        </row>
        <row r="9258">
          <cell r="A9258"/>
          <cell r="D9258"/>
          <cell r="E9258"/>
          <cell r="F9258"/>
          <cell r="G9258"/>
          <cell r="H9258"/>
          <cell r="I9258"/>
          <cell r="J9258"/>
          <cell r="L9258"/>
        </row>
        <row r="9259">
          <cell r="A9259"/>
          <cell r="D9259"/>
          <cell r="E9259"/>
          <cell r="F9259"/>
          <cell r="G9259"/>
          <cell r="H9259"/>
          <cell r="I9259"/>
          <cell r="J9259"/>
          <cell r="L9259"/>
        </row>
        <row r="9260">
          <cell r="A9260"/>
          <cell r="D9260"/>
          <cell r="E9260"/>
          <cell r="F9260"/>
          <cell r="G9260"/>
          <cell r="H9260"/>
          <cell r="I9260"/>
          <cell r="J9260"/>
          <cell r="L9260"/>
        </row>
        <row r="9261">
          <cell r="A9261"/>
          <cell r="D9261"/>
          <cell r="E9261"/>
          <cell r="F9261"/>
          <cell r="G9261"/>
          <cell r="H9261"/>
          <cell r="I9261"/>
          <cell r="J9261"/>
          <cell r="L9261"/>
        </row>
        <row r="9262">
          <cell r="A9262"/>
          <cell r="D9262"/>
          <cell r="E9262"/>
          <cell r="F9262"/>
          <cell r="G9262"/>
          <cell r="H9262"/>
          <cell r="I9262"/>
          <cell r="J9262"/>
          <cell r="L9262"/>
        </row>
        <row r="9263">
          <cell r="A9263"/>
          <cell r="D9263"/>
          <cell r="E9263"/>
          <cell r="F9263"/>
          <cell r="G9263"/>
          <cell r="H9263"/>
          <cell r="I9263"/>
          <cell r="J9263"/>
          <cell r="L9263"/>
        </row>
        <row r="9264">
          <cell r="A9264"/>
          <cell r="D9264"/>
          <cell r="E9264"/>
          <cell r="F9264"/>
          <cell r="G9264"/>
          <cell r="H9264"/>
          <cell r="I9264"/>
          <cell r="J9264"/>
          <cell r="L9264"/>
        </row>
        <row r="9265">
          <cell r="A9265"/>
          <cell r="D9265"/>
          <cell r="E9265"/>
          <cell r="F9265"/>
          <cell r="G9265"/>
          <cell r="H9265"/>
          <cell r="I9265"/>
          <cell r="J9265"/>
          <cell r="L9265"/>
        </row>
        <row r="9266">
          <cell r="A9266"/>
          <cell r="D9266"/>
          <cell r="E9266"/>
          <cell r="F9266"/>
          <cell r="G9266"/>
          <cell r="H9266"/>
          <cell r="I9266"/>
          <cell r="J9266"/>
          <cell r="L9266"/>
        </row>
        <row r="9267">
          <cell r="A9267"/>
          <cell r="D9267"/>
          <cell r="E9267"/>
          <cell r="F9267"/>
          <cell r="G9267"/>
          <cell r="H9267"/>
          <cell r="I9267"/>
          <cell r="J9267"/>
          <cell r="L9267"/>
        </row>
        <row r="9268">
          <cell r="A9268"/>
          <cell r="D9268"/>
          <cell r="E9268"/>
          <cell r="F9268"/>
          <cell r="G9268"/>
          <cell r="H9268"/>
          <cell r="I9268"/>
          <cell r="J9268"/>
          <cell r="L9268"/>
        </row>
        <row r="9269">
          <cell r="A9269"/>
          <cell r="D9269"/>
          <cell r="E9269"/>
          <cell r="F9269"/>
          <cell r="G9269"/>
          <cell r="H9269"/>
          <cell r="I9269"/>
          <cell r="J9269"/>
          <cell r="L9269"/>
        </row>
        <row r="9270">
          <cell r="A9270"/>
          <cell r="D9270"/>
          <cell r="E9270"/>
          <cell r="F9270"/>
          <cell r="G9270"/>
          <cell r="H9270"/>
          <cell r="I9270"/>
          <cell r="J9270"/>
          <cell r="L9270"/>
        </row>
        <row r="9271">
          <cell r="A9271"/>
          <cell r="D9271"/>
          <cell r="E9271"/>
          <cell r="F9271"/>
          <cell r="G9271"/>
          <cell r="H9271"/>
          <cell r="I9271"/>
          <cell r="J9271"/>
          <cell r="L9271"/>
        </row>
        <row r="9272">
          <cell r="A9272"/>
          <cell r="D9272"/>
          <cell r="E9272"/>
          <cell r="F9272"/>
          <cell r="G9272"/>
          <cell r="H9272"/>
          <cell r="I9272"/>
          <cell r="J9272"/>
          <cell r="L9272"/>
        </row>
        <row r="9273">
          <cell r="A9273"/>
          <cell r="D9273"/>
          <cell r="E9273"/>
          <cell r="F9273"/>
          <cell r="G9273"/>
          <cell r="H9273"/>
          <cell r="I9273"/>
          <cell r="J9273"/>
          <cell r="L9273"/>
        </row>
        <row r="9274">
          <cell r="A9274"/>
          <cell r="D9274"/>
          <cell r="E9274"/>
          <cell r="F9274"/>
          <cell r="G9274"/>
          <cell r="H9274"/>
          <cell r="I9274"/>
          <cell r="J9274"/>
          <cell r="L9274"/>
        </row>
        <row r="9275">
          <cell r="A9275"/>
          <cell r="D9275"/>
          <cell r="E9275"/>
          <cell r="F9275"/>
          <cell r="G9275"/>
          <cell r="H9275"/>
          <cell r="I9275"/>
          <cell r="J9275"/>
          <cell r="L9275"/>
        </row>
        <row r="9276">
          <cell r="A9276"/>
          <cell r="D9276"/>
          <cell r="E9276"/>
          <cell r="F9276"/>
          <cell r="G9276"/>
          <cell r="H9276"/>
          <cell r="I9276"/>
          <cell r="J9276"/>
          <cell r="L9276"/>
        </row>
        <row r="9277">
          <cell r="A9277"/>
          <cell r="D9277"/>
          <cell r="E9277"/>
          <cell r="F9277"/>
          <cell r="G9277"/>
          <cell r="H9277"/>
          <cell r="I9277"/>
          <cell r="J9277"/>
          <cell r="L9277"/>
        </row>
        <row r="9278">
          <cell r="A9278"/>
          <cell r="D9278"/>
          <cell r="E9278"/>
          <cell r="F9278"/>
          <cell r="G9278"/>
          <cell r="H9278"/>
          <cell r="I9278"/>
          <cell r="J9278"/>
          <cell r="L9278"/>
        </row>
        <row r="9279">
          <cell r="A9279"/>
          <cell r="D9279"/>
          <cell r="E9279"/>
          <cell r="F9279"/>
          <cell r="G9279"/>
          <cell r="H9279"/>
          <cell r="I9279"/>
          <cell r="J9279"/>
          <cell r="L9279"/>
        </row>
        <row r="9280">
          <cell r="A9280"/>
          <cell r="D9280"/>
          <cell r="E9280"/>
          <cell r="F9280"/>
          <cell r="G9280"/>
          <cell r="H9280"/>
          <cell r="I9280"/>
          <cell r="J9280"/>
          <cell r="L9280"/>
        </row>
        <row r="9281">
          <cell r="A9281"/>
          <cell r="D9281"/>
          <cell r="E9281"/>
          <cell r="F9281"/>
          <cell r="G9281"/>
          <cell r="H9281"/>
          <cell r="I9281"/>
          <cell r="J9281"/>
          <cell r="L9281"/>
        </row>
        <row r="9282">
          <cell r="A9282"/>
          <cell r="D9282"/>
          <cell r="E9282"/>
          <cell r="F9282"/>
          <cell r="G9282"/>
          <cell r="H9282"/>
          <cell r="I9282"/>
          <cell r="J9282"/>
          <cell r="L9282"/>
        </row>
        <row r="9283">
          <cell r="A9283"/>
          <cell r="D9283"/>
          <cell r="E9283"/>
          <cell r="F9283"/>
          <cell r="G9283"/>
          <cell r="H9283"/>
          <cell r="I9283"/>
          <cell r="J9283"/>
          <cell r="L9283"/>
        </row>
        <row r="9284">
          <cell r="A9284"/>
          <cell r="D9284"/>
          <cell r="E9284"/>
          <cell r="F9284"/>
          <cell r="G9284"/>
          <cell r="H9284"/>
          <cell r="I9284"/>
          <cell r="J9284"/>
          <cell r="L9284"/>
        </row>
        <row r="9285">
          <cell r="A9285"/>
          <cell r="D9285"/>
          <cell r="E9285"/>
          <cell r="F9285"/>
          <cell r="G9285"/>
          <cell r="H9285"/>
          <cell r="I9285"/>
          <cell r="J9285"/>
          <cell r="L9285"/>
        </row>
        <row r="9286">
          <cell r="A9286"/>
          <cell r="D9286"/>
          <cell r="E9286"/>
          <cell r="F9286"/>
          <cell r="G9286"/>
          <cell r="H9286"/>
          <cell r="I9286"/>
          <cell r="J9286"/>
          <cell r="L9286"/>
        </row>
        <row r="9287">
          <cell r="A9287"/>
          <cell r="D9287"/>
          <cell r="E9287"/>
          <cell r="F9287"/>
          <cell r="G9287"/>
          <cell r="H9287"/>
          <cell r="I9287"/>
          <cell r="J9287"/>
          <cell r="L9287"/>
        </row>
        <row r="9288">
          <cell r="A9288"/>
          <cell r="D9288"/>
          <cell r="E9288"/>
          <cell r="F9288"/>
          <cell r="G9288"/>
          <cell r="H9288"/>
          <cell r="I9288"/>
          <cell r="J9288"/>
          <cell r="L9288"/>
        </row>
        <row r="9289">
          <cell r="A9289"/>
          <cell r="D9289"/>
          <cell r="E9289"/>
          <cell r="F9289"/>
          <cell r="G9289"/>
          <cell r="H9289"/>
          <cell r="I9289"/>
          <cell r="J9289"/>
          <cell r="L9289"/>
        </row>
        <row r="9290">
          <cell r="A9290"/>
          <cell r="D9290"/>
          <cell r="E9290"/>
          <cell r="F9290"/>
          <cell r="G9290"/>
          <cell r="H9290"/>
          <cell r="I9290"/>
          <cell r="J9290"/>
          <cell r="L9290"/>
        </row>
        <row r="9291">
          <cell r="A9291"/>
          <cell r="D9291"/>
          <cell r="E9291"/>
          <cell r="F9291"/>
          <cell r="G9291"/>
          <cell r="H9291"/>
          <cell r="I9291"/>
          <cell r="J9291"/>
          <cell r="L9291"/>
        </row>
        <row r="9292">
          <cell r="A9292"/>
          <cell r="D9292"/>
          <cell r="E9292"/>
          <cell r="F9292"/>
          <cell r="G9292"/>
          <cell r="H9292"/>
          <cell r="I9292"/>
          <cell r="J9292"/>
          <cell r="L9292"/>
        </row>
        <row r="9293">
          <cell r="A9293"/>
          <cell r="D9293"/>
          <cell r="E9293"/>
          <cell r="F9293"/>
          <cell r="G9293"/>
          <cell r="H9293"/>
          <cell r="I9293"/>
          <cell r="J9293"/>
          <cell r="L9293"/>
        </row>
        <row r="9294">
          <cell r="A9294"/>
          <cell r="D9294"/>
          <cell r="E9294"/>
          <cell r="F9294"/>
          <cell r="G9294"/>
          <cell r="H9294"/>
          <cell r="I9294"/>
          <cell r="J9294"/>
          <cell r="L9294"/>
        </row>
        <row r="9295">
          <cell r="A9295"/>
          <cell r="D9295"/>
          <cell r="E9295"/>
          <cell r="F9295"/>
          <cell r="G9295"/>
          <cell r="H9295"/>
          <cell r="I9295"/>
          <cell r="J9295"/>
          <cell r="L9295"/>
        </row>
        <row r="9296">
          <cell r="A9296"/>
          <cell r="D9296"/>
          <cell r="E9296"/>
          <cell r="F9296"/>
          <cell r="G9296"/>
          <cell r="H9296"/>
          <cell r="I9296"/>
          <cell r="J9296"/>
          <cell r="L9296"/>
        </row>
        <row r="9297">
          <cell r="A9297"/>
          <cell r="D9297"/>
          <cell r="E9297"/>
          <cell r="F9297"/>
          <cell r="G9297"/>
          <cell r="H9297"/>
          <cell r="I9297"/>
          <cell r="J9297"/>
          <cell r="L9297"/>
        </row>
        <row r="9298">
          <cell r="A9298"/>
          <cell r="D9298"/>
          <cell r="E9298"/>
          <cell r="F9298"/>
          <cell r="G9298"/>
          <cell r="H9298"/>
          <cell r="I9298"/>
          <cell r="J9298"/>
          <cell r="L9298"/>
        </row>
        <row r="9299">
          <cell r="A9299"/>
          <cell r="D9299"/>
          <cell r="E9299"/>
          <cell r="F9299"/>
          <cell r="G9299"/>
          <cell r="H9299"/>
          <cell r="I9299"/>
          <cell r="J9299"/>
          <cell r="L9299"/>
        </row>
        <row r="9300">
          <cell r="A9300"/>
          <cell r="D9300"/>
          <cell r="E9300"/>
          <cell r="F9300"/>
          <cell r="G9300"/>
          <cell r="H9300"/>
          <cell r="I9300"/>
          <cell r="J9300"/>
          <cell r="L9300"/>
        </row>
        <row r="9301">
          <cell r="A9301"/>
          <cell r="D9301"/>
          <cell r="E9301"/>
          <cell r="F9301"/>
          <cell r="G9301"/>
          <cell r="H9301"/>
          <cell r="I9301"/>
          <cell r="J9301"/>
          <cell r="L9301"/>
        </row>
        <row r="9302">
          <cell r="A9302"/>
          <cell r="D9302"/>
          <cell r="E9302"/>
          <cell r="F9302"/>
          <cell r="G9302"/>
          <cell r="H9302"/>
          <cell r="I9302"/>
          <cell r="J9302"/>
          <cell r="L9302"/>
        </row>
        <row r="9303">
          <cell r="A9303"/>
          <cell r="D9303"/>
          <cell r="E9303"/>
          <cell r="F9303"/>
          <cell r="G9303"/>
          <cell r="H9303"/>
          <cell r="I9303"/>
          <cell r="J9303"/>
          <cell r="L9303"/>
        </row>
        <row r="9304">
          <cell r="A9304"/>
          <cell r="D9304"/>
          <cell r="E9304"/>
          <cell r="F9304"/>
          <cell r="G9304"/>
          <cell r="H9304"/>
          <cell r="I9304"/>
          <cell r="J9304"/>
          <cell r="L9304"/>
        </row>
        <row r="9305">
          <cell r="A9305"/>
          <cell r="D9305"/>
          <cell r="E9305"/>
          <cell r="F9305"/>
          <cell r="G9305"/>
          <cell r="H9305"/>
          <cell r="I9305"/>
          <cell r="J9305"/>
          <cell r="L9305"/>
        </row>
        <row r="9306">
          <cell r="A9306"/>
          <cell r="D9306"/>
          <cell r="E9306"/>
          <cell r="F9306"/>
          <cell r="G9306"/>
          <cell r="H9306"/>
          <cell r="I9306"/>
          <cell r="J9306"/>
          <cell r="L9306"/>
        </row>
        <row r="9307">
          <cell r="A9307"/>
          <cell r="D9307"/>
          <cell r="E9307"/>
          <cell r="F9307"/>
          <cell r="G9307"/>
          <cell r="H9307"/>
          <cell r="I9307"/>
          <cell r="J9307"/>
          <cell r="L9307"/>
        </row>
        <row r="9308">
          <cell r="A9308"/>
          <cell r="D9308"/>
          <cell r="E9308"/>
          <cell r="F9308"/>
          <cell r="G9308"/>
          <cell r="H9308"/>
          <cell r="I9308"/>
          <cell r="J9308"/>
          <cell r="L9308"/>
        </row>
        <row r="9309">
          <cell r="A9309"/>
          <cell r="D9309"/>
          <cell r="E9309"/>
          <cell r="F9309"/>
          <cell r="G9309"/>
          <cell r="H9309"/>
          <cell r="I9309"/>
          <cell r="J9309"/>
          <cell r="L9309"/>
        </row>
        <row r="9310">
          <cell r="A9310"/>
          <cell r="D9310"/>
          <cell r="E9310"/>
          <cell r="F9310"/>
          <cell r="G9310"/>
          <cell r="H9310"/>
          <cell r="I9310"/>
          <cell r="J9310"/>
          <cell r="L9310"/>
        </row>
        <row r="9311">
          <cell r="A9311"/>
          <cell r="D9311"/>
          <cell r="E9311"/>
          <cell r="F9311"/>
          <cell r="G9311"/>
          <cell r="H9311"/>
          <cell r="I9311"/>
          <cell r="J9311"/>
          <cell r="L9311"/>
        </row>
        <row r="9312">
          <cell r="A9312"/>
          <cell r="D9312"/>
          <cell r="E9312"/>
          <cell r="F9312"/>
          <cell r="G9312"/>
          <cell r="H9312"/>
          <cell r="I9312"/>
          <cell r="J9312"/>
          <cell r="L9312"/>
        </row>
        <row r="9313">
          <cell r="A9313"/>
          <cell r="D9313"/>
          <cell r="E9313"/>
          <cell r="F9313"/>
          <cell r="G9313"/>
          <cell r="H9313"/>
          <cell r="I9313"/>
          <cell r="J9313"/>
          <cell r="L9313"/>
        </row>
        <row r="9314">
          <cell r="A9314"/>
          <cell r="D9314"/>
          <cell r="E9314"/>
          <cell r="F9314"/>
          <cell r="G9314"/>
          <cell r="H9314"/>
          <cell r="I9314"/>
          <cell r="J9314"/>
          <cell r="L9314"/>
        </row>
        <row r="9315">
          <cell r="A9315"/>
          <cell r="D9315"/>
          <cell r="E9315"/>
          <cell r="F9315"/>
          <cell r="G9315"/>
          <cell r="H9315"/>
          <cell r="I9315"/>
          <cell r="J9315"/>
          <cell r="L9315"/>
        </row>
        <row r="9316">
          <cell r="A9316"/>
          <cell r="D9316"/>
          <cell r="E9316"/>
          <cell r="F9316"/>
          <cell r="G9316"/>
          <cell r="H9316"/>
          <cell r="I9316"/>
          <cell r="J9316"/>
          <cell r="L9316"/>
        </row>
        <row r="9317">
          <cell r="A9317"/>
          <cell r="D9317"/>
          <cell r="E9317"/>
          <cell r="F9317"/>
          <cell r="G9317"/>
          <cell r="H9317"/>
          <cell r="I9317"/>
          <cell r="J9317"/>
          <cell r="L9317"/>
        </row>
        <row r="9318">
          <cell r="A9318"/>
          <cell r="D9318"/>
          <cell r="E9318"/>
          <cell r="F9318"/>
          <cell r="G9318"/>
          <cell r="H9318"/>
          <cell r="I9318"/>
          <cell r="J9318"/>
          <cell r="L9318"/>
        </row>
        <row r="9319">
          <cell r="A9319"/>
          <cell r="D9319"/>
          <cell r="E9319"/>
          <cell r="F9319"/>
          <cell r="G9319"/>
          <cell r="H9319"/>
          <cell r="I9319"/>
          <cell r="J9319"/>
          <cell r="L9319"/>
        </row>
        <row r="9320">
          <cell r="A9320"/>
          <cell r="D9320"/>
          <cell r="E9320"/>
          <cell r="F9320"/>
          <cell r="G9320"/>
          <cell r="H9320"/>
          <cell r="I9320"/>
          <cell r="J9320"/>
          <cell r="L9320"/>
        </row>
        <row r="9321">
          <cell r="A9321"/>
          <cell r="D9321"/>
          <cell r="E9321"/>
          <cell r="F9321"/>
          <cell r="G9321"/>
          <cell r="H9321"/>
          <cell r="I9321"/>
          <cell r="J9321"/>
          <cell r="L9321"/>
        </row>
        <row r="9322">
          <cell r="A9322"/>
          <cell r="D9322"/>
          <cell r="E9322"/>
          <cell r="F9322"/>
          <cell r="G9322"/>
          <cell r="H9322"/>
          <cell r="I9322"/>
          <cell r="J9322"/>
          <cell r="L9322"/>
        </row>
        <row r="9323">
          <cell r="A9323"/>
          <cell r="D9323"/>
          <cell r="E9323"/>
          <cell r="F9323"/>
          <cell r="G9323"/>
          <cell r="H9323"/>
          <cell r="I9323"/>
          <cell r="J9323"/>
          <cell r="L9323"/>
        </row>
        <row r="9324">
          <cell r="A9324"/>
          <cell r="D9324"/>
          <cell r="E9324"/>
          <cell r="F9324"/>
          <cell r="G9324"/>
          <cell r="H9324"/>
          <cell r="I9324"/>
          <cell r="J9324"/>
          <cell r="L9324"/>
        </row>
        <row r="9325">
          <cell r="A9325"/>
          <cell r="D9325"/>
          <cell r="E9325"/>
          <cell r="F9325"/>
          <cell r="G9325"/>
          <cell r="H9325"/>
          <cell r="I9325"/>
          <cell r="J9325"/>
          <cell r="L9325"/>
        </row>
        <row r="9326">
          <cell r="A9326"/>
          <cell r="D9326"/>
          <cell r="E9326"/>
          <cell r="F9326"/>
          <cell r="G9326"/>
          <cell r="H9326"/>
          <cell r="I9326"/>
          <cell r="J9326"/>
          <cell r="L9326"/>
        </row>
        <row r="9327">
          <cell r="A9327"/>
          <cell r="D9327"/>
          <cell r="E9327"/>
          <cell r="F9327"/>
          <cell r="G9327"/>
          <cell r="H9327"/>
          <cell r="I9327"/>
          <cell r="J9327"/>
          <cell r="L9327"/>
        </row>
        <row r="9328">
          <cell r="A9328"/>
          <cell r="D9328"/>
          <cell r="E9328"/>
          <cell r="F9328"/>
          <cell r="G9328"/>
          <cell r="H9328"/>
          <cell r="I9328"/>
          <cell r="J9328"/>
          <cell r="L9328"/>
        </row>
        <row r="9329">
          <cell r="A9329"/>
          <cell r="D9329"/>
          <cell r="E9329"/>
          <cell r="F9329"/>
          <cell r="G9329"/>
          <cell r="H9329"/>
          <cell r="I9329"/>
          <cell r="J9329"/>
          <cell r="L9329"/>
        </row>
        <row r="9330">
          <cell r="A9330"/>
          <cell r="D9330"/>
          <cell r="E9330"/>
          <cell r="F9330"/>
          <cell r="G9330"/>
          <cell r="H9330"/>
          <cell r="I9330"/>
          <cell r="J9330"/>
          <cell r="L9330"/>
        </row>
        <row r="9331">
          <cell r="A9331"/>
          <cell r="D9331"/>
          <cell r="E9331"/>
          <cell r="F9331"/>
          <cell r="G9331"/>
          <cell r="H9331"/>
          <cell r="I9331"/>
          <cell r="J9331"/>
          <cell r="L9331"/>
        </row>
        <row r="9332">
          <cell r="A9332"/>
          <cell r="D9332"/>
          <cell r="E9332"/>
          <cell r="F9332"/>
          <cell r="G9332"/>
          <cell r="H9332"/>
          <cell r="I9332"/>
          <cell r="J9332"/>
          <cell r="L9332"/>
        </row>
        <row r="9333">
          <cell r="A9333"/>
          <cell r="D9333"/>
          <cell r="E9333"/>
          <cell r="F9333"/>
          <cell r="G9333"/>
          <cell r="H9333"/>
          <cell r="I9333"/>
          <cell r="J9333"/>
          <cell r="L9333"/>
        </row>
        <row r="9334">
          <cell r="A9334"/>
          <cell r="D9334"/>
          <cell r="E9334"/>
          <cell r="F9334"/>
          <cell r="G9334"/>
          <cell r="H9334"/>
          <cell r="I9334"/>
          <cell r="J9334"/>
          <cell r="L9334"/>
        </row>
        <row r="9335">
          <cell r="A9335"/>
          <cell r="D9335"/>
          <cell r="E9335"/>
          <cell r="F9335"/>
          <cell r="G9335"/>
          <cell r="H9335"/>
          <cell r="I9335"/>
          <cell r="J9335"/>
          <cell r="L9335"/>
        </row>
        <row r="9336">
          <cell r="A9336"/>
          <cell r="D9336"/>
          <cell r="E9336"/>
          <cell r="F9336"/>
          <cell r="G9336"/>
          <cell r="H9336"/>
          <cell r="I9336"/>
          <cell r="J9336"/>
          <cell r="L9336"/>
        </row>
        <row r="9337">
          <cell r="A9337"/>
          <cell r="D9337"/>
          <cell r="E9337"/>
          <cell r="F9337"/>
          <cell r="G9337"/>
          <cell r="H9337"/>
          <cell r="I9337"/>
          <cell r="J9337"/>
          <cell r="L9337"/>
        </row>
        <row r="9338">
          <cell r="A9338"/>
          <cell r="D9338"/>
          <cell r="E9338"/>
          <cell r="F9338"/>
          <cell r="G9338"/>
          <cell r="H9338"/>
          <cell r="I9338"/>
          <cell r="J9338"/>
          <cell r="L9338"/>
        </row>
        <row r="9339">
          <cell r="A9339"/>
          <cell r="D9339"/>
          <cell r="E9339"/>
          <cell r="F9339"/>
          <cell r="G9339"/>
          <cell r="H9339"/>
          <cell r="I9339"/>
          <cell r="J9339"/>
          <cell r="L9339"/>
        </row>
        <row r="9340">
          <cell r="A9340"/>
          <cell r="D9340"/>
          <cell r="E9340"/>
          <cell r="F9340"/>
          <cell r="G9340"/>
          <cell r="H9340"/>
          <cell r="I9340"/>
          <cell r="J9340"/>
          <cell r="L9340"/>
        </row>
        <row r="9341">
          <cell r="A9341"/>
          <cell r="D9341"/>
          <cell r="E9341"/>
          <cell r="F9341"/>
          <cell r="G9341"/>
          <cell r="H9341"/>
          <cell r="I9341"/>
          <cell r="J9341"/>
          <cell r="L9341"/>
        </row>
        <row r="9342">
          <cell r="A9342"/>
          <cell r="D9342"/>
          <cell r="E9342"/>
          <cell r="F9342"/>
          <cell r="G9342"/>
          <cell r="H9342"/>
          <cell r="I9342"/>
          <cell r="J9342"/>
          <cell r="L9342"/>
        </row>
        <row r="9343">
          <cell r="A9343"/>
          <cell r="D9343"/>
          <cell r="E9343"/>
          <cell r="F9343"/>
          <cell r="G9343"/>
          <cell r="H9343"/>
          <cell r="I9343"/>
          <cell r="J9343"/>
          <cell r="L9343"/>
        </row>
        <row r="9344">
          <cell r="A9344"/>
          <cell r="D9344"/>
          <cell r="E9344"/>
          <cell r="F9344"/>
          <cell r="G9344"/>
          <cell r="H9344"/>
          <cell r="I9344"/>
          <cell r="J9344"/>
          <cell r="L9344"/>
        </row>
        <row r="9345">
          <cell r="A9345"/>
          <cell r="D9345"/>
          <cell r="E9345"/>
          <cell r="F9345"/>
          <cell r="G9345"/>
          <cell r="H9345"/>
          <cell r="I9345"/>
          <cell r="J9345"/>
          <cell r="L9345"/>
        </row>
        <row r="9346">
          <cell r="A9346"/>
          <cell r="D9346"/>
          <cell r="E9346"/>
          <cell r="F9346"/>
          <cell r="G9346"/>
          <cell r="H9346"/>
          <cell r="I9346"/>
          <cell r="J9346"/>
          <cell r="L9346"/>
        </row>
        <row r="9347">
          <cell r="A9347"/>
          <cell r="D9347"/>
          <cell r="E9347"/>
          <cell r="F9347"/>
          <cell r="G9347"/>
          <cell r="H9347"/>
          <cell r="I9347"/>
          <cell r="J9347"/>
          <cell r="L9347"/>
        </row>
        <row r="9348">
          <cell r="A9348"/>
          <cell r="D9348"/>
          <cell r="E9348"/>
          <cell r="F9348"/>
          <cell r="G9348"/>
          <cell r="H9348"/>
          <cell r="I9348"/>
          <cell r="J9348"/>
          <cell r="L9348"/>
        </row>
        <row r="9349">
          <cell r="A9349"/>
          <cell r="D9349"/>
          <cell r="E9349"/>
          <cell r="F9349"/>
          <cell r="G9349"/>
          <cell r="H9349"/>
          <cell r="I9349"/>
          <cell r="J9349"/>
          <cell r="L9349"/>
        </row>
        <row r="9350">
          <cell r="A9350"/>
          <cell r="D9350"/>
          <cell r="E9350"/>
          <cell r="F9350"/>
          <cell r="G9350"/>
          <cell r="H9350"/>
          <cell r="I9350"/>
          <cell r="J9350"/>
          <cell r="L9350"/>
        </row>
        <row r="9351">
          <cell r="A9351"/>
          <cell r="D9351"/>
          <cell r="E9351"/>
          <cell r="F9351"/>
          <cell r="G9351"/>
          <cell r="H9351"/>
          <cell r="I9351"/>
          <cell r="J9351"/>
          <cell r="L9351"/>
        </row>
        <row r="9352">
          <cell r="A9352"/>
          <cell r="D9352"/>
          <cell r="E9352"/>
          <cell r="F9352"/>
          <cell r="G9352"/>
          <cell r="H9352"/>
          <cell r="I9352"/>
          <cell r="J9352"/>
          <cell r="L9352"/>
        </row>
        <row r="9353">
          <cell r="A9353"/>
          <cell r="D9353"/>
          <cell r="E9353"/>
          <cell r="F9353"/>
          <cell r="G9353"/>
          <cell r="H9353"/>
          <cell r="I9353"/>
          <cell r="J9353"/>
          <cell r="L9353"/>
        </row>
        <row r="9354">
          <cell r="A9354"/>
          <cell r="D9354"/>
          <cell r="E9354"/>
          <cell r="F9354"/>
          <cell r="G9354"/>
          <cell r="H9354"/>
          <cell r="I9354"/>
          <cell r="J9354"/>
          <cell r="L9354"/>
        </row>
        <row r="9355">
          <cell r="A9355"/>
          <cell r="D9355"/>
          <cell r="E9355"/>
          <cell r="F9355"/>
          <cell r="G9355"/>
          <cell r="H9355"/>
          <cell r="I9355"/>
          <cell r="J9355"/>
          <cell r="L9355"/>
        </row>
        <row r="9356">
          <cell r="A9356"/>
          <cell r="D9356"/>
          <cell r="E9356"/>
          <cell r="F9356"/>
          <cell r="G9356"/>
          <cell r="H9356"/>
          <cell r="I9356"/>
          <cell r="J9356"/>
          <cell r="L9356"/>
        </row>
        <row r="9357">
          <cell r="A9357"/>
          <cell r="D9357"/>
          <cell r="E9357"/>
          <cell r="F9357"/>
          <cell r="G9357"/>
          <cell r="H9357"/>
          <cell r="I9357"/>
          <cell r="J9357"/>
          <cell r="L9357"/>
        </row>
        <row r="9358">
          <cell r="A9358"/>
          <cell r="D9358"/>
          <cell r="E9358"/>
          <cell r="F9358"/>
          <cell r="G9358"/>
          <cell r="H9358"/>
          <cell r="I9358"/>
          <cell r="J9358"/>
          <cell r="L9358"/>
        </row>
        <row r="9359">
          <cell r="A9359"/>
          <cell r="D9359"/>
          <cell r="E9359"/>
          <cell r="F9359"/>
          <cell r="G9359"/>
          <cell r="H9359"/>
          <cell r="I9359"/>
          <cell r="J9359"/>
          <cell r="L9359"/>
        </row>
        <row r="9360">
          <cell r="A9360"/>
          <cell r="D9360"/>
          <cell r="E9360"/>
          <cell r="F9360"/>
          <cell r="G9360"/>
          <cell r="H9360"/>
          <cell r="I9360"/>
          <cell r="J9360"/>
          <cell r="L9360"/>
        </row>
        <row r="9361">
          <cell r="A9361"/>
          <cell r="D9361"/>
          <cell r="E9361"/>
          <cell r="F9361"/>
          <cell r="G9361"/>
          <cell r="H9361"/>
          <cell r="I9361"/>
          <cell r="J9361"/>
          <cell r="L9361"/>
        </row>
        <row r="9362">
          <cell r="A9362"/>
          <cell r="D9362"/>
          <cell r="E9362"/>
          <cell r="F9362"/>
          <cell r="G9362"/>
          <cell r="H9362"/>
          <cell r="I9362"/>
          <cell r="J9362"/>
          <cell r="L9362"/>
        </row>
        <row r="9363">
          <cell r="A9363"/>
          <cell r="D9363"/>
          <cell r="E9363"/>
          <cell r="F9363"/>
          <cell r="G9363"/>
          <cell r="H9363"/>
          <cell r="I9363"/>
          <cell r="J9363"/>
          <cell r="L9363"/>
        </row>
        <row r="9364">
          <cell r="A9364"/>
          <cell r="D9364"/>
          <cell r="E9364"/>
          <cell r="F9364"/>
          <cell r="G9364"/>
          <cell r="H9364"/>
          <cell r="I9364"/>
          <cell r="J9364"/>
          <cell r="L9364"/>
        </row>
        <row r="9365">
          <cell r="A9365"/>
          <cell r="D9365"/>
          <cell r="E9365"/>
          <cell r="F9365"/>
          <cell r="G9365"/>
          <cell r="H9365"/>
          <cell r="I9365"/>
          <cell r="J9365"/>
          <cell r="L9365"/>
        </row>
        <row r="9366">
          <cell r="A9366"/>
          <cell r="D9366"/>
          <cell r="E9366"/>
          <cell r="F9366"/>
          <cell r="G9366"/>
          <cell r="H9366"/>
          <cell r="I9366"/>
          <cell r="J9366"/>
          <cell r="L9366"/>
        </row>
        <row r="9367">
          <cell r="A9367"/>
          <cell r="D9367"/>
          <cell r="E9367"/>
          <cell r="F9367"/>
          <cell r="G9367"/>
          <cell r="H9367"/>
          <cell r="I9367"/>
          <cell r="J9367"/>
          <cell r="L9367"/>
        </row>
        <row r="9368">
          <cell r="A9368"/>
          <cell r="D9368"/>
          <cell r="E9368"/>
          <cell r="F9368"/>
          <cell r="G9368"/>
          <cell r="H9368"/>
          <cell r="I9368"/>
          <cell r="J9368"/>
          <cell r="L9368"/>
        </row>
        <row r="9369">
          <cell r="A9369"/>
          <cell r="D9369"/>
          <cell r="E9369"/>
          <cell r="F9369"/>
          <cell r="G9369"/>
          <cell r="H9369"/>
          <cell r="I9369"/>
          <cell r="J9369"/>
          <cell r="L9369"/>
        </row>
        <row r="9370">
          <cell r="A9370"/>
          <cell r="D9370"/>
          <cell r="E9370"/>
          <cell r="F9370"/>
          <cell r="G9370"/>
          <cell r="H9370"/>
          <cell r="I9370"/>
          <cell r="J9370"/>
          <cell r="L9370"/>
        </row>
        <row r="9371">
          <cell r="A9371"/>
          <cell r="D9371"/>
          <cell r="E9371"/>
          <cell r="F9371"/>
          <cell r="G9371"/>
          <cell r="H9371"/>
          <cell r="I9371"/>
          <cell r="J9371"/>
          <cell r="L9371"/>
        </row>
        <row r="9372">
          <cell r="A9372"/>
          <cell r="D9372"/>
          <cell r="E9372"/>
          <cell r="F9372"/>
          <cell r="G9372"/>
          <cell r="H9372"/>
          <cell r="I9372"/>
          <cell r="J9372"/>
          <cell r="L9372"/>
        </row>
        <row r="9373">
          <cell r="A9373"/>
          <cell r="D9373"/>
          <cell r="E9373"/>
          <cell r="F9373"/>
          <cell r="G9373"/>
          <cell r="H9373"/>
          <cell r="I9373"/>
          <cell r="J9373"/>
          <cell r="L9373"/>
        </row>
        <row r="9374">
          <cell r="A9374"/>
          <cell r="D9374"/>
          <cell r="E9374"/>
          <cell r="F9374"/>
          <cell r="G9374"/>
          <cell r="H9374"/>
          <cell r="I9374"/>
          <cell r="J9374"/>
          <cell r="L9374"/>
        </row>
        <row r="9375">
          <cell r="A9375"/>
          <cell r="D9375"/>
          <cell r="E9375"/>
          <cell r="F9375"/>
          <cell r="G9375"/>
          <cell r="H9375"/>
          <cell r="I9375"/>
          <cell r="J9375"/>
          <cell r="L9375"/>
        </row>
        <row r="9376">
          <cell r="A9376"/>
          <cell r="D9376"/>
          <cell r="E9376"/>
          <cell r="F9376"/>
          <cell r="G9376"/>
          <cell r="H9376"/>
          <cell r="I9376"/>
          <cell r="J9376"/>
          <cell r="L9376"/>
        </row>
        <row r="9377">
          <cell r="A9377"/>
          <cell r="D9377"/>
          <cell r="E9377"/>
          <cell r="F9377"/>
          <cell r="G9377"/>
          <cell r="H9377"/>
          <cell r="I9377"/>
          <cell r="J9377"/>
          <cell r="L9377"/>
        </row>
        <row r="9378">
          <cell r="A9378"/>
          <cell r="D9378"/>
          <cell r="E9378"/>
          <cell r="F9378"/>
          <cell r="G9378"/>
          <cell r="H9378"/>
          <cell r="I9378"/>
          <cell r="J9378"/>
          <cell r="L9378"/>
        </row>
        <row r="9379">
          <cell r="A9379"/>
          <cell r="D9379"/>
          <cell r="E9379"/>
          <cell r="F9379"/>
          <cell r="G9379"/>
          <cell r="H9379"/>
          <cell r="I9379"/>
          <cell r="J9379"/>
          <cell r="L9379"/>
        </row>
        <row r="9380">
          <cell r="A9380"/>
          <cell r="D9380"/>
          <cell r="E9380"/>
          <cell r="F9380"/>
          <cell r="G9380"/>
          <cell r="H9380"/>
          <cell r="I9380"/>
          <cell r="J9380"/>
          <cell r="L9380"/>
        </row>
        <row r="9381">
          <cell r="A9381"/>
          <cell r="D9381"/>
          <cell r="E9381"/>
          <cell r="F9381"/>
          <cell r="G9381"/>
          <cell r="H9381"/>
          <cell r="I9381"/>
          <cell r="J9381"/>
          <cell r="L9381"/>
        </row>
        <row r="9382">
          <cell r="A9382"/>
          <cell r="D9382"/>
          <cell r="E9382"/>
          <cell r="F9382"/>
          <cell r="G9382"/>
          <cell r="H9382"/>
          <cell r="I9382"/>
          <cell r="J9382"/>
          <cell r="L9382"/>
        </row>
        <row r="9383">
          <cell r="A9383"/>
          <cell r="D9383"/>
          <cell r="E9383"/>
          <cell r="F9383"/>
          <cell r="G9383"/>
          <cell r="H9383"/>
          <cell r="I9383"/>
          <cell r="J9383"/>
          <cell r="L9383"/>
        </row>
        <row r="9384">
          <cell r="A9384"/>
          <cell r="D9384"/>
          <cell r="E9384"/>
          <cell r="F9384"/>
          <cell r="G9384"/>
          <cell r="H9384"/>
          <cell r="I9384"/>
          <cell r="J9384"/>
          <cell r="L9384"/>
        </row>
        <row r="9385">
          <cell r="A9385"/>
          <cell r="D9385"/>
          <cell r="E9385"/>
          <cell r="F9385"/>
          <cell r="G9385"/>
          <cell r="H9385"/>
          <cell r="I9385"/>
          <cell r="J9385"/>
          <cell r="L9385"/>
        </row>
        <row r="9386">
          <cell r="A9386"/>
          <cell r="D9386"/>
          <cell r="E9386"/>
          <cell r="F9386"/>
          <cell r="G9386"/>
          <cell r="H9386"/>
          <cell r="I9386"/>
          <cell r="J9386"/>
          <cell r="L9386"/>
        </row>
        <row r="9387">
          <cell r="A9387"/>
          <cell r="D9387"/>
          <cell r="E9387"/>
          <cell r="F9387"/>
          <cell r="G9387"/>
          <cell r="H9387"/>
          <cell r="I9387"/>
          <cell r="J9387"/>
          <cell r="L9387"/>
        </row>
        <row r="9388">
          <cell r="A9388"/>
          <cell r="D9388"/>
          <cell r="E9388"/>
          <cell r="F9388"/>
          <cell r="G9388"/>
          <cell r="H9388"/>
          <cell r="I9388"/>
          <cell r="J9388"/>
          <cell r="L9388"/>
        </row>
        <row r="9389">
          <cell r="A9389"/>
          <cell r="D9389"/>
          <cell r="E9389"/>
          <cell r="F9389"/>
          <cell r="G9389"/>
          <cell r="H9389"/>
          <cell r="I9389"/>
          <cell r="J9389"/>
          <cell r="L9389"/>
        </row>
        <row r="9390">
          <cell r="A9390"/>
          <cell r="D9390"/>
          <cell r="E9390"/>
          <cell r="F9390"/>
          <cell r="G9390"/>
          <cell r="H9390"/>
          <cell r="I9390"/>
          <cell r="J9390"/>
          <cell r="L9390"/>
        </row>
        <row r="9391">
          <cell r="A9391"/>
          <cell r="D9391"/>
          <cell r="E9391"/>
          <cell r="F9391"/>
          <cell r="G9391"/>
          <cell r="H9391"/>
          <cell r="I9391"/>
          <cell r="J9391"/>
          <cell r="L9391"/>
        </row>
        <row r="9392">
          <cell r="A9392"/>
          <cell r="D9392"/>
          <cell r="E9392"/>
          <cell r="F9392"/>
          <cell r="G9392"/>
          <cell r="H9392"/>
          <cell r="I9392"/>
          <cell r="J9392"/>
          <cell r="L9392"/>
        </row>
        <row r="9393">
          <cell r="A9393"/>
          <cell r="D9393"/>
          <cell r="E9393"/>
          <cell r="F9393"/>
          <cell r="G9393"/>
          <cell r="H9393"/>
          <cell r="I9393"/>
          <cell r="J9393"/>
          <cell r="L9393"/>
        </row>
        <row r="9394">
          <cell r="A9394"/>
          <cell r="D9394"/>
          <cell r="E9394"/>
          <cell r="F9394"/>
          <cell r="G9394"/>
          <cell r="H9394"/>
          <cell r="I9394"/>
          <cell r="J9394"/>
          <cell r="L9394"/>
        </row>
        <row r="9395">
          <cell r="A9395"/>
          <cell r="D9395"/>
          <cell r="E9395"/>
          <cell r="F9395"/>
          <cell r="G9395"/>
          <cell r="H9395"/>
          <cell r="I9395"/>
          <cell r="J9395"/>
          <cell r="L9395"/>
        </row>
        <row r="9396">
          <cell r="A9396"/>
          <cell r="D9396"/>
          <cell r="E9396"/>
          <cell r="F9396"/>
          <cell r="G9396"/>
          <cell r="H9396"/>
          <cell r="I9396"/>
          <cell r="J9396"/>
          <cell r="L9396"/>
        </row>
        <row r="9397">
          <cell r="A9397"/>
          <cell r="D9397"/>
          <cell r="E9397"/>
          <cell r="F9397"/>
          <cell r="G9397"/>
          <cell r="H9397"/>
          <cell r="I9397"/>
          <cell r="J9397"/>
          <cell r="L9397"/>
        </row>
        <row r="9398">
          <cell r="A9398"/>
          <cell r="D9398"/>
          <cell r="E9398"/>
          <cell r="F9398"/>
          <cell r="G9398"/>
          <cell r="H9398"/>
          <cell r="I9398"/>
          <cell r="J9398"/>
          <cell r="L9398"/>
        </row>
        <row r="9399">
          <cell r="A9399"/>
          <cell r="D9399"/>
          <cell r="E9399"/>
          <cell r="F9399"/>
          <cell r="G9399"/>
          <cell r="H9399"/>
          <cell r="I9399"/>
          <cell r="J9399"/>
          <cell r="L9399"/>
        </row>
        <row r="9400">
          <cell r="A9400"/>
          <cell r="D9400"/>
          <cell r="E9400"/>
          <cell r="F9400"/>
          <cell r="G9400"/>
          <cell r="H9400"/>
          <cell r="I9400"/>
          <cell r="J9400"/>
          <cell r="L9400"/>
        </row>
        <row r="9401">
          <cell r="A9401"/>
          <cell r="D9401"/>
          <cell r="E9401"/>
          <cell r="F9401"/>
          <cell r="G9401"/>
          <cell r="H9401"/>
          <cell r="I9401"/>
          <cell r="J9401"/>
          <cell r="L9401"/>
        </row>
        <row r="9402">
          <cell r="A9402"/>
          <cell r="D9402"/>
          <cell r="E9402"/>
          <cell r="F9402"/>
          <cell r="G9402"/>
          <cell r="H9402"/>
          <cell r="I9402"/>
          <cell r="J9402"/>
          <cell r="L9402"/>
        </row>
        <row r="9403">
          <cell r="A9403"/>
          <cell r="D9403"/>
          <cell r="E9403"/>
          <cell r="F9403"/>
          <cell r="G9403"/>
          <cell r="H9403"/>
          <cell r="I9403"/>
          <cell r="J9403"/>
          <cell r="L9403"/>
        </row>
        <row r="9404">
          <cell r="A9404"/>
          <cell r="D9404"/>
          <cell r="E9404"/>
          <cell r="F9404"/>
          <cell r="G9404"/>
          <cell r="H9404"/>
          <cell r="I9404"/>
          <cell r="J9404"/>
          <cell r="L9404"/>
        </row>
        <row r="9405">
          <cell r="A9405"/>
          <cell r="D9405"/>
          <cell r="E9405"/>
          <cell r="F9405"/>
          <cell r="G9405"/>
          <cell r="H9405"/>
          <cell r="I9405"/>
          <cell r="J9405"/>
          <cell r="L9405"/>
        </row>
        <row r="9406">
          <cell r="A9406"/>
          <cell r="D9406"/>
          <cell r="E9406"/>
          <cell r="F9406"/>
          <cell r="G9406"/>
          <cell r="H9406"/>
          <cell r="I9406"/>
          <cell r="J9406"/>
          <cell r="L9406"/>
        </row>
        <row r="9407">
          <cell r="A9407"/>
          <cell r="D9407"/>
          <cell r="E9407"/>
          <cell r="F9407"/>
          <cell r="G9407"/>
          <cell r="H9407"/>
          <cell r="I9407"/>
          <cell r="J9407"/>
          <cell r="L9407"/>
        </row>
        <row r="9408">
          <cell r="A9408"/>
          <cell r="D9408"/>
          <cell r="E9408"/>
          <cell r="F9408"/>
          <cell r="G9408"/>
          <cell r="H9408"/>
          <cell r="I9408"/>
          <cell r="J9408"/>
          <cell r="L9408"/>
        </row>
        <row r="9409">
          <cell r="A9409"/>
          <cell r="D9409"/>
          <cell r="E9409"/>
          <cell r="F9409"/>
          <cell r="G9409"/>
          <cell r="H9409"/>
          <cell r="I9409"/>
          <cell r="J9409"/>
          <cell r="L9409"/>
        </row>
        <row r="9410">
          <cell r="A9410"/>
          <cell r="D9410"/>
          <cell r="E9410"/>
          <cell r="F9410"/>
          <cell r="G9410"/>
          <cell r="H9410"/>
          <cell r="I9410"/>
          <cell r="J9410"/>
          <cell r="L9410"/>
        </row>
        <row r="9411">
          <cell r="A9411"/>
          <cell r="D9411"/>
          <cell r="E9411"/>
          <cell r="F9411"/>
          <cell r="G9411"/>
          <cell r="H9411"/>
          <cell r="I9411"/>
          <cell r="J9411"/>
          <cell r="L9411"/>
        </row>
        <row r="9412">
          <cell r="A9412"/>
          <cell r="D9412"/>
          <cell r="E9412"/>
          <cell r="F9412"/>
          <cell r="G9412"/>
          <cell r="H9412"/>
          <cell r="I9412"/>
          <cell r="J9412"/>
          <cell r="L9412"/>
        </row>
        <row r="9413">
          <cell r="A9413"/>
          <cell r="D9413"/>
          <cell r="E9413"/>
          <cell r="F9413"/>
          <cell r="G9413"/>
          <cell r="H9413"/>
          <cell r="I9413"/>
          <cell r="J9413"/>
          <cell r="L9413"/>
        </row>
        <row r="9414">
          <cell r="A9414"/>
          <cell r="D9414"/>
          <cell r="E9414"/>
          <cell r="F9414"/>
          <cell r="G9414"/>
          <cell r="H9414"/>
          <cell r="I9414"/>
          <cell r="J9414"/>
          <cell r="L9414"/>
        </row>
        <row r="9415">
          <cell r="A9415"/>
          <cell r="D9415"/>
          <cell r="E9415"/>
          <cell r="F9415"/>
          <cell r="G9415"/>
          <cell r="H9415"/>
          <cell r="I9415"/>
          <cell r="J9415"/>
          <cell r="L9415"/>
        </row>
        <row r="9416">
          <cell r="A9416"/>
          <cell r="D9416"/>
          <cell r="E9416"/>
          <cell r="F9416"/>
          <cell r="G9416"/>
          <cell r="H9416"/>
          <cell r="I9416"/>
          <cell r="J9416"/>
          <cell r="L9416"/>
        </row>
        <row r="9417">
          <cell r="A9417"/>
          <cell r="D9417"/>
          <cell r="E9417"/>
          <cell r="F9417"/>
          <cell r="G9417"/>
          <cell r="H9417"/>
          <cell r="I9417"/>
          <cell r="J9417"/>
          <cell r="L9417"/>
        </row>
        <row r="9418">
          <cell r="A9418"/>
          <cell r="D9418"/>
          <cell r="E9418"/>
          <cell r="F9418"/>
          <cell r="G9418"/>
          <cell r="H9418"/>
          <cell r="I9418"/>
          <cell r="J9418"/>
          <cell r="L9418"/>
        </row>
        <row r="9419">
          <cell r="A9419"/>
          <cell r="D9419"/>
          <cell r="E9419"/>
          <cell r="F9419"/>
          <cell r="G9419"/>
          <cell r="H9419"/>
          <cell r="I9419"/>
          <cell r="J9419"/>
          <cell r="L9419"/>
        </row>
        <row r="9420">
          <cell r="A9420"/>
          <cell r="D9420"/>
          <cell r="E9420"/>
          <cell r="F9420"/>
          <cell r="G9420"/>
          <cell r="H9420"/>
          <cell r="I9420"/>
          <cell r="J9420"/>
          <cell r="L9420"/>
        </row>
        <row r="9421">
          <cell r="A9421"/>
          <cell r="D9421"/>
          <cell r="E9421"/>
          <cell r="F9421"/>
          <cell r="G9421"/>
          <cell r="H9421"/>
          <cell r="I9421"/>
          <cell r="J9421"/>
          <cell r="L9421"/>
        </row>
        <row r="9422">
          <cell r="A9422"/>
          <cell r="D9422"/>
          <cell r="E9422"/>
          <cell r="F9422"/>
          <cell r="G9422"/>
          <cell r="H9422"/>
          <cell r="I9422"/>
          <cell r="J9422"/>
          <cell r="L9422"/>
        </row>
        <row r="9423">
          <cell r="A9423"/>
          <cell r="D9423"/>
          <cell r="E9423"/>
          <cell r="F9423"/>
          <cell r="G9423"/>
          <cell r="H9423"/>
          <cell r="I9423"/>
          <cell r="J9423"/>
          <cell r="L9423"/>
        </row>
        <row r="9424">
          <cell r="A9424"/>
          <cell r="D9424"/>
          <cell r="E9424"/>
          <cell r="F9424"/>
          <cell r="G9424"/>
          <cell r="H9424"/>
          <cell r="I9424"/>
          <cell r="J9424"/>
          <cell r="L9424"/>
        </row>
        <row r="9425">
          <cell r="A9425"/>
          <cell r="D9425"/>
          <cell r="E9425"/>
          <cell r="F9425"/>
          <cell r="G9425"/>
          <cell r="H9425"/>
          <cell r="I9425"/>
          <cell r="J9425"/>
          <cell r="L9425"/>
        </row>
        <row r="9426">
          <cell r="A9426"/>
          <cell r="D9426"/>
          <cell r="E9426"/>
          <cell r="F9426"/>
          <cell r="G9426"/>
          <cell r="H9426"/>
          <cell r="I9426"/>
          <cell r="J9426"/>
          <cell r="L9426"/>
        </row>
        <row r="9427">
          <cell r="A9427"/>
          <cell r="D9427"/>
          <cell r="E9427"/>
          <cell r="F9427"/>
          <cell r="G9427"/>
          <cell r="H9427"/>
          <cell r="I9427"/>
          <cell r="J9427"/>
          <cell r="L9427"/>
        </row>
        <row r="9428">
          <cell r="A9428"/>
          <cell r="D9428"/>
          <cell r="E9428"/>
          <cell r="F9428"/>
          <cell r="G9428"/>
          <cell r="H9428"/>
          <cell r="I9428"/>
          <cell r="J9428"/>
          <cell r="L9428"/>
        </row>
        <row r="9429">
          <cell r="A9429"/>
          <cell r="D9429"/>
          <cell r="E9429"/>
          <cell r="F9429"/>
          <cell r="G9429"/>
          <cell r="H9429"/>
          <cell r="I9429"/>
          <cell r="J9429"/>
          <cell r="L9429"/>
        </row>
        <row r="9430">
          <cell r="A9430"/>
          <cell r="D9430"/>
          <cell r="E9430"/>
          <cell r="F9430"/>
          <cell r="G9430"/>
          <cell r="H9430"/>
          <cell r="I9430"/>
          <cell r="J9430"/>
          <cell r="L9430"/>
        </row>
        <row r="9431">
          <cell r="A9431"/>
          <cell r="D9431"/>
          <cell r="E9431"/>
          <cell r="F9431"/>
          <cell r="G9431"/>
          <cell r="H9431"/>
          <cell r="I9431"/>
          <cell r="J9431"/>
          <cell r="L9431"/>
        </row>
        <row r="9432">
          <cell r="A9432"/>
          <cell r="D9432"/>
          <cell r="E9432"/>
          <cell r="F9432"/>
          <cell r="G9432"/>
          <cell r="H9432"/>
          <cell r="I9432"/>
          <cell r="J9432"/>
          <cell r="L9432"/>
        </row>
        <row r="9433">
          <cell r="A9433"/>
          <cell r="D9433"/>
          <cell r="E9433"/>
          <cell r="F9433"/>
          <cell r="G9433"/>
          <cell r="H9433"/>
          <cell r="I9433"/>
          <cell r="J9433"/>
          <cell r="L9433"/>
        </row>
        <row r="9434">
          <cell r="A9434"/>
          <cell r="D9434"/>
          <cell r="E9434"/>
          <cell r="F9434"/>
          <cell r="G9434"/>
          <cell r="H9434"/>
          <cell r="I9434"/>
          <cell r="J9434"/>
          <cell r="L9434"/>
        </row>
        <row r="9435">
          <cell r="A9435"/>
          <cell r="D9435"/>
          <cell r="E9435"/>
          <cell r="F9435"/>
          <cell r="G9435"/>
          <cell r="H9435"/>
          <cell r="I9435"/>
          <cell r="J9435"/>
          <cell r="L9435"/>
        </row>
        <row r="9436">
          <cell r="A9436"/>
          <cell r="D9436"/>
          <cell r="E9436"/>
          <cell r="F9436"/>
          <cell r="G9436"/>
          <cell r="H9436"/>
          <cell r="I9436"/>
          <cell r="J9436"/>
          <cell r="L9436"/>
        </row>
        <row r="9437">
          <cell r="A9437"/>
          <cell r="D9437"/>
          <cell r="E9437"/>
          <cell r="F9437"/>
          <cell r="G9437"/>
          <cell r="H9437"/>
          <cell r="I9437"/>
          <cell r="J9437"/>
          <cell r="L9437"/>
        </row>
        <row r="9438">
          <cell r="A9438"/>
          <cell r="D9438"/>
          <cell r="E9438"/>
          <cell r="F9438"/>
          <cell r="G9438"/>
          <cell r="H9438"/>
          <cell r="I9438"/>
          <cell r="J9438"/>
          <cell r="L9438"/>
        </row>
        <row r="9439">
          <cell r="A9439"/>
          <cell r="D9439"/>
          <cell r="E9439"/>
          <cell r="F9439"/>
          <cell r="G9439"/>
          <cell r="H9439"/>
          <cell r="I9439"/>
          <cell r="J9439"/>
          <cell r="L9439"/>
        </row>
        <row r="9440">
          <cell r="A9440"/>
          <cell r="D9440"/>
          <cell r="E9440"/>
          <cell r="F9440"/>
          <cell r="G9440"/>
          <cell r="H9440"/>
          <cell r="I9440"/>
          <cell r="J9440"/>
          <cell r="L9440"/>
        </row>
        <row r="9441">
          <cell r="A9441"/>
          <cell r="D9441"/>
          <cell r="E9441"/>
          <cell r="F9441"/>
          <cell r="G9441"/>
          <cell r="H9441"/>
          <cell r="I9441"/>
          <cell r="J9441"/>
          <cell r="L9441"/>
        </row>
        <row r="9442">
          <cell r="A9442"/>
          <cell r="D9442"/>
          <cell r="E9442"/>
          <cell r="F9442"/>
          <cell r="G9442"/>
          <cell r="H9442"/>
          <cell r="I9442"/>
          <cell r="J9442"/>
          <cell r="L9442"/>
        </row>
        <row r="9443">
          <cell r="A9443"/>
          <cell r="D9443"/>
          <cell r="E9443"/>
          <cell r="F9443"/>
          <cell r="G9443"/>
          <cell r="H9443"/>
          <cell r="I9443"/>
          <cell r="J9443"/>
          <cell r="L9443"/>
        </row>
        <row r="9444">
          <cell r="A9444"/>
          <cell r="D9444"/>
          <cell r="E9444"/>
          <cell r="F9444"/>
          <cell r="G9444"/>
          <cell r="H9444"/>
          <cell r="I9444"/>
          <cell r="J9444"/>
          <cell r="L9444"/>
        </row>
        <row r="9445">
          <cell r="A9445"/>
          <cell r="D9445"/>
          <cell r="E9445"/>
          <cell r="F9445"/>
          <cell r="G9445"/>
          <cell r="H9445"/>
          <cell r="I9445"/>
          <cell r="J9445"/>
          <cell r="L9445"/>
        </row>
        <row r="9446">
          <cell r="A9446"/>
          <cell r="D9446"/>
          <cell r="E9446"/>
          <cell r="F9446"/>
          <cell r="G9446"/>
          <cell r="H9446"/>
          <cell r="I9446"/>
          <cell r="J9446"/>
          <cell r="L9446"/>
        </row>
        <row r="9447">
          <cell r="A9447"/>
          <cell r="D9447"/>
          <cell r="E9447"/>
          <cell r="F9447"/>
          <cell r="G9447"/>
          <cell r="H9447"/>
          <cell r="I9447"/>
          <cell r="J9447"/>
          <cell r="L9447"/>
        </row>
        <row r="9448">
          <cell r="A9448"/>
          <cell r="D9448"/>
          <cell r="E9448"/>
          <cell r="F9448"/>
          <cell r="G9448"/>
          <cell r="H9448"/>
          <cell r="I9448"/>
          <cell r="J9448"/>
          <cell r="L9448"/>
        </row>
        <row r="9449">
          <cell r="A9449"/>
          <cell r="D9449"/>
          <cell r="E9449"/>
          <cell r="F9449"/>
          <cell r="G9449"/>
          <cell r="H9449"/>
          <cell r="I9449"/>
          <cell r="J9449"/>
          <cell r="L9449"/>
        </row>
        <row r="9450">
          <cell r="A9450"/>
          <cell r="D9450"/>
          <cell r="E9450"/>
          <cell r="F9450"/>
          <cell r="G9450"/>
          <cell r="H9450"/>
          <cell r="I9450"/>
          <cell r="J9450"/>
          <cell r="L9450"/>
        </row>
        <row r="9451">
          <cell r="A9451"/>
          <cell r="D9451"/>
          <cell r="E9451"/>
          <cell r="F9451"/>
          <cell r="G9451"/>
          <cell r="H9451"/>
          <cell r="I9451"/>
          <cell r="J9451"/>
          <cell r="L9451"/>
        </row>
        <row r="9452">
          <cell r="A9452"/>
          <cell r="D9452"/>
          <cell r="E9452"/>
          <cell r="F9452"/>
          <cell r="G9452"/>
          <cell r="H9452"/>
          <cell r="I9452"/>
          <cell r="J9452"/>
          <cell r="L9452"/>
        </row>
        <row r="9453">
          <cell r="A9453"/>
          <cell r="D9453"/>
          <cell r="E9453"/>
          <cell r="F9453"/>
          <cell r="G9453"/>
          <cell r="H9453"/>
          <cell r="I9453"/>
          <cell r="J9453"/>
          <cell r="L9453"/>
        </row>
        <row r="9454">
          <cell r="A9454"/>
          <cell r="D9454"/>
          <cell r="E9454"/>
          <cell r="F9454"/>
          <cell r="G9454"/>
          <cell r="H9454"/>
          <cell r="I9454"/>
          <cell r="J9454"/>
          <cell r="L9454"/>
        </row>
        <row r="9455">
          <cell r="A9455"/>
          <cell r="D9455"/>
          <cell r="E9455"/>
          <cell r="F9455"/>
          <cell r="G9455"/>
          <cell r="H9455"/>
          <cell r="I9455"/>
          <cell r="J9455"/>
          <cell r="L9455"/>
        </row>
        <row r="9456">
          <cell r="A9456"/>
          <cell r="D9456"/>
          <cell r="E9456"/>
          <cell r="F9456"/>
          <cell r="G9456"/>
          <cell r="H9456"/>
          <cell r="I9456"/>
          <cell r="J9456"/>
          <cell r="L9456"/>
        </row>
        <row r="9457">
          <cell r="A9457"/>
          <cell r="D9457"/>
          <cell r="E9457"/>
          <cell r="F9457"/>
          <cell r="G9457"/>
          <cell r="H9457"/>
          <cell r="I9457"/>
          <cell r="J9457"/>
          <cell r="L9457"/>
        </row>
        <row r="9458">
          <cell r="A9458"/>
          <cell r="D9458"/>
          <cell r="E9458"/>
          <cell r="F9458"/>
          <cell r="G9458"/>
          <cell r="H9458"/>
          <cell r="I9458"/>
          <cell r="J9458"/>
          <cell r="L9458"/>
        </row>
        <row r="9459">
          <cell r="A9459"/>
          <cell r="D9459"/>
          <cell r="E9459"/>
          <cell r="F9459"/>
          <cell r="G9459"/>
          <cell r="H9459"/>
          <cell r="I9459"/>
          <cell r="J9459"/>
          <cell r="L9459"/>
        </row>
        <row r="9460">
          <cell r="A9460"/>
          <cell r="D9460"/>
          <cell r="E9460"/>
          <cell r="F9460"/>
          <cell r="G9460"/>
          <cell r="H9460"/>
          <cell r="I9460"/>
          <cell r="J9460"/>
          <cell r="L9460"/>
        </row>
        <row r="9461">
          <cell r="A9461"/>
          <cell r="D9461"/>
          <cell r="E9461"/>
          <cell r="F9461"/>
          <cell r="G9461"/>
          <cell r="H9461"/>
          <cell r="I9461"/>
          <cell r="J9461"/>
          <cell r="L9461"/>
        </row>
        <row r="9462">
          <cell r="A9462"/>
          <cell r="D9462"/>
          <cell r="E9462"/>
          <cell r="F9462"/>
          <cell r="G9462"/>
          <cell r="H9462"/>
          <cell r="I9462"/>
          <cell r="J9462"/>
          <cell r="L9462"/>
        </row>
        <row r="9463">
          <cell r="A9463"/>
          <cell r="D9463"/>
          <cell r="E9463"/>
          <cell r="F9463"/>
          <cell r="G9463"/>
          <cell r="H9463"/>
          <cell r="I9463"/>
          <cell r="J9463"/>
          <cell r="L9463"/>
        </row>
        <row r="9464">
          <cell r="A9464"/>
          <cell r="D9464"/>
          <cell r="E9464"/>
          <cell r="F9464"/>
          <cell r="G9464"/>
          <cell r="H9464"/>
          <cell r="I9464"/>
          <cell r="J9464"/>
          <cell r="L9464"/>
        </row>
        <row r="9465">
          <cell r="A9465"/>
          <cell r="D9465"/>
          <cell r="E9465"/>
          <cell r="F9465"/>
          <cell r="G9465"/>
          <cell r="H9465"/>
          <cell r="I9465"/>
          <cell r="J9465"/>
          <cell r="L9465"/>
        </row>
        <row r="9466">
          <cell r="A9466"/>
          <cell r="D9466"/>
          <cell r="E9466"/>
          <cell r="F9466"/>
          <cell r="G9466"/>
          <cell r="H9466"/>
          <cell r="I9466"/>
          <cell r="J9466"/>
          <cell r="L9466"/>
        </row>
        <row r="9467">
          <cell r="A9467"/>
          <cell r="D9467"/>
          <cell r="E9467"/>
          <cell r="F9467"/>
          <cell r="G9467"/>
          <cell r="H9467"/>
          <cell r="I9467"/>
          <cell r="J9467"/>
          <cell r="L9467"/>
        </row>
        <row r="9468">
          <cell r="A9468"/>
          <cell r="D9468"/>
          <cell r="E9468"/>
          <cell r="F9468"/>
          <cell r="G9468"/>
          <cell r="H9468"/>
          <cell r="I9468"/>
          <cell r="J9468"/>
          <cell r="L9468"/>
        </row>
        <row r="9469">
          <cell r="A9469"/>
          <cell r="D9469"/>
          <cell r="E9469"/>
          <cell r="F9469"/>
          <cell r="G9469"/>
          <cell r="H9469"/>
          <cell r="I9469"/>
          <cell r="J9469"/>
          <cell r="L9469"/>
        </row>
        <row r="9470">
          <cell r="A9470"/>
          <cell r="D9470"/>
          <cell r="E9470"/>
          <cell r="F9470"/>
          <cell r="G9470"/>
          <cell r="H9470"/>
          <cell r="I9470"/>
          <cell r="J9470"/>
          <cell r="L9470"/>
        </row>
        <row r="9471">
          <cell r="A9471"/>
          <cell r="D9471"/>
          <cell r="E9471"/>
          <cell r="F9471"/>
          <cell r="G9471"/>
          <cell r="H9471"/>
          <cell r="I9471"/>
          <cell r="J9471"/>
          <cell r="L9471"/>
        </row>
        <row r="9472">
          <cell r="A9472"/>
          <cell r="D9472"/>
          <cell r="E9472"/>
          <cell r="F9472"/>
          <cell r="G9472"/>
          <cell r="H9472"/>
          <cell r="I9472"/>
          <cell r="J9472"/>
          <cell r="L9472"/>
        </row>
        <row r="9473">
          <cell r="A9473"/>
          <cell r="D9473"/>
          <cell r="E9473"/>
          <cell r="F9473"/>
          <cell r="G9473"/>
          <cell r="H9473"/>
          <cell r="I9473"/>
          <cell r="J9473"/>
          <cell r="L9473"/>
        </row>
        <row r="9474">
          <cell r="A9474"/>
          <cell r="D9474"/>
          <cell r="E9474"/>
          <cell r="F9474"/>
          <cell r="G9474"/>
          <cell r="H9474"/>
          <cell r="I9474"/>
          <cell r="J9474"/>
          <cell r="L9474"/>
        </row>
        <row r="9475">
          <cell r="A9475"/>
          <cell r="D9475"/>
          <cell r="E9475"/>
          <cell r="F9475"/>
          <cell r="G9475"/>
          <cell r="H9475"/>
          <cell r="I9475"/>
          <cell r="J9475"/>
          <cell r="L9475"/>
        </row>
        <row r="9476">
          <cell r="A9476"/>
          <cell r="D9476"/>
          <cell r="E9476"/>
          <cell r="F9476"/>
          <cell r="G9476"/>
          <cell r="H9476"/>
          <cell r="I9476"/>
          <cell r="J9476"/>
          <cell r="L9476"/>
        </row>
        <row r="9477">
          <cell r="A9477"/>
          <cell r="D9477"/>
          <cell r="E9477"/>
          <cell r="F9477"/>
          <cell r="G9477"/>
          <cell r="H9477"/>
          <cell r="I9477"/>
          <cell r="J9477"/>
          <cell r="L9477"/>
        </row>
        <row r="9478">
          <cell r="A9478"/>
          <cell r="D9478"/>
          <cell r="E9478"/>
          <cell r="F9478"/>
          <cell r="G9478"/>
          <cell r="H9478"/>
          <cell r="I9478"/>
          <cell r="J9478"/>
          <cell r="L9478"/>
        </row>
        <row r="9479">
          <cell r="A9479"/>
          <cell r="D9479"/>
          <cell r="E9479"/>
          <cell r="F9479"/>
          <cell r="G9479"/>
          <cell r="H9479"/>
          <cell r="I9479"/>
          <cell r="J9479"/>
          <cell r="L9479"/>
        </row>
        <row r="9480">
          <cell r="A9480"/>
          <cell r="D9480"/>
          <cell r="E9480"/>
          <cell r="F9480"/>
          <cell r="G9480"/>
          <cell r="H9480"/>
          <cell r="I9480"/>
          <cell r="J9480"/>
          <cell r="L9480"/>
        </row>
        <row r="9481">
          <cell r="A9481"/>
          <cell r="D9481"/>
          <cell r="E9481"/>
          <cell r="F9481"/>
          <cell r="G9481"/>
          <cell r="H9481"/>
          <cell r="I9481"/>
          <cell r="J9481"/>
          <cell r="L9481"/>
        </row>
        <row r="9482">
          <cell r="A9482"/>
          <cell r="D9482"/>
          <cell r="E9482"/>
          <cell r="F9482"/>
          <cell r="G9482"/>
          <cell r="H9482"/>
          <cell r="I9482"/>
          <cell r="J9482"/>
          <cell r="L9482"/>
        </row>
        <row r="9483">
          <cell r="A9483"/>
          <cell r="D9483"/>
          <cell r="E9483"/>
          <cell r="F9483"/>
          <cell r="G9483"/>
          <cell r="H9483"/>
          <cell r="I9483"/>
          <cell r="J9483"/>
          <cell r="L9483"/>
        </row>
        <row r="9484">
          <cell r="A9484"/>
          <cell r="D9484"/>
          <cell r="E9484"/>
          <cell r="F9484"/>
          <cell r="G9484"/>
          <cell r="H9484"/>
          <cell r="I9484"/>
          <cell r="J9484"/>
          <cell r="L9484"/>
        </row>
        <row r="9485">
          <cell r="A9485"/>
          <cell r="D9485"/>
          <cell r="E9485"/>
          <cell r="F9485"/>
          <cell r="G9485"/>
          <cell r="H9485"/>
          <cell r="I9485"/>
          <cell r="J9485"/>
          <cell r="L9485"/>
        </row>
        <row r="9486">
          <cell r="A9486"/>
          <cell r="D9486"/>
          <cell r="E9486"/>
          <cell r="F9486"/>
          <cell r="G9486"/>
          <cell r="H9486"/>
          <cell r="I9486"/>
          <cell r="J9486"/>
          <cell r="L9486"/>
        </row>
        <row r="9487">
          <cell r="A9487"/>
          <cell r="D9487"/>
          <cell r="E9487"/>
          <cell r="F9487"/>
          <cell r="G9487"/>
          <cell r="H9487"/>
          <cell r="I9487"/>
          <cell r="J9487"/>
          <cell r="L9487"/>
        </row>
        <row r="9488">
          <cell r="A9488"/>
          <cell r="D9488"/>
          <cell r="E9488"/>
          <cell r="F9488"/>
          <cell r="G9488"/>
          <cell r="H9488"/>
          <cell r="I9488"/>
          <cell r="J9488"/>
          <cell r="L9488"/>
        </row>
        <row r="9489">
          <cell r="A9489"/>
          <cell r="D9489"/>
          <cell r="E9489"/>
          <cell r="F9489"/>
          <cell r="G9489"/>
          <cell r="H9489"/>
          <cell r="I9489"/>
          <cell r="J9489"/>
          <cell r="L9489"/>
        </row>
        <row r="9490">
          <cell r="A9490"/>
          <cell r="D9490"/>
          <cell r="E9490"/>
          <cell r="F9490"/>
          <cell r="G9490"/>
          <cell r="H9490"/>
          <cell r="I9490"/>
          <cell r="J9490"/>
          <cell r="L9490"/>
        </row>
        <row r="9491">
          <cell r="A9491"/>
          <cell r="D9491"/>
          <cell r="E9491"/>
          <cell r="F9491"/>
          <cell r="G9491"/>
          <cell r="H9491"/>
          <cell r="I9491"/>
          <cell r="J9491"/>
          <cell r="L9491"/>
        </row>
        <row r="9492">
          <cell r="A9492"/>
          <cell r="D9492"/>
          <cell r="E9492"/>
          <cell r="F9492"/>
          <cell r="G9492"/>
          <cell r="H9492"/>
          <cell r="I9492"/>
          <cell r="J9492"/>
          <cell r="L9492"/>
        </row>
        <row r="9493">
          <cell r="A9493"/>
          <cell r="D9493"/>
          <cell r="E9493"/>
          <cell r="F9493"/>
          <cell r="G9493"/>
          <cell r="H9493"/>
          <cell r="I9493"/>
          <cell r="J9493"/>
          <cell r="L9493"/>
        </row>
        <row r="9494">
          <cell r="A9494"/>
          <cell r="D9494"/>
          <cell r="E9494"/>
          <cell r="F9494"/>
          <cell r="G9494"/>
          <cell r="H9494"/>
          <cell r="I9494"/>
          <cell r="J9494"/>
          <cell r="L9494"/>
        </row>
        <row r="9495">
          <cell r="A9495"/>
          <cell r="D9495"/>
          <cell r="E9495"/>
          <cell r="F9495"/>
          <cell r="G9495"/>
          <cell r="H9495"/>
          <cell r="I9495"/>
          <cell r="J9495"/>
          <cell r="L9495"/>
        </row>
        <row r="9496">
          <cell r="A9496"/>
          <cell r="D9496"/>
          <cell r="E9496"/>
          <cell r="F9496"/>
          <cell r="G9496"/>
          <cell r="H9496"/>
          <cell r="I9496"/>
          <cell r="J9496"/>
          <cell r="L9496"/>
        </row>
        <row r="9497">
          <cell r="A9497"/>
          <cell r="D9497"/>
          <cell r="E9497"/>
          <cell r="F9497"/>
          <cell r="G9497"/>
          <cell r="H9497"/>
          <cell r="I9497"/>
          <cell r="J9497"/>
          <cell r="L9497"/>
        </row>
        <row r="9498">
          <cell r="A9498"/>
          <cell r="D9498"/>
          <cell r="E9498"/>
          <cell r="F9498"/>
          <cell r="G9498"/>
          <cell r="H9498"/>
          <cell r="I9498"/>
          <cell r="J9498"/>
          <cell r="L9498"/>
        </row>
        <row r="9499">
          <cell r="A9499"/>
          <cell r="D9499"/>
          <cell r="E9499"/>
          <cell r="F9499"/>
          <cell r="G9499"/>
          <cell r="H9499"/>
          <cell r="I9499"/>
          <cell r="J9499"/>
          <cell r="L9499"/>
        </row>
        <row r="9500">
          <cell r="A9500"/>
          <cell r="D9500"/>
          <cell r="E9500"/>
          <cell r="F9500"/>
          <cell r="G9500"/>
          <cell r="H9500"/>
          <cell r="I9500"/>
          <cell r="J9500"/>
          <cell r="L9500"/>
        </row>
        <row r="9501">
          <cell r="A9501"/>
          <cell r="D9501"/>
          <cell r="E9501"/>
          <cell r="F9501"/>
          <cell r="G9501"/>
          <cell r="H9501"/>
          <cell r="I9501"/>
          <cell r="J9501"/>
          <cell r="L9501"/>
        </row>
        <row r="9502">
          <cell r="A9502"/>
          <cell r="D9502"/>
          <cell r="E9502"/>
          <cell r="F9502"/>
          <cell r="G9502"/>
          <cell r="H9502"/>
          <cell r="I9502"/>
          <cell r="J9502"/>
          <cell r="L9502"/>
        </row>
        <row r="9503">
          <cell r="A9503"/>
          <cell r="D9503"/>
          <cell r="E9503"/>
          <cell r="F9503"/>
          <cell r="G9503"/>
          <cell r="H9503"/>
          <cell r="I9503"/>
          <cell r="J9503"/>
          <cell r="L9503"/>
        </row>
        <row r="9504">
          <cell r="A9504"/>
          <cell r="D9504"/>
          <cell r="E9504"/>
          <cell r="F9504"/>
          <cell r="G9504"/>
          <cell r="H9504"/>
          <cell r="I9504"/>
          <cell r="J9504"/>
          <cell r="L9504"/>
        </row>
        <row r="9505">
          <cell r="A9505"/>
          <cell r="D9505"/>
          <cell r="E9505"/>
          <cell r="F9505"/>
          <cell r="G9505"/>
          <cell r="H9505"/>
          <cell r="I9505"/>
          <cell r="J9505"/>
          <cell r="L9505"/>
        </row>
        <row r="9506">
          <cell r="A9506"/>
          <cell r="D9506"/>
          <cell r="E9506"/>
          <cell r="F9506"/>
          <cell r="G9506"/>
          <cell r="H9506"/>
          <cell r="I9506"/>
          <cell r="J9506"/>
          <cell r="L9506"/>
        </row>
        <row r="9507">
          <cell r="A9507"/>
          <cell r="D9507"/>
          <cell r="E9507"/>
          <cell r="F9507"/>
          <cell r="G9507"/>
          <cell r="H9507"/>
          <cell r="I9507"/>
          <cell r="J9507"/>
          <cell r="L9507"/>
        </row>
        <row r="9508">
          <cell r="A9508"/>
          <cell r="D9508"/>
          <cell r="E9508"/>
          <cell r="F9508"/>
          <cell r="G9508"/>
          <cell r="H9508"/>
          <cell r="I9508"/>
          <cell r="J9508"/>
          <cell r="L9508"/>
        </row>
        <row r="9509">
          <cell r="A9509"/>
          <cell r="D9509"/>
          <cell r="E9509"/>
          <cell r="F9509"/>
          <cell r="G9509"/>
          <cell r="H9509"/>
          <cell r="I9509"/>
          <cell r="J9509"/>
          <cell r="L9509"/>
        </row>
        <row r="9510">
          <cell r="A9510"/>
          <cell r="D9510"/>
          <cell r="E9510"/>
          <cell r="F9510"/>
          <cell r="G9510"/>
          <cell r="H9510"/>
          <cell r="I9510"/>
          <cell r="J9510"/>
          <cell r="L9510"/>
        </row>
        <row r="9511">
          <cell r="A9511"/>
          <cell r="D9511"/>
          <cell r="E9511"/>
          <cell r="F9511"/>
          <cell r="G9511"/>
          <cell r="H9511"/>
          <cell r="I9511"/>
          <cell r="J9511"/>
          <cell r="L9511"/>
        </row>
        <row r="9512">
          <cell r="A9512"/>
          <cell r="D9512"/>
          <cell r="E9512"/>
          <cell r="F9512"/>
          <cell r="G9512"/>
          <cell r="H9512"/>
          <cell r="I9512"/>
          <cell r="J9512"/>
          <cell r="L9512"/>
        </row>
        <row r="9513">
          <cell r="A9513"/>
          <cell r="D9513"/>
          <cell r="E9513"/>
          <cell r="F9513"/>
          <cell r="G9513"/>
          <cell r="H9513"/>
          <cell r="I9513"/>
          <cell r="J9513"/>
          <cell r="L9513"/>
        </row>
        <row r="9514">
          <cell r="A9514"/>
          <cell r="D9514"/>
          <cell r="E9514"/>
          <cell r="F9514"/>
          <cell r="G9514"/>
          <cell r="H9514"/>
          <cell r="I9514"/>
          <cell r="J9514"/>
          <cell r="L9514"/>
        </row>
        <row r="9515">
          <cell r="A9515"/>
          <cell r="D9515"/>
          <cell r="E9515"/>
          <cell r="F9515"/>
          <cell r="G9515"/>
          <cell r="H9515"/>
          <cell r="I9515"/>
          <cell r="J9515"/>
          <cell r="L9515"/>
        </row>
        <row r="9516">
          <cell r="A9516"/>
          <cell r="D9516"/>
          <cell r="E9516"/>
          <cell r="F9516"/>
          <cell r="G9516"/>
          <cell r="H9516"/>
          <cell r="I9516"/>
          <cell r="J9516"/>
          <cell r="L9516"/>
        </row>
        <row r="9517">
          <cell r="A9517"/>
          <cell r="D9517"/>
          <cell r="E9517"/>
          <cell r="F9517"/>
          <cell r="G9517"/>
          <cell r="H9517"/>
          <cell r="I9517"/>
          <cell r="J9517"/>
          <cell r="L9517"/>
        </row>
        <row r="9518">
          <cell r="A9518"/>
          <cell r="D9518"/>
          <cell r="E9518"/>
          <cell r="F9518"/>
          <cell r="G9518"/>
          <cell r="H9518"/>
          <cell r="I9518"/>
          <cell r="J9518"/>
          <cell r="L9518"/>
        </row>
        <row r="9519">
          <cell r="A9519"/>
          <cell r="D9519"/>
          <cell r="E9519"/>
          <cell r="F9519"/>
          <cell r="G9519"/>
          <cell r="H9519"/>
          <cell r="I9519"/>
          <cell r="J9519"/>
          <cell r="L9519"/>
        </row>
        <row r="9520">
          <cell r="A9520"/>
          <cell r="D9520"/>
          <cell r="E9520"/>
          <cell r="F9520"/>
          <cell r="G9520"/>
          <cell r="H9520"/>
          <cell r="I9520"/>
          <cell r="J9520"/>
          <cell r="L9520"/>
        </row>
        <row r="9521">
          <cell r="A9521"/>
          <cell r="D9521"/>
          <cell r="E9521"/>
          <cell r="F9521"/>
          <cell r="G9521"/>
          <cell r="H9521"/>
          <cell r="I9521"/>
          <cell r="J9521"/>
          <cell r="L9521"/>
        </row>
        <row r="9522">
          <cell r="A9522"/>
          <cell r="D9522"/>
          <cell r="E9522"/>
          <cell r="F9522"/>
          <cell r="G9522"/>
          <cell r="H9522"/>
          <cell r="I9522"/>
          <cell r="J9522"/>
          <cell r="L9522"/>
        </row>
        <row r="9523">
          <cell r="A9523"/>
          <cell r="D9523"/>
          <cell r="E9523"/>
          <cell r="F9523"/>
          <cell r="G9523"/>
          <cell r="H9523"/>
          <cell r="I9523"/>
          <cell r="J9523"/>
          <cell r="L9523"/>
        </row>
        <row r="9524">
          <cell r="A9524"/>
          <cell r="D9524"/>
          <cell r="E9524"/>
          <cell r="F9524"/>
          <cell r="G9524"/>
          <cell r="H9524"/>
          <cell r="I9524"/>
          <cell r="J9524"/>
          <cell r="L9524"/>
        </row>
        <row r="9525">
          <cell r="A9525"/>
          <cell r="D9525"/>
          <cell r="E9525"/>
          <cell r="F9525"/>
          <cell r="G9525"/>
          <cell r="H9525"/>
          <cell r="I9525"/>
          <cell r="J9525"/>
          <cell r="L9525"/>
        </row>
        <row r="9526">
          <cell r="A9526"/>
          <cell r="D9526"/>
          <cell r="E9526"/>
          <cell r="F9526"/>
          <cell r="G9526"/>
          <cell r="H9526"/>
          <cell r="I9526"/>
          <cell r="J9526"/>
          <cell r="L9526"/>
        </row>
        <row r="9527">
          <cell r="A9527"/>
          <cell r="D9527"/>
          <cell r="E9527"/>
          <cell r="F9527"/>
          <cell r="G9527"/>
          <cell r="H9527"/>
          <cell r="I9527"/>
          <cell r="J9527"/>
          <cell r="L9527"/>
        </row>
        <row r="9528">
          <cell r="A9528"/>
          <cell r="D9528"/>
          <cell r="E9528"/>
          <cell r="F9528"/>
          <cell r="G9528"/>
          <cell r="H9528"/>
          <cell r="I9528"/>
          <cell r="J9528"/>
          <cell r="L9528"/>
        </row>
        <row r="9529">
          <cell r="A9529"/>
          <cell r="D9529"/>
          <cell r="E9529"/>
          <cell r="F9529"/>
          <cell r="G9529"/>
          <cell r="H9529"/>
          <cell r="I9529"/>
          <cell r="J9529"/>
          <cell r="L9529"/>
        </row>
        <row r="9530">
          <cell r="A9530"/>
          <cell r="D9530"/>
          <cell r="E9530"/>
          <cell r="F9530"/>
          <cell r="G9530"/>
          <cell r="H9530"/>
          <cell r="I9530"/>
          <cell r="J9530"/>
          <cell r="L9530"/>
        </row>
        <row r="9531">
          <cell r="A9531"/>
          <cell r="D9531"/>
          <cell r="E9531"/>
          <cell r="F9531"/>
          <cell r="G9531"/>
          <cell r="H9531"/>
          <cell r="I9531"/>
          <cell r="J9531"/>
          <cell r="L9531"/>
        </row>
        <row r="9532">
          <cell r="A9532"/>
          <cell r="D9532"/>
          <cell r="E9532"/>
          <cell r="F9532"/>
          <cell r="G9532"/>
          <cell r="H9532"/>
          <cell r="I9532"/>
          <cell r="J9532"/>
          <cell r="L9532"/>
        </row>
        <row r="9533">
          <cell r="A9533"/>
          <cell r="D9533"/>
          <cell r="E9533"/>
          <cell r="F9533"/>
          <cell r="G9533"/>
          <cell r="H9533"/>
          <cell r="I9533"/>
          <cell r="J9533"/>
          <cell r="L9533"/>
        </row>
        <row r="9534">
          <cell r="A9534"/>
          <cell r="D9534"/>
          <cell r="E9534"/>
          <cell r="F9534"/>
          <cell r="G9534"/>
          <cell r="H9534"/>
          <cell r="I9534"/>
          <cell r="J9534"/>
          <cell r="L9534"/>
        </row>
        <row r="9535">
          <cell r="A9535"/>
          <cell r="D9535"/>
          <cell r="E9535"/>
          <cell r="F9535"/>
          <cell r="G9535"/>
          <cell r="H9535"/>
          <cell r="I9535"/>
          <cell r="J9535"/>
          <cell r="L9535"/>
        </row>
        <row r="9536">
          <cell r="A9536"/>
          <cell r="D9536"/>
          <cell r="E9536"/>
          <cell r="F9536"/>
          <cell r="G9536"/>
          <cell r="H9536"/>
          <cell r="I9536"/>
          <cell r="J9536"/>
          <cell r="L9536"/>
        </row>
        <row r="9537">
          <cell r="A9537"/>
          <cell r="D9537"/>
          <cell r="E9537"/>
          <cell r="F9537"/>
          <cell r="G9537"/>
          <cell r="H9537"/>
          <cell r="I9537"/>
          <cell r="J9537"/>
          <cell r="L9537"/>
        </row>
        <row r="9538">
          <cell r="A9538"/>
          <cell r="D9538"/>
          <cell r="E9538"/>
          <cell r="F9538"/>
          <cell r="G9538"/>
          <cell r="H9538"/>
          <cell r="I9538"/>
          <cell r="J9538"/>
          <cell r="L9538"/>
        </row>
        <row r="9539">
          <cell r="A9539"/>
          <cell r="D9539"/>
          <cell r="E9539"/>
          <cell r="F9539"/>
          <cell r="G9539"/>
          <cell r="H9539"/>
          <cell r="I9539"/>
          <cell r="J9539"/>
          <cell r="L9539"/>
        </row>
        <row r="9540">
          <cell r="A9540"/>
          <cell r="D9540"/>
          <cell r="E9540"/>
          <cell r="F9540"/>
          <cell r="G9540"/>
          <cell r="H9540"/>
          <cell r="I9540"/>
          <cell r="J9540"/>
          <cell r="L9540"/>
        </row>
        <row r="9541">
          <cell r="A9541"/>
          <cell r="D9541"/>
          <cell r="E9541"/>
          <cell r="F9541"/>
          <cell r="G9541"/>
          <cell r="H9541"/>
          <cell r="I9541"/>
          <cell r="J9541"/>
          <cell r="L9541"/>
        </row>
        <row r="9542">
          <cell r="A9542"/>
          <cell r="D9542"/>
          <cell r="E9542"/>
          <cell r="F9542"/>
          <cell r="G9542"/>
          <cell r="H9542"/>
          <cell r="I9542"/>
          <cell r="J9542"/>
          <cell r="L9542"/>
        </row>
        <row r="9543">
          <cell r="A9543"/>
          <cell r="D9543"/>
          <cell r="E9543"/>
          <cell r="F9543"/>
          <cell r="G9543"/>
          <cell r="H9543"/>
          <cell r="I9543"/>
          <cell r="J9543"/>
          <cell r="L9543"/>
        </row>
        <row r="9544">
          <cell r="A9544"/>
          <cell r="D9544"/>
          <cell r="E9544"/>
          <cell r="F9544"/>
          <cell r="G9544"/>
          <cell r="H9544"/>
          <cell r="I9544"/>
          <cell r="J9544"/>
          <cell r="L9544"/>
        </row>
        <row r="9545">
          <cell r="A9545"/>
          <cell r="D9545"/>
          <cell r="E9545"/>
          <cell r="F9545"/>
          <cell r="G9545"/>
          <cell r="H9545"/>
          <cell r="I9545"/>
          <cell r="J9545"/>
          <cell r="L9545"/>
        </row>
        <row r="9546">
          <cell r="A9546"/>
          <cell r="D9546"/>
          <cell r="E9546"/>
          <cell r="F9546"/>
          <cell r="G9546"/>
          <cell r="H9546"/>
          <cell r="I9546"/>
          <cell r="J9546"/>
          <cell r="L9546"/>
        </row>
        <row r="9547">
          <cell r="A9547"/>
          <cell r="D9547"/>
          <cell r="E9547"/>
          <cell r="F9547"/>
          <cell r="G9547"/>
          <cell r="H9547"/>
          <cell r="I9547"/>
          <cell r="J9547"/>
          <cell r="L9547"/>
        </row>
        <row r="9548">
          <cell r="A9548"/>
          <cell r="D9548"/>
          <cell r="E9548"/>
          <cell r="F9548"/>
          <cell r="G9548"/>
          <cell r="H9548"/>
          <cell r="I9548"/>
          <cell r="J9548"/>
          <cell r="L9548"/>
        </row>
        <row r="9549">
          <cell r="A9549"/>
          <cell r="D9549"/>
          <cell r="E9549"/>
          <cell r="F9549"/>
          <cell r="G9549"/>
          <cell r="H9549"/>
          <cell r="I9549"/>
          <cell r="J9549"/>
          <cell r="L9549"/>
        </row>
        <row r="9550">
          <cell r="A9550"/>
          <cell r="D9550"/>
          <cell r="E9550"/>
          <cell r="F9550"/>
          <cell r="G9550"/>
          <cell r="H9550"/>
          <cell r="I9550"/>
          <cell r="J9550"/>
          <cell r="L9550"/>
        </row>
        <row r="9551">
          <cell r="A9551"/>
          <cell r="D9551"/>
          <cell r="E9551"/>
          <cell r="F9551"/>
          <cell r="G9551"/>
          <cell r="H9551"/>
          <cell r="I9551"/>
          <cell r="J9551"/>
          <cell r="L9551"/>
        </row>
        <row r="9552">
          <cell r="A9552"/>
          <cell r="D9552"/>
          <cell r="E9552"/>
          <cell r="F9552"/>
          <cell r="G9552"/>
          <cell r="H9552"/>
          <cell r="I9552"/>
          <cell r="J9552"/>
          <cell r="L9552"/>
        </row>
        <row r="9553">
          <cell r="A9553"/>
          <cell r="D9553"/>
          <cell r="E9553"/>
          <cell r="F9553"/>
          <cell r="G9553"/>
          <cell r="H9553"/>
          <cell r="I9553"/>
          <cell r="J9553"/>
          <cell r="L9553"/>
        </row>
        <row r="9554">
          <cell r="A9554"/>
          <cell r="D9554"/>
          <cell r="E9554"/>
          <cell r="F9554"/>
          <cell r="G9554"/>
          <cell r="H9554"/>
          <cell r="I9554"/>
          <cell r="J9554"/>
          <cell r="L9554"/>
        </row>
        <row r="9555">
          <cell r="A9555"/>
          <cell r="D9555"/>
          <cell r="E9555"/>
          <cell r="F9555"/>
          <cell r="G9555"/>
          <cell r="H9555"/>
          <cell r="I9555"/>
          <cell r="J9555"/>
          <cell r="L9555"/>
        </row>
        <row r="9556">
          <cell r="A9556"/>
          <cell r="D9556"/>
          <cell r="E9556"/>
          <cell r="F9556"/>
          <cell r="G9556"/>
          <cell r="H9556"/>
          <cell r="I9556"/>
          <cell r="J9556"/>
          <cell r="L9556"/>
        </row>
        <row r="9557">
          <cell r="A9557"/>
          <cell r="D9557"/>
          <cell r="E9557"/>
          <cell r="F9557"/>
          <cell r="G9557"/>
          <cell r="H9557"/>
          <cell r="I9557"/>
          <cell r="J9557"/>
          <cell r="L9557"/>
        </row>
        <row r="9558">
          <cell r="A9558"/>
          <cell r="D9558"/>
          <cell r="E9558"/>
          <cell r="F9558"/>
          <cell r="G9558"/>
          <cell r="H9558"/>
          <cell r="I9558"/>
          <cell r="J9558"/>
          <cell r="L9558"/>
        </row>
        <row r="9559">
          <cell r="A9559"/>
          <cell r="D9559"/>
          <cell r="E9559"/>
          <cell r="F9559"/>
          <cell r="G9559"/>
          <cell r="H9559"/>
          <cell r="I9559"/>
          <cell r="J9559"/>
          <cell r="L9559"/>
        </row>
        <row r="9560">
          <cell r="A9560"/>
          <cell r="D9560"/>
          <cell r="E9560"/>
          <cell r="F9560"/>
          <cell r="G9560"/>
          <cell r="H9560"/>
          <cell r="I9560"/>
          <cell r="J9560"/>
          <cell r="L9560"/>
        </row>
        <row r="9561">
          <cell r="A9561"/>
          <cell r="D9561"/>
          <cell r="E9561"/>
          <cell r="F9561"/>
          <cell r="G9561"/>
          <cell r="H9561"/>
          <cell r="I9561"/>
          <cell r="J9561"/>
          <cell r="L9561"/>
        </row>
        <row r="9562">
          <cell r="A9562"/>
          <cell r="D9562"/>
          <cell r="E9562"/>
          <cell r="F9562"/>
          <cell r="G9562"/>
          <cell r="H9562"/>
          <cell r="I9562"/>
          <cell r="J9562"/>
          <cell r="L9562"/>
        </row>
        <row r="9563">
          <cell r="A9563"/>
          <cell r="D9563"/>
          <cell r="E9563"/>
          <cell r="F9563"/>
          <cell r="G9563"/>
          <cell r="H9563"/>
          <cell r="I9563"/>
          <cell r="J9563"/>
          <cell r="L9563"/>
        </row>
        <row r="9564">
          <cell r="A9564"/>
          <cell r="D9564"/>
          <cell r="E9564"/>
          <cell r="F9564"/>
          <cell r="G9564"/>
          <cell r="H9564"/>
          <cell r="I9564"/>
          <cell r="J9564"/>
          <cell r="L9564"/>
        </row>
        <row r="9565">
          <cell r="A9565"/>
          <cell r="D9565"/>
          <cell r="E9565"/>
          <cell r="F9565"/>
          <cell r="G9565"/>
          <cell r="H9565"/>
          <cell r="I9565"/>
          <cell r="J9565"/>
          <cell r="L9565"/>
        </row>
        <row r="9566">
          <cell r="A9566"/>
          <cell r="D9566"/>
          <cell r="E9566"/>
          <cell r="F9566"/>
          <cell r="G9566"/>
          <cell r="H9566"/>
          <cell r="I9566"/>
          <cell r="J9566"/>
          <cell r="L9566"/>
        </row>
        <row r="9567">
          <cell r="A9567"/>
          <cell r="D9567"/>
          <cell r="E9567"/>
          <cell r="F9567"/>
          <cell r="G9567"/>
          <cell r="H9567"/>
          <cell r="I9567"/>
          <cell r="J9567"/>
          <cell r="L9567"/>
        </row>
        <row r="9568">
          <cell r="A9568"/>
          <cell r="D9568"/>
          <cell r="E9568"/>
          <cell r="F9568"/>
          <cell r="G9568"/>
          <cell r="H9568"/>
          <cell r="I9568"/>
          <cell r="J9568"/>
          <cell r="L9568"/>
        </row>
        <row r="9569">
          <cell r="A9569"/>
          <cell r="D9569"/>
          <cell r="E9569"/>
          <cell r="F9569"/>
          <cell r="G9569"/>
          <cell r="H9569"/>
          <cell r="I9569"/>
          <cell r="J9569"/>
          <cell r="L9569"/>
        </row>
        <row r="9570">
          <cell r="A9570"/>
          <cell r="D9570"/>
          <cell r="E9570"/>
          <cell r="F9570"/>
          <cell r="G9570"/>
          <cell r="H9570"/>
          <cell r="I9570"/>
          <cell r="J9570"/>
          <cell r="L9570"/>
        </row>
        <row r="9571">
          <cell r="A9571"/>
          <cell r="D9571"/>
          <cell r="E9571"/>
          <cell r="F9571"/>
          <cell r="G9571"/>
          <cell r="H9571"/>
          <cell r="I9571"/>
          <cell r="J9571"/>
          <cell r="L9571"/>
        </row>
        <row r="9572">
          <cell r="A9572"/>
          <cell r="D9572"/>
          <cell r="E9572"/>
          <cell r="F9572"/>
          <cell r="G9572"/>
          <cell r="H9572"/>
          <cell r="I9572"/>
          <cell r="J9572"/>
          <cell r="L9572"/>
        </row>
        <row r="9573">
          <cell r="A9573"/>
          <cell r="D9573"/>
          <cell r="E9573"/>
          <cell r="F9573"/>
          <cell r="G9573"/>
          <cell r="H9573"/>
          <cell r="I9573"/>
          <cell r="J9573"/>
          <cell r="L9573"/>
        </row>
        <row r="9574">
          <cell r="A9574"/>
          <cell r="D9574"/>
          <cell r="E9574"/>
          <cell r="F9574"/>
          <cell r="G9574"/>
          <cell r="H9574"/>
          <cell r="I9574"/>
          <cell r="J9574"/>
          <cell r="L9574"/>
        </row>
        <row r="9575">
          <cell r="A9575"/>
          <cell r="D9575"/>
          <cell r="E9575"/>
          <cell r="F9575"/>
          <cell r="G9575"/>
          <cell r="H9575"/>
          <cell r="I9575"/>
          <cell r="J9575"/>
          <cell r="L9575"/>
        </row>
        <row r="9576">
          <cell r="A9576"/>
          <cell r="D9576"/>
          <cell r="E9576"/>
          <cell r="F9576"/>
          <cell r="G9576"/>
          <cell r="H9576"/>
          <cell r="I9576"/>
          <cell r="J9576"/>
          <cell r="L9576"/>
        </row>
        <row r="9577">
          <cell r="A9577"/>
          <cell r="D9577"/>
          <cell r="E9577"/>
          <cell r="F9577"/>
          <cell r="G9577"/>
          <cell r="H9577"/>
          <cell r="I9577"/>
          <cell r="J9577"/>
          <cell r="L9577"/>
        </row>
        <row r="9578">
          <cell r="A9578"/>
          <cell r="D9578"/>
          <cell r="E9578"/>
          <cell r="F9578"/>
          <cell r="G9578"/>
          <cell r="H9578"/>
          <cell r="I9578"/>
          <cell r="J9578"/>
          <cell r="L9578"/>
        </row>
        <row r="9579">
          <cell r="A9579"/>
          <cell r="D9579"/>
          <cell r="E9579"/>
          <cell r="F9579"/>
          <cell r="G9579"/>
          <cell r="H9579"/>
          <cell r="I9579"/>
          <cell r="J9579"/>
          <cell r="L9579"/>
        </row>
        <row r="9580">
          <cell r="A9580"/>
          <cell r="D9580"/>
          <cell r="E9580"/>
          <cell r="F9580"/>
          <cell r="G9580"/>
          <cell r="H9580"/>
          <cell r="I9580"/>
          <cell r="J9580"/>
          <cell r="L9580"/>
        </row>
        <row r="9581">
          <cell r="A9581"/>
          <cell r="D9581"/>
          <cell r="E9581"/>
          <cell r="F9581"/>
          <cell r="G9581"/>
          <cell r="H9581"/>
          <cell r="I9581"/>
          <cell r="J9581"/>
          <cell r="L9581"/>
        </row>
        <row r="9582">
          <cell r="A9582"/>
          <cell r="D9582"/>
          <cell r="E9582"/>
          <cell r="F9582"/>
          <cell r="G9582"/>
          <cell r="H9582"/>
          <cell r="I9582"/>
          <cell r="J9582"/>
          <cell r="L9582"/>
        </row>
        <row r="9583">
          <cell r="A9583"/>
          <cell r="D9583"/>
          <cell r="E9583"/>
          <cell r="F9583"/>
          <cell r="G9583"/>
          <cell r="H9583"/>
          <cell r="I9583"/>
          <cell r="J9583"/>
          <cell r="L9583"/>
        </row>
        <row r="9584">
          <cell r="A9584"/>
          <cell r="D9584"/>
          <cell r="E9584"/>
          <cell r="F9584"/>
          <cell r="G9584"/>
          <cell r="H9584"/>
          <cell r="I9584"/>
          <cell r="J9584"/>
          <cell r="L9584"/>
        </row>
        <row r="9585">
          <cell r="A9585"/>
          <cell r="D9585"/>
          <cell r="E9585"/>
          <cell r="F9585"/>
          <cell r="G9585"/>
          <cell r="H9585"/>
          <cell r="I9585"/>
          <cell r="J9585"/>
          <cell r="L9585"/>
        </row>
        <row r="9586">
          <cell r="A9586"/>
          <cell r="D9586"/>
          <cell r="E9586"/>
          <cell r="F9586"/>
          <cell r="G9586"/>
          <cell r="H9586"/>
          <cell r="I9586"/>
          <cell r="J9586"/>
          <cell r="L9586"/>
        </row>
        <row r="9587">
          <cell r="A9587"/>
          <cell r="D9587"/>
          <cell r="E9587"/>
          <cell r="F9587"/>
          <cell r="G9587"/>
          <cell r="H9587"/>
          <cell r="I9587"/>
          <cell r="J9587"/>
          <cell r="L9587"/>
        </row>
        <row r="9588">
          <cell r="A9588"/>
          <cell r="D9588"/>
          <cell r="E9588"/>
          <cell r="F9588"/>
          <cell r="G9588"/>
          <cell r="H9588"/>
          <cell r="I9588"/>
          <cell r="J9588"/>
          <cell r="L9588"/>
        </row>
        <row r="9589">
          <cell r="A9589"/>
          <cell r="D9589"/>
          <cell r="E9589"/>
          <cell r="F9589"/>
          <cell r="G9589"/>
          <cell r="H9589"/>
          <cell r="I9589"/>
          <cell r="J9589"/>
          <cell r="L9589"/>
        </row>
        <row r="9590">
          <cell r="A9590"/>
          <cell r="D9590"/>
          <cell r="E9590"/>
          <cell r="F9590"/>
          <cell r="G9590"/>
          <cell r="H9590"/>
          <cell r="I9590"/>
          <cell r="J9590"/>
          <cell r="L9590"/>
        </row>
        <row r="9591">
          <cell r="A9591"/>
          <cell r="D9591"/>
          <cell r="E9591"/>
          <cell r="F9591"/>
          <cell r="G9591"/>
          <cell r="H9591"/>
          <cell r="I9591"/>
          <cell r="J9591"/>
          <cell r="L9591"/>
        </row>
        <row r="9592">
          <cell r="A9592"/>
          <cell r="D9592"/>
          <cell r="E9592"/>
          <cell r="F9592"/>
          <cell r="G9592"/>
          <cell r="H9592"/>
          <cell r="I9592"/>
          <cell r="J9592"/>
          <cell r="L9592"/>
        </row>
        <row r="9593">
          <cell r="A9593"/>
          <cell r="D9593"/>
          <cell r="E9593"/>
          <cell r="F9593"/>
          <cell r="G9593"/>
          <cell r="H9593"/>
          <cell r="I9593"/>
          <cell r="J9593"/>
          <cell r="L9593"/>
        </row>
        <row r="9594">
          <cell r="A9594"/>
          <cell r="D9594"/>
          <cell r="E9594"/>
          <cell r="F9594"/>
          <cell r="G9594"/>
          <cell r="H9594"/>
          <cell r="I9594"/>
          <cell r="J9594"/>
          <cell r="L9594"/>
        </row>
        <row r="9595">
          <cell r="A9595"/>
          <cell r="D9595"/>
          <cell r="E9595"/>
          <cell r="F9595"/>
          <cell r="G9595"/>
          <cell r="H9595"/>
          <cell r="I9595"/>
          <cell r="J9595"/>
          <cell r="L9595"/>
        </row>
        <row r="9596">
          <cell r="A9596"/>
          <cell r="D9596"/>
          <cell r="E9596"/>
          <cell r="F9596"/>
          <cell r="G9596"/>
          <cell r="H9596"/>
          <cell r="I9596"/>
          <cell r="J9596"/>
          <cell r="L9596"/>
        </row>
        <row r="9597">
          <cell r="A9597"/>
          <cell r="D9597"/>
          <cell r="E9597"/>
          <cell r="F9597"/>
          <cell r="G9597"/>
          <cell r="H9597"/>
          <cell r="I9597"/>
          <cell r="J9597"/>
          <cell r="L9597"/>
        </row>
        <row r="9598">
          <cell r="A9598"/>
          <cell r="D9598"/>
          <cell r="E9598"/>
          <cell r="F9598"/>
          <cell r="G9598"/>
          <cell r="H9598"/>
          <cell r="I9598"/>
          <cell r="J9598"/>
          <cell r="L9598"/>
        </row>
        <row r="9599">
          <cell r="A9599"/>
          <cell r="D9599"/>
          <cell r="E9599"/>
          <cell r="F9599"/>
          <cell r="G9599"/>
          <cell r="H9599"/>
          <cell r="I9599"/>
          <cell r="J9599"/>
          <cell r="L9599"/>
        </row>
        <row r="9600">
          <cell r="A9600"/>
          <cell r="D9600"/>
          <cell r="E9600"/>
          <cell r="F9600"/>
          <cell r="G9600"/>
          <cell r="H9600"/>
          <cell r="I9600"/>
          <cell r="J9600"/>
          <cell r="L9600"/>
        </row>
        <row r="9601">
          <cell r="A9601"/>
          <cell r="D9601"/>
          <cell r="E9601"/>
          <cell r="F9601"/>
          <cell r="G9601"/>
          <cell r="H9601"/>
          <cell r="I9601"/>
          <cell r="J9601"/>
          <cell r="L9601"/>
        </row>
        <row r="9602">
          <cell r="A9602"/>
          <cell r="D9602"/>
          <cell r="E9602"/>
          <cell r="F9602"/>
          <cell r="G9602"/>
          <cell r="H9602"/>
          <cell r="I9602"/>
          <cell r="J9602"/>
          <cell r="L9602"/>
        </row>
        <row r="9603">
          <cell r="A9603"/>
          <cell r="D9603"/>
          <cell r="E9603"/>
          <cell r="F9603"/>
          <cell r="G9603"/>
          <cell r="H9603"/>
          <cell r="I9603"/>
          <cell r="J9603"/>
          <cell r="L9603"/>
        </row>
        <row r="9604">
          <cell r="A9604"/>
          <cell r="D9604"/>
          <cell r="E9604"/>
          <cell r="F9604"/>
          <cell r="G9604"/>
          <cell r="H9604"/>
          <cell r="I9604"/>
          <cell r="J9604"/>
          <cell r="L9604"/>
        </row>
        <row r="9605">
          <cell r="A9605"/>
          <cell r="D9605"/>
          <cell r="E9605"/>
          <cell r="F9605"/>
          <cell r="G9605"/>
          <cell r="H9605"/>
          <cell r="I9605"/>
          <cell r="J9605"/>
          <cell r="L9605"/>
        </row>
        <row r="9606">
          <cell r="A9606"/>
          <cell r="D9606"/>
          <cell r="E9606"/>
          <cell r="F9606"/>
          <cell r="G9606"/>
          <cell r="H9606"/>
          <cell r="I9606"/>
          <cell r="J9606"/>
          <cell r="L9606"/>
        </row>
        <row r="9607">
          <cell r="A9607"/>
          <cell r="D9607"/>
          <cell r="E9607"/>
          <cell r="F9607"/>
          <cell r="G9607"/>
          <cell r="H9607"/>
          <cell r="I9607"/>
          <cell r="J9607"/>
          <cell r="L9607"/>
        </row>
        <row r="9608">
          <cell r="A9608"/>
          <cell r="D9608"/>
          <cell r="E9608"/>
          <cell r="F9608"/>
          <cell r="G9608"/>
          <cell r="H9608"/>
          <cell r="I9608"/>
          <cell r="J9608"/>
          <cell r="L9608"/>
        </row>
        <row r="9609">
          <cell r="A9609"/>
          <cell r="D9609"/>
          <cell r="E9609"/>
          <cell r="F9609"/>
          <cell r="G9609"/>
          <cell r="H9609"/>
          <cell r="I9609"/>
          <cell r="J9609"/>
          <cell r="L9609"/>
        </row>
        <row r="9610">
          <cell r="A9610"/>
          <cell r="D9610"/>
          <cell r="E9610"/>
          <cell r="F9610"/>
          <cell r="G9610"/>
          <cell r="H9610"/>
          <cell r="I9610"/>
          <cell r="J9610"/>
          <cell r="L9610"/>
        </row>
        <row r="9611">
          <cell r="A9611"/>
          <cell r="D9611"/>
          <cell r="E9611"/>
          <cell r="F9611"/>
          <cell r="G9611"/>
          <cell r="H9611"/>
          <cell r="I9611"/>
          <cell r="J9611"/>
          <cell r="L9611"/>
        </row>
        <row r="9612">
          <cell r="A9612"/>
          <cell r="D9612"/>
          <cell r="E9612"/>
          <cell r="F9612"/>
          <cell r="G9612"/>
          <cell r="H9612"/>
          <cell r="I9612"/>
          <cell r="J9612"/>
          <cell r="L9612"/>
        </row>
        <row r="9613">
          <cell r="A9613"/>
          <cell r="D9613"/>
          <cell r="E9613"/>
          <cell r="F9613"/>
          <cell r="G9613"/>
          <cell r="H9613"/>
          <cell r="I9613"/>
          <cell r="J9613"/>
          <cell r="L9613"/>
        </row>
        <row r="9614">
          <cell r="A9614"/>
          <cell r="D9614"/>
          <cell r="E9614"/>
          <cell r="F9614"/>
          <cell r="G9614"/>
          <cell r="H9614"/>
          <cell r="I9614"/>
          <cell r="J9614"/>
          <cell r="L9614"/>
        </row>
        <row r="9615">
          <cell r="A9615"/>
          <cell r="D9615"/>
          <cell r="E9615"/>
          <cell r="F9615"/>
          <cell r="G9615"/>
          <cell r="H9615"/>
          <cell r="I9615"/>
          <cell r="J9615"/>
          <cell r="L9615"/>
        </row>
        <row r="9616">
          <cell r="A9616"/>
          <cell r="D9616"/>
          <cell r="E9616"/>
          <cell r="F9616"/>
          <cell r="G9616"/>
          <cell r="H9616"/>
          <cell r="I9616"/>
          <cell r="J9616"/>
          <cell r="L9616"/>
        </row>
        <row r="9617">
          <cell r="A9617"/>
          <cell r="D9617"/>
          <cell r="E9617"/>
          <cell r="F9617"/>
          <cell r="G9617"/>
          <cell r="H9617"/>
          <cell r="I9617"/>
          <cell r="J9617"/>
          <cell r="L9617"/>
        </row>
        <row r="9618">
          <cell r="A9618"/>
          <cell r="D9618"/>
          <cell r="E9618"/>
          <cell r="F9618"/>
          <cell r="G9618"/>
          <cell r="H9618"/>
          <cell r="I9618"/>
          <cell r="J9618"/>
          <cell r="L9618"/>
        </row>
        <row r="9619">
          <cell r="A9619"/>
          <cell r="D9619"/>
          <cell r="E9619"/>
          <cell r="F9619"/>
          <cell r="G9619"/>
          <cell r="H9619"/>
          <cell r="I9619"/>
          <cell r="J9619"/>
          <cell r="L9619"/>
        </row>
        <row r="9620">
          <cell r="A9620"/>
          <cell r="D9620"/>
          <cell r="E9620"/>
          <cell r="F9620"/>
          <cell r="G9620"/>
          <cell r="H9620"/>
          <cell r="I9620"/>
          <cell r="J9620"/>
          <cell r="L9620"/>
        </row>
        <row r="9621">
          <cell r="A9621"/>
          <cell r="D9621"/>
          <cell r="E9621"/>
          <cell r="F9621"/>
          <cell r="G9621"/>
          <cell r="H9621"/>
          <cell r="I9621"/>
          <cell r="J9621"/>
          <cell r="L9621"/>
        </row>
        <row r="9622">
          <cell r="A9622"/>
          <cell r="D9622"/>
          <cell r="E9622"/>
          <cell r="F9622"/>
          <cell r="G9622"/>
          <cell r="H9622"/>
          <cell r="I9622"/>
          <cell r="J9622"/>
          <cell r="L9622"/>
        </row>
        <row r="9623">
          <cell r="A9623"/>
          <cell r="D9623"/>
          <cell r="E9623"/>
          <cell r="F9623"/>
          <cell r="G9623"/>
          <cell r="H9623"/>
          <cell r="I9623"/>
          <cell r="J9623"/>
          <cell r="L9623"/>
        </row>
        <row r="9624">
          <cell r="A9624"/>
          <cell r="D9624"/>
          <cell r="E9624"/>
          <cell r="F9624"/>
          <cell r="G9624"/>
          <cell r="H9624"/>
          <cell r="I9624"/>
          <cell r="J9624"/>
          <cell r="L9624"/>
        </row>
        <row r="9625">
          <cell r="A9625"/>
          <cell r="D9625"/>
          <cell r="E9625"/>
          <cell r="F9625"/>
          <cell r="G9625"/>
          <cell r="H9625"/>
          <cell r="I9625"/>
          <cell r="J9625"/>
          <cell r="L9625"/>
        </row>
        <row r="9626">
          <cell r="A9626"/>
          <cell r="D9626"/>
          <cell r="E9626"/>
          <cell r="F9626"/>
          <cell r="G9626"/>
          <cell r="H9626"/>
          <cell r="I9626"/>
          <cell r="J9626"/>
          <cell r="L9626"/>
        </row>
        <row r="9627">
          <cell r="A9627"/>
          <cell r="D9627"/>
          <cell r="E9627"/>
          <cell r="F9627"/>
          <cell r="G9627"/>
          <cell r="H9627"/>
          <cell r="I9627"/>
          <cell r="J9627"/>
          <cell r="L9627"/>
        </row>
        <row r="9628">
          <cell r="A9628"/>
          <cell r="D9628"/>
          <cell r="E9628"/>
          <cell r="F9628"/>
          <cell r="G9628"/>
          <cell r="H9628"/>
          <cell r="I9628"/>
          <cell r="J9628"/>
          <cell r="L9628"/>
        </row>
        <row r="9629">
          <cell r="A9629"/>
          <cell r="D9629"/>
          <cell r="E9629"/>
          <cell r="F9629"/>
          <cell r="G9629"/>
          <cell r="H9629"/>
          <cell r="I9629"/>
          <cell r="J9629"/>
          <cell r="L9629"/>
        </row>
        <row r="9630">
          <cell r="A9630"/>
          <cell r="D9630"/>
          <cell r="E9630"/>
          <cell r="F9630"/>
          <cell r="G9630"/>
          <cell r="H9630"/>
          <cell r="I9630"/>
          <cell r="J9630"/>
          <cell r="L9630"/>
        </row>
        <row r="9631">
          <cell r="A9631"/>
          <cell r="D9631"/>
          <cell r="E9631"/>
          <cell r="F9631"/>
          <cell r="G9631"/>
          <cell r="H9631"/>
          <cell r="I9631"/>
          <cell r="J9631"/>
          <cell r="L9631"/>
        </row>
        <row r="9632">
          <cell r="A9632"/>
          <cell r="D9632"/>
          <cell r="E9632"/>
          <cell r="F9632"/>
          <cell r="G9632"/>
          <cell r="H9632"/>
          <cell r="I9632"/>
          <cell r="J9632"/>
          <cell r="L9632"/>
        </row>
        <row r="9633">
          <cell r="A9633"/>
          <cell r="D9633"/>
          <cell r="E9633"/>
          <cell r="F9633"/>
          <cell r="G9633"/>
          <cell r="H9633"/>
          <cell r="I9633"/>
          <cell r="J9633"/>
          <cell r="L9633"/>
        </row>
        <row r="9634">
          <cell r="A9634"/>
          <cell r="D9634"/>
          <cell r="E9634"/>
          <cell r="F9634"/>
          <cell r="G9634"/>
          <cell r="H9634"/>
          <cell r="I9634"/>
          <cell r="J9634"/>
          <cell r="L9634"/>
        </row>
        <row r="9635">
          <cell r="A9635"/>
          <cell r="D9635"/>
          <cell r="E9635"/>
          <cell r="F9635"/>
          <cell r="G9635"/>
          <cell r="H9635"/>
          <cell r="I9635"/>
          <cell r="J9635"/>
          <cell r="L9635"/>
        </row>
        <row r="9636">
          <cell r="A9636"/>
          <cell r="D9636"/>
          <cell r="E9636"/>
          <cell r="F9636"/>
          <cell r="G9636"/>
          <cell r="H9636"/>
          <cell r="I9636"/>
          <cell r="J9636"/>
          <cell r="L9636"/>
        </row>
        <row r="9637">
          <cell r="A9637"/>
          <cell r="D9637"/>
          <cell r="E9637"/>
          <cell r="F9637"/>
          <cell r="G9637"/>
          <cell r="H9637"/>
          <cell r="I9637"/>
          <cell r="J9637"/>
          <cell r="L9637"/>
        </row>
        <row r="9638">
          <cell r="A9638"/>
          <cell r="D9638"/>
          <cell r="E9638"/>
          <cell r="F9638"/>
          <cell r="G9638"/>
          <cell r="H9638"/>
          <cell r="I9638"/>
          <cell r="J9638"/>
          <cell r="L9638"/>
        </row>
        <row r="9639">
          <cell r="A9639"/>
          <cell r="D9639"/>
          <cell r="E9639"/>
          <cell r="F9639"/>
          <cell r="G9639"/>
          <cell r="H9639"/>
          <cell r="I9639"/>
          <cell r="J9639"/>
          <cell r="L9639"/>
        </row>
        <row r="9640">
          <cell r="A9640"/>
          <cell r="D9640"/>
          <cell r="E9640"/>
          <cell r="F9640"/>
          <cell r="G9640"/>
          <cell r="H9640"/>
          <cell r="I9640"/>
          <cell r="J9640"/>
          <cell r="L9640"/>
        </row>
        <row r="9641">
          <cell r="A9641"/>
          <cell r="D9641"/>
          <cell r="E9641"/>
          <cell r="F9641"/>
          <cell r="G9641"/>
          <cell r="H9641"/>
          <cell r="I9641"/>
          <cell r="J9641"/>
          <cell r="L9641"/>
        </row>
        <row r="9642">
          <cell r="A9642"/>
          <cell r="D9642"/>
          <cell r="E9642"/>
          <cell r="F9642"/>
          <cell r="G9642"/>
          <cell r="H9642"/>
          <cell r="I9642"/>
          <cell r="J9642"/>
          <cell r="L9642"/>
        </row>
        <row r="9643">
          <cell r="A9643"/>
          <cell r="D9643"/>
          <cell r="E9643"/>
          <cell r="F9643"/>
          <cell r="G9643"/>
          <cell r="H9643"/>
          <cell r="I9643"/>
          <cell r="J9643"/>
          <cell r="L9643"/>
        </row>
        <row r="9644">
          <cell r="A9644"/>
          <cell r="D9644"/>
          <cell r="E9644"/>
          <cell r="F9644"/>
          <cell r="G9644"/>
          <cell r="H9644"/>
          <cell r="I9644"/>
          <cell r="J9644"/>
          <cell r="L9644"/>
        </row>
        <row r="9645">
          <cell r="A9645"/>
          <cell r="D9645"/>
          <cell r="E9645"/>
          <cell r="F9645"/>
          <cell r="G9645"/>
          <cell r="H9645"/>
          <cell r="I9645"/>
          <cell r="J9645"/>
          <cell r="L9645"/>
        </row>
        <row r="9646">
          <cell r="A9646"/>
          <cell r="D9646"/>
          <cell r="E9646"/>
          <cell r="F9646"/>
          <cell r="G9646"/>
          <cell r="H9646"/>
          <cell r="I9646"/>
          <cell r="J9646"/>
          <cell r="L9646"/>
        </row>
        <row r="9647">
          <cell r="A9647"/>
          <cell r="D9647"/>
          <cell r="E9647"/>
          <cell r="F9647"/>
          <cell r="G9647"/>
          <cell r="H9647"/>
          <cell r="I9647"/>
          <cell r="J9647"/>
          <cell r="L9647"/>
        </row>
        <row r="9648">
          <cell r="A9648"/>
          <cell r="D9648"/>
          <cell r="E9648"/>
          <cell r="F9648"/>
          <cell r="G9648"/>
          <cell r="H9648"/>
          <cell r="I9648"/>
          <cell r="J9648"/>
          <cell r="L9648"/>
        </row>
        <row r="9649">
          <cell r="A9649"/>
          <cell r="D9649"/>
          <cell r="E9649"/>
          <cell r="F9649"/>
          <cell r="G9649"/>
          <cell r="H9649"/>
          <cell r="I9649"/>
          <cell r="J9649"/>
          <cell r="L9649"/>
        </row>
        <row r="9650">
          <cell r="A9650"/>
          <cell r="D9650"/>
          <cell r="E9650"/>
          <cell r="F9650"/>
          <cell r="G9650"/>
          <cell r="H9650"/>
          <cell r="I9650"/>
          <cell r="J9650"/>
          <cell r="L9650"/>
        </row>
        <row r="9651">
          <cell r="A9651"/>
          <cell r="D9651"/>
          <cell r="E9651"/>
          <cell r="F9651"/>
          <cell r="G9651"/>
          <cell r="H9651"/>
          <cell r="I9651"/>
          <cell r="J9651"/>
          <cell r="L9651"/>
        </row>
        <row r="9652">
          <cell r="A9652"/>
          <cell r="D9652"/>
          <cell r="E9652"/>
          <cell r="F9652"/>
          <cell r="G9652"/>
          <cell r="H9652"/>
          <cell r="I9652"/>
          <cell r="J9652"/>
          <cell r="L9652"/>
        </row>
        <row r="9653">
          <cell r="A9653"/>
          <cell r="D9653"/>
          <cell r="E9653"/>
          <cell r="F9653"/>
          <cell r="G9653"/>
          <cell r="H9653"/>
          <cell r="I9653"/>
          <cell r="J9653"/>
          <cell r="L9653"/>
        </row>
        <row r="9654">
          <cell r="A9654"/>
          <cell r="D9654"/>
          <cell r="E9654"/>
          <cell r="F9654"/>
          <cell r="G9654"/>
          <cell r="H9654"/>
          <cell r="I9654"/>
          <cell r="J9654"/>
          <cell r="L9654"/>
        </row>
        <row r="9655">
          <cell r="A9655"/>
          <cell r="D9655"/>
          <cell r="E9655"/>
          <cell r="F9655"/>
          <cell r="G9655"/>
          <cell r="H9655"/>
          <cell r="I9655"/>
          <cell r="J9655"/>
          <cell r="L9655"/>
        </row>
        <row r="9656">
          <cell r="A9656"/>
          <cell r="D9656"/>
          <cell r="E9656"/>
          <cell r="F9656"/>
          <cell r="G9656"/>
          <cell r="H9656"/>
          <cell r="I9656"/>
          <cell r="J9656"/>
          <cell r="L9656"/>
        </row>
        <row r="9657">
          <cell r="A9657"/>
          <cell r="D9657"/>
          <cell r="E9657"/>
          <cell r="F9657"/>
          <cell r="G9657"/>
          <cell r="H9657"/>
          <cell r="I9657"/>
          <cell r="J9657"/>
          <cell r="L9657"/>
        </row>
        <row r="9658">
          <cell r="A9658"/>
          <cell r="D9658"/>
          <cell r="E9658"/>
          <cell r="F9658"/>
          <cell r="G9658"/>
          <cell r="H9658"/>
          <cell r="I9658"/>
          <cell r="J9658"/>
          <cell r="L9658"/>
        </row>
        <row r="9659">
          <cell r="A9659"/>
          <cell r="D9659"/>
          <cell r="E9659"/>
          <cell r="F9659"/>
          <cell r="G9659"/>
          <cell r="H9659"/>
          <cell r="I9659"/>
          <cell r="J9659"/>
          <cell r="L9659"/>
        </row>
        <row r="9660">
          <cell r="A9660"/>
          <cell r="D9660"/>
          <cell r="E9660"/>
          <cell r="F9660"/>
          <cell r="G9660"/>
          <cell r="H9660"/>
          <cell r="I9660"/>
          <cell r="J9660"/>
          <cell r="L9660"/>
        </row>
        <row r="9661">
          <cell r="A9661"/>
          <cell r="D9661"/>
          <cell r="E9661"/>
          <cell r="F9661"/>
          <cell r="G9661"/>
          <cell r="H9661"/>
          <cell r="I9661"/>
          <cell r="J9661"/>
          <cell r="L9661"/>
        </row>
        <row r="9662">
          <cell r="A9662"/>
          <cell r="D9662"/>
          <cell r="E9662"/>
          <cell r="F9662"/>
          <cell r="G9662"/>
          <cell r="H9662"/>
          <cell r="I9662"/>
          <cell r="J9662"/>
          <cell r="L9662"/>
        </row>
        <row r="9663">
          <cell r="A9663"/>
          <cell r="D9663"/>
          <cell r="E9663"/>
          <cell r="F9663"/>
          <cell r="G9663"/>
          <cell r="H9663"/>
          <cell r="I9663"/>
          <cell r="J9663"/>
          <cell r="L9663"/>
        </row>
        <row r="9664">
          <cell r="A9664"/>
          <cell r="D9664"/>
          <cell r="E9664"/>
          <cell r="F9664"/>
          <cell r="G9664"/>
          <cell r="H9664"/>
          <cell r="I9664"/>
          <cell r="J9664"/>
          <cell r="L9664"/>
        </row>
        <row r="9665">
          <cell r="A9665"/>
          <cell r="D9665"/>
          <cell r="E9665"/>
          <cell r="F9665"/>
          <cell r="G9665"/>
          <cell r="H9665"/>
          <cell r="I9665"/>
          <cell r="J9665"/>
          <cell r="L9665"/>
        </row>
        <row r="9666">
          <cell r="A9666"/>
          <cell r="D9666"/>
          <cell r="E9666"/>
          <cell r="F9666"/>
          <cell r="G9666"/>
          <cell r="H9666"/>
          <cell r="I9666"/>
          <cell r="J9666"/>
          <cell r="L9666"/>
        </row>
        <row r="9667">
          <cell r="A9667"/>
          <cell r="D9667"/>
          <cell r="E9667"/>
          <cell r="F9667"/>
          <cell r="G9667"/>
          <cell r="H9667"/>
          <cell r="I9667"/>
          <cell r="J9667"/>
          <cell r="L9667"/>
        </row>
        <row r="9668">
          <cell r="A9668"/>
          <cell r="D9668"/>
          <cell r="E9668"/>
          <cell r="F9668"/>
          <cell r="G9668"/>
          <cell r="H9668"/>
          <cell r="I9668"/>
          <cell r="J9668"/>
          <cell r="L9668"/>
        </row>
        <row r="9669">
          <cell r="A9669"/>
          <cell r="D9669"/>
          <cell r="E9669"/>
          <cell r="F9669"/>
          <cell r="G9669"/>
          <cell r="H9669"/>
          <cell r="I9669"/>
          <cell r="J9669"/>
          <cell r="L9669"/>
        </row>
        <row r="9670">
          <cell r="A9670"/>
          <cell r="D9670"/>
          <cell r="E9670"/>
          <cell r="F9670"/>
          <cell r="G9670"/>
          <cell r="H9670"/>
          <cell r="I9670"/>
          <cell r="J9670"/>
          <cell r="L9670"/>
        </row>
        <row r="9671">
          <cell r="A9671"/>
          <cell r="D9671"/>
          <cell r="E9671"/>
          <cell r="F9671"/>
          <cell r="G9671"/>
          <cell r="H9671"/>
          <cell r="I9671"/>
          <cell r="J9671"/>
          <cell r="L9671"/>
        </row>
        <row r="9672">
          <cell r="A9672"/>
          <cell r="D9672"/>
          <cell r="E9672"/>
          <cell r="F9672"/>
          <cell r="G9672"/>
          <cell r="H9672"/>
          <cell r="I9672"/>
          <cell r="J9672"/>
          <cell r="L9672"/>
        </row>
        <row r="9673">
          <cell r="A9673"/>
          <cell r="D9673"/>
          <cell r="E9673"/>
          <cell r="F9673"/>
          <cell r="G9673"/>
          <cell r="H9673"/>
          <cell r="I9673"/>
          <cell r="J9673"/>
          <cell r="L9673"/>
        </row>
        <row r="9674">
          <cell r="A9674"/>
          <cell r="D9674"/>
          <cell r="E9674"/>
          <cell r="F9674"/>
          <cell r="G9674"/>
          <cell r="H9674"/>
          <cell r="I9674"/>
          <cell r="J9674"/>
          <cell r="L9674"/>
        </row>
        <row r="9675">
          <cell r="A9675"/>
          <cell r="D9675"/>
          <cell r="E9675"/>
          <cell r="F9675"/>
          <cell r="G9675"/>
          <cell r="H9675"/>
          <cell r="I9675"/>
          <cell r="J9675"/>
          <cell r="L9675"/>
        </row>
        <row r="9676">
          <cell r="A9676"/>
          <cell r="D9676"/>
          <cell r="E9676"/>
          <cell r="F9676"/>
          <cell r="G9676"/>
          <cell r="H9676"/>
          <cell r="I9676"/>
          <cell r="J9676"/>
          <cell r="L9676"/>
        </row>
        <row r="9677">
          <cell r="A9677"/>
          <cell r="D9677"/>
          <cell r="E9677"/>
          <cell r="F9677"/>
          <cell r="G9677"/>
          <cell r="H9677"/>
          <cell r="I9677"/>
          <cell r="J9677"/>
          <cell r="L9677"/>
        </row>
        <row r="9678">
          <cell r="A9678"/>
          <cell r="D9678"/>
          <cell r="E9678"/>
          <cell r="F9678"/>
          <cell r="G9678"/>
          <cell r="H9678"/>
          <cell r="I9678"/>
          <cell r="J9678"/>
          <cell r="L9678"/>
        </row>
        <row r="9679">
          <cell r="A9679"/>
          <cell r="D9679"/>
          <cell r="E9679"/>
          <cell r="F9679"/>
          <cell r="G9679"/>
          <cell r="H9679"/>
          <cell r="I9679"/>
          <cell r="J9679"/>
          <cell r="L9679"/>
        </row>
        <row r="9680">
          <cell r="A9680"/>
          <cell r="D9680"/>
          <cell r="E9680"/>
          <cell r="F9680"/>
          <cell r="G9680"/>
          <cell r="H9680"/>
          <cell r="I9680"/>
          <cell r="J9680"/>
          <cell r="L9680"/>
        </row>
        <row r="9681">
          <cell r="A9681"/>
          <cell r="D9681"/>
          <cell r="E9681"/>
          <cell r="F9681"/>
          <cell r="G9681"/>
          <cell r="H9681"/>
          <cell r="I9681"/>
          <cell r="J9681"/>
          <cell r="L9681"/>
        </row>
        <row r="9682">
          <cell r="A9682"/>
          <cell r="D9682"/>
          <cell r="E9682"/>
          <cell r="F9682"/>
          <cell r="G9682"/>
          <cell r="H9682"/>
          <cell r="I9682"/>
          <cell r="J9682"/>
          <cell r="L9682"/>
        </row>
        <row r="9683">
          <cell r="A9683"/>
          <cell r="D9683"/>
          <cell r="E9683"/>
          <cell r="F9683"/>
          <cell r="G9683"/>
          <cell r="H9683"/>
          <cell r="I9683"/>
          <cell r="J9683"/>
          <cell r="L9683"/>
        </row>
        <row r="9684">
          <cell r="A9684"/>
          <cell r="D9684"/>
          <cell r="E9684"/>
          <cell r="F9684"/>
          <cell r="G9684"/>
          <cell r="H9684"/>
          <cell r="I9684"/>
          <cell r="J9684"/>
          <cell r="L9684"/>
        </row>
        <row r="9685">
          <cell r="A9685"/>
          <cell r="D9685"/>
          <cell r="E9685"/>
          <cell r="F9685"/>
          <cell r="G9685"/>
          <cell r="H9685"/>
          <cell r="I9685"/>
          <cell r="J9685"/>
          <cell r="L9685"/>
        </row>
        <row r="9686">
          <cell r="A9686"/>
          <cell r="D9686"/>
          <cell r="E9686"/>
          <cell r="F9686"/>
          <cell r="G9686"/>
          <cell r="H9686"/>
          <cell r="I9686"/>
          <cell r="J9686"/>
          <cell r="L9686"/>
        </row>
        <row r="9687">
          <cell r="A9687"/>
          <cell r="D9687"/>
          <cell r="E9687"/>
          <cell r="F9687"/>
          <cell r="G9687"/>
          <cell r="H9687"/>
          <cell r="I9687"/>
          <cell r="J9687"/>
          <cell r="L9687"/>
        </row>
        <row r="9688">
          <cell r="A9688"/>
          <cell r="D9688"/>
          <cell r="E9688"/>
          <cell r="F9688"/>
          <cell r="G9688"/>
          <cell r="H9688"/>
          <cell r="I9688"/>
          <cell r="J9688"/>
          <cell r="L9688"/>
        </row>
        <row r="9689">
          <cell r="A9689"/>
          <cell r="D9689"/>
          <cell r="E9689"/>
          <cell r="F9689"/>
          <cell r="G9689"/>
          <cell r="H9689"/>
          <cell r="I9689"/>
          <cell r="J9689"/>
          <cell r="L9689"/>
        </row>
        <row r="9690">
          <cell r="A9690"/>
          <cell r="D9690"/>
          <cell r="E9690"/>
          <cell r="F9690"/>
          <cell r="G9690"/>
          <cell r="H9690"/>
          <cell r="I9690"/>
          <cell r="J9690"/>
          <cell r="L9690"/>
        </row>
        <row r="9691">
          <cell r="A9691"/>
          <cell r="D9691"/>
          <cell r="E9691"/>
          <cell r="F9691"/>
          <cell r="G9691"/>
          <cell r="H9691"/>
          <cell r="I9691"/>
          <cell r="J9691"/>
          <cell r="L9691"/>
        </row>
        <row r="9692">
          <cell r="A9692"/>
          <cell r="D9692"/>
          <cell r="E9692"/>
          <cell r="F9692"/>
          <cell r="G9692"/>
          <cell r="H9692"/>
          <cell r="I9692"/>
          <cell r="J9692"/>
          <cell r="L9692"/>
        </row>
        <row r="9693">
          <cell r="A9693"/>
          <cell r="D9693"/>
          <cell r="E9693"/>
          <cell r="F9693"/>
          <cell r="G9693"/>
          <cell r="H9693"/>
          <cell r="I9693"/>
          <cell r="J9693"/>
          <cell r="L9693"/>
        </row>
        <row r="9694">
          <cell r="A9694"/>
          <cell r="D9694"/>
          <cell r="E9694"/>
          <cell r="F9694"/>
          <cell r="G9694"/>
          <cell r="H9694"/>
          <cell r="I9694"/>
          <cell r="J9694"/>
          <cell r="L9694"/>
        </row>
        <row r="9695">
          <cell r="A9695"/>
          <cell r="D9695"/>
          <cell r="E9695"/>
          <cell r="F9695"/>
          <cell r="G9695"/>
          <cell r="H9695"/>
          <cell r="I9695"/>
          <cell r="J9695"/>
          <cell r="L9695"/>
        </row>
        <row r="9696">
          <cell r="A9696"/>
          <cell r="D9696"/>
          <cell r="E9696"/>
          <cell r="F9696"/>
          <cell r="G9696"/>
          <cell r="H9696"/>
          <cell r="I9696"/>
          <cell r="J9696"/>
          <cell r="L9696"/>
        </row>
        <row r="9697">
          <cell r="A9697"/>
          <cell r="D9697"/>
          <cell r="E9697"/>
          <cell r="F9697"/>
          <cell r="G9697"/>
          <cell r="H9697"/>
          <cell r="I9697"/>
          <cell r="J9697"/>
          <cell r="L9697"/>
        </row>
        <row r="9698">
          <cell r="A9698"/>
          <cell r="D9698"/>
          <cell r="E9698"/>
          <cell r="F9698"/>
          <cell r="G9698"/>
          <cell r="H9698"/>
          <cell r="I9698"/>
          <cell r="J9698"/>
          <cell r="L9698"/>
        </row>
        <row r="9699">
          <cell r="A9699"/>
          <cell r="D9699"/>
          <cell r="E9699"/>
          <cell r="F9699"/>
          <cell r="G9699"/>
          <cell r="H9699"/>
          <cell r="I9699"/>
          <cell r="J9699"/>
          <cell r="L9699"/>
        </row>
        <row r="9700">
          <cell r="A9700"/>
          <cell r="D9700"/>
          <cell r="E9700"/>
          <cell r="F9700"/>
          <cell r="G9700"/>
          <cell r="H9700"/>
          <cell r="I9700"/>
          <cell r="J9700"/>
          <cell r="L9700"/>
        </row>
        <row r="9701">
          <cell r="A9701"/>
          <cell r="D9701"/>
          <cell r="E9701"/>
          <cell r="F9701"/>
          <cell r="G9701"/>
          <cell r="H9701"/>
          <cell r="I9701"/>
          <cell r="J9701"/>
          <cell r="L9701"/>
        </row>
        <row r="9702">
          <cell r="A9702"/>
          <cell r="D9702"/>
          <cell r="E9702"/>
          <cell r="F9702"/>
          <cell r="G9702"/>
          <cell r="H9702"/>
          <cell r="I9702"/>
          <cell r="J9702"/>
          <cell r="L9702"/>
        </row>
        <row r="9703">
          <cell r="A9703"/>
          <cell r="D9703"/>
          <cell r="E9703"/>
          <cell r="F9703"/>
          <cell r="G9703"/>
          <cell r="H9703"/>
          <cell r="I9703"/>
          <cell r="J9703"/>
          <cell r="L9703"/>
        </row>
        <row r="9704">
          <cell r="A9704"/>
          <cell r="D9704"/>
          <cell r="E9704"/>
          <cell r="F9704"/>
          <cell r="G9704"/>
          <cell r="H9704"/>
          <cell r="I9704"/>
          <cell r="J9704"/>
          <cell r="L9704"/>
        </row>
        <row r="9705">
          <cell r="A9705"/>
          <cell r="D9705"/>
          <cell r="E9705"/>
          <cell r="F9705"/>
          <cell r="G9705"/>
          <cell r="H9705"/>
          <cell r="I9705"/>
          <cell r="J9705"/>
          <cell r="L9705"/>
        </row>
        <row r="9706">
          <cell r="A9706"/>
          <cell r="D9706"/>
          <cell r="E9706"/>
          <cell r="F9706"/>
          <cell r="G9706"/>
          <cell r="H9706"/>
          <cell r="I9706"/>
          <cell r="J9706"/>
          <cell r="L9706"/>
        </row>
        <row r="9707">
          <cell r="A9707"/>
          <cell r="D9707"/>
          <cell r="E9707"/>
          <cell r="F9707"/>
          <cell r="G9707"/>
          <cell r="H9707"/>
          <cell r="I9707"/>
          <cell r="J9707"/>
          <cell r="L9707"/>
        </row>
        <row r="9708">
          <cell r="A9708"/>
          <cell r="D9708"/>
          <cell r="E9708"/>
          <cell r="F9708"/>
          <cell r="G9708"/>
          <cell r="H9708"/>
          <cell r="I9708"/>
          <cell r="J9708"/>
          <cell r="L9708"/>
        </row>
        <row r="9709">
          <cell r="A9709"/>
          <cell r="D9709"/>
          <cell r="E9709"/>
          <cell r="F9709"/>
          <cell r="G9709"/>
          <cell r="H9709"/>
          <cell r="I9709"/>
          <cell r="J9709"/>
          <cell r="L9709"/>
        </row>
        <row r="9710">
          <cell r="A9710"/>
          <cell r="D9710"/>
          <cell r="E9710"/>
          <cell r="F9710"/>
          <cell r="G9710"/>
          <cell r="H9710"/>
          <cell r="I9710"/>
          <cell r="J9710"/>
          <cell r="L9710"/>
        </row>
        <row r="9711">
          <cell r="A9711"/>
          <cell r="D9711"/>
          <cell r="E9711"/>
          <cell r="F9711"/>
          <cell r="G9711"/>
          <cell r="H9711"/>
          <cell r="I9711"/>
          <cell r="J9711"/>
          <cell r="L9711"/>
        </row>
        <row r="9712">
          <cell r="A9712"/>
          <cell r="D9712"/>
          <cell r="E9712"/>
          <cell r="F9712"/>
          <cell r="G9712"/>
          <cell r="H9712"/>
          <cell r="I9712"/>
          <cell r="J9712"/>
          <cell r="L9712"/>
        </row>
        <row r="9713">
          <cell r="A9713"/>
          <cell r="D9713"/>
          <cell r="E9713"/>
          <cell r="F9713"/>
          <cell r="G9713"/>
          <cell r="H9713"/>
          <cell r="I9713"/>
          <cell r="J9713"/>
          <cell r="L9713"/>
        </row>
        <row r="9714">
          <cell r="A9714"/>
          <cell r="D9714"/>
          <cell r="E9714"/>
          <cell r="F9714"/>
          <cell r="G9714"/>
          <cell r="H9714"/>
          <cell r="I9714"/>
          <cell r="J9714"/>
          <cell r="L9714"/>
        </row>
        <row r="9715">
          <cell r="A9715"/>
          <cell r="D9715"/>
          <cell r="E9715"/>
          <cell r="F9715"/>
          <cell r="G9715"/>
          <cell r="H9715"/>
          <cell r="I9715"/>
          <cell r="J9715"/>
          <cell r="L9715"/>
        </row>
        <row r="9716">
          <cell r="A9716"/>
          <cell r="D9716"/>
          <cell r="E9716"/>
          <cell r="F9716"/>
          <cell r="G9716"/>
          <cell r="H9716"/>
          <cell r="I9716"/>
          <cell r="J9716"/>
          <cell r="L9716"/>
        </row>
        <row r="9717">
          <cell r="A9717"/>
          <cell r="D9717"/>
          <cell r="E9717"/>
          <cell r="F9717"/>
          <cell r="G9717"/>
          <cell r="H9717"/>
          <cell r="I9717"/>
          <cell r="J9717"/>
          <cell r="L9717"/>
        </row>
        <row r="9718">
          <cell r="A9718"/>
          <cell r="D9718"/>
          <cell r="E9718"/>
          <cell r="F9718"/>
          <cell r="G9718"/>
          <cell r="H9718"/>
          <cell r="I9718"/>
          <cell r="J9718"/>
          <cell r="L9718"/>
        </row>
        <row r="9719">
          <cell r="A9719"/>
          <cell r="D9719"/>
          <cell r="E9719"/>
          <cell r="F9719"/>
          <cell r="G9719"/>
          <cell r="H9719"/>
          <cell r="I9719"/>
          <cell r="J9719"/>
          <cell r="L9719"/>
        </row>
        <row r="9720">
          <cell r="A9720"/>
          <cell r="D9720"/>
          <cell r="E9720"/>
          <cell r="F9720"/>
          <cell r="G9720"/>
          <cell r="H9720"/>
          <cell r="I9720"/>
          <cell r="J9720"/>
          <cell r="L9720"/>
        </row>
        <row r="9721">
          <cell r="A9721"/>
          <cell r="D9721"/>
          <cell r="E9721"/>
          <cell r="F9721"/>
          <cell r="G9721"/>
          <cell r="H9721"/>
          <cell r="I9721"/>
          <cell r="J9721"/>
          <cell r="L9721"/>
        </row>
        <row r="9722">
          <cell r="A9722"/>
          <cell r="D9722"/>
          <cell r="E9722"/>
          <cell r="F9722"/>
          <cell r="G9722"/>
          <cell r="H9722"/>
          <cell r="I9722"/>
          <cell r="J9722"/>
          <cell r="L9722"/>
        </row>
        <row r="9723">
          <cell r="A9723"/>
          <cell r="D9723"/>
          <cell r="E9723"/>
          <cell r="F9723"/>
          <cell r="G9723"/>
          <cell r="H9723"/>
          <cell r="I9723"/>
          <cell r="J9723"/>
          <cell r="L9723"/>
        </row>
        <row r="9724">
          <cell r="A9724"/>
          <cell r="D9724"/>
          <cell r="E9724"/>
          <cell r="F9724"/>
          <cell r="G9724"/>
          <cell r="H9724"/>
          <cell r="I9724"/>
          <cell r="J9724"/>
          <cell r="L9724"/>
        </row>
        <row r="9725">
          <cell r="A9725"/>
          <cell r="D9725"/>
          <cell r="E9725"/>
          <cell r="F9725"/>
          <cell r="G9725"/>
          <cell r="H9725"/>
          <cell r="I9725"/>
          <cell r="J9725"/>
          <cell r="L9725"/>
        </row>
        <row r="9726">
          <cell r="A9726"/>
          <cell r="D9726"/>
          <cell r="E9726"/>
          <cell r="F9726"/>
          <cell r="G9726"/>
          <cell r="H9726"/>
          <cell r="I9726"/>
          <cell r="J9726"/>
          <cell r="L9726"/>
        </row>
        <row r="9727">
          <cell r="A9727"/>
          <cell r="D9727"/>
          <cell r="E9727"/>
          <cell r="F9727"/>
          <cell r="G9727"/>
          <cell r="H9727"/>
          <cell r="I9727"/>
          <cell r="J9727"/>
          <cell r="L9727"/>
        </row>
        <row r="9728">
          <cell r="A9728"/>
          <cell r="D9728"/>
          <cell r="E9728"/>
          <cell r="F9728"/>
          <cell r="G9728"/>
          <cell r="H9728"/>
          <cell r="I9728"/>
          <cell r="J9728"/>
          <cell r="L9728"/>
        </row>
        <row r="9729">
          <cell r="A9729"/>
          <cell r="D9729"/>
          <cell r="E9729"/>
          <cell r="F9729"/>
          <cell r="G9729"/>
          <cell r="H9729"/>
          <cell r="I9729"/>
          <cell r="J9729"/>
          <cell r="L9729"/>
        </row>
        <row r="9730">
          <cell r="A9730"/>
          <cell r="D9730"/>
          <cell r="E9730"/>
          <cell r="F9730"/>
          <cell r="G9730"/>
          <cell r="H9730"/>
          <cell r="I9730"/>
          <cell r="J9730"/>
          <cell r="L9730"/>
        </row>
        <row r="9731">
          <cell r="A9731"/>
          <cell r="D9731"/>
          <cell r="E9731"/>
          <cell r="F9731"/>
          <cell r="G9731"/>
          <cell r="H9731"/>
          <cell r="I9731"/>
          <cell r="J9731"/>
          <cell r="L9731"/>
        </row>
        <row r="9732">
          <cell r="A9732"/>
          <cell r="D9732"/>
          <cell r="E9732"/>
          <cell r="F9732"/>
          <cell r="G9732"/>
          <cell r="H9732"/>
          <cell r="I9732"/>
          <cell r="J9732"/>
          <cell r="L9732"/>
        </row>
        <row r="9733">
          <cell r="A9733"/>
          <cell r="D9733"/>
          <cell r="E9733"/>
          <cell r="F9733"/>
          <cell r="G9733"/>
          <cell r="H9733"/>
          <cell r="I9733"/>
          <cell r="J9733"/>
          <cell r="L9733"/>
        </row>
        <row r="9734">
          <cell r="A9734"/>
          <cell r="D9734"/>
          <cell r="E9734"/>
          <cell r="F9734"/>
          <cell r="G9734"/>
          <cell r="H9734"/>
          <cell r="I9734"/>
          <cell r="J9734"/>
          <cell r="L9734"/>
        </row>
        <row r="9735">
          <cell r="A9735"/>
          <cell r="D9735"/>
          <cell r="E9735"/>
          <cell r="F9735"/>
          <cell r="G9735"/>
          <cell r="H9735"/>
          <cell r="I9735"/>
          <cell r="J9735"/>
          <cell r="L9735"/>
        </row>
        <row r="9736">
          <cell r="A9736"/>
          <cell r="D9736"/>
          <cell r="E9736"/>
          <cell r="F9736"/>
          <cell r="G9736"/>
          <cell r="H9736"/>
          <cell r="I9736"/>
          <cell r="J9736"/>
          <cell r="L9736"/>
        </row>
        <row r="9737">
          <cell r="A9737"/>
          <cell r="D9737"/>
          <cell r="E9737"/>
          <cell r="F9737"/>
          <cell r="G9737"/>
          <cell r="H9737"/>
          <cell r="I9737"/>
          <cell r="J9737"/>
          <cell r="L9737"/>
        </row>
        <row r="9738">
          <cell r="A9738"/>
          <cell r="D9738"/>
          <cell r="E9738"/>
          <cell r="F9738"/>
          <cell r="G9738"/>
          <cell r="H9738"/>
          <cell r="I9738"/>
          <cell r="J9738"/>
          <cell r="L9738"/>
        </row>
        <row r="9739">
          <cell r="A9739"/>
          <cell r="D9739"/>
          <cell r="E9739"/>
          <cell r="F9739"/>
          <cell r="G9739"/>
          <cell r="H9739"/>
          <cell r="I9739"/>
          <cell r="J9739"/>
          <cell r="L9739"/>
        </row>
        <row r="9740">
          <cell r="A9740"/>
          <cell r="D9740"/>
          <cell r="E9740"/>
          <cell r="F9740"/>
          <cell r="G9740"/>
          <cell r="H9740"/>
          <cell r="I9740"/>
          <cell r="J9740"/>
          <cell r="L9740"/>
        </row>
        <row r="9741">
          <cell r="A9741"/>
          <cell r="D9741"/>
          <cell r="E9741"/>
          <cell r="F9741"/>
          <cell r="G9741"/>
          <cell r="H9741"/>
          <cell r="I9741"/>
          <cell r="J9741"/>
          <cell r="L9741"/>
        </row>
        <row r="9742">
          <cell r="A9742"/>
          <cell r="D9742"/>
          <cell r="E9742"/>
          <cell r="F9742"/>
          <cell r="G9742"/>
          <cell r="H9742"/>
          <cell r="I9742"/>
          <cell r="J9742"/>
          <cell r="L9742"/>
        </row>
        <row r="9743">
          <cell r="A9743"/>
          <cell r="D9743"/>
          <cell r="E9743"/>
          <cell r="F9743"/>
          <cell r="G9743"/>
          <cell r="H9743"/>
          <cell r="I9743"/>
          <cell r="J9743"/>
          <cell r="L9743"/>
        </row>
        <row r="9744">
          <cell r="A9744"/>
          <cell r="D9744"/>
          <cell r="E9744"/>
          <cell r="F9744"/>
          <cell r="G9744"/>
          <cell r="H9744"/>
          <cell r="I9744"/>
          <cell r="J9744"/>
          <cell r="L9744"/>
        </row>
        <row r="9745">
          <cell r="A9745"/>
          <cell r="D9745"/>
          <cell r="E9745"/>
          <cell r="F9745"/>
          <cell r="G9745"/>
          <cell r="H9745"/>
          <cell r="I9745"/>
          <cell r="J9745"/>
          <cell r="L9745"/>
        </row>
        <row r="9746">
          <cell r="A9746"/>
          <cell r="D9746"/>
          <cell r="E9746"/>
          <cell r="F9746"/>
          <cell r="G9746"/>
          <cell r="H9746"/>
          <cell r="I9746"/>
          <cell r="J9746"/>
          <cell r="L9746"/>
        </row>
        <row r="9747">
          <cell r="A9747"/>
          <cell r="D9747"/>
          <cell r="E9747"/>
          <cell r="F9747"/>
          <cell r="G9747"/>
          <cell r="H9747"/>
          <cell r="I9747"/>
          <cell r="J9747"/>
          <cell r="L9747"/>
        </row>
        <row r="9748">
          <cell r="A9748"/>
          <cell r="D9748"/>
          <cell r="E9748"/>
          <cell r="F9748"/>
          <cell r="G9748"/>
          <cell r="H9748"/>
          <cell r="I9748"/>
          <cell r="J9748"/>
          <cell r="L9748"/>
        </row>
        <row r="9749">
          <cell r="A9749"/>
          <cell r="D9749"/>
          <cell r="E9749"/>
          <cell r="F9749"/>
          <cell r="G9749"/>
          <cell r="H9749"/>
          <cell r="I9749"/>
          <cell r="J9749"/>
          <cell r="L9749"/>
        </row>
        <row r="9750">
          <cell r="A9750"/>
          <cell r="D9750"/>
          <cell r="E9750"/>
          <cell r="F9750"/>
          <cell r="G9750"/>
          <cell r="H9750"/>
          <cell r="I9750"/>
          <cell r="J9750"/>
          <cell r="L9750"/>
        </row>
        <row r="9751">
          <cell r="A9751"/>
          <cell r="D9751"/>
          <cell r="E9751"/>
          <cell r="F9751"/>
          <cell r="G9751"/>
          <cell r="H9751"/>
          <cell r="I9751"/>
          <cell r="J9751"/>
          <cell r="L9751"/>
        </row>
        <row r="9752">
          <cell r="A9752"/>
          <cell r="D9752"/>
          <cell r="E9752"/>
          <cell r="F9752"/>
          <cell r="G9752"/>
          <cell r="H9752"/>
          <cell r="I9752"/>
          <cell r="J9752"/>
          <cell r="L9752"/>
        </row>
        <row r="9753">
          <cell r="A9753"/>
          <cell r="D9753"/>
          <cell r="E9753"/>
          <cell r="F9753"/>
          <cell r="G9753"/>
          <cell r="H9753"/>
          <cell r="I9753"/>
          <cell r="J9753"/>
          <cell r="L9753"/>
        </row>
        <row r="9754">
          <cell r="A9754"/>
          <cell r="D9754"/>
          <cell r="E9754"/>
          <cell r="F9754"/>
          <cell r="G9754"/>
          <cell r="H9754"/>
          <cell r="I9754"/>
          <cell r="J9754"/>
          <cell r="L9754"/>
        </row>
        <row r="9755">
          <cell r="A9755"/>
          <cell r="D9755"/>
          <cell r="E9755"/>
          <cell r="F9755"/>
          <cell r="G9755"/>
          <cell r="H9755"/>
          <cell r="I9755"/>
          <cell r="J9755"/>
          <cell r="L9755"/>
        </row>
        <row r="9756">
          <cell r="A9756"/>
          <cell r="D9756"/>
          <cell r="E9756"/>
          <cell r="F9756"/>
          <cell r="G9756"/>
          <cell r="H9756"/>
          <cell r="I9756"/>
          <cell r="J9756"/>
          <cell r="L9756"/>
        </row>
        <row r="9757">
          <cell r="A9757"/>
          <cell r="D9757"/>
          <cell r="E9757"/>
          <cell r="F9757"/>
          <cell r="G9757"/>
          <cell r="H9757"/>
          <cell r="I9757"/>
          <cell r="J9757"/>
          <cell r="L9757"/>
        </row>
        <row r="9758">
          <cell r="A9758"/>
          <cell r="D9758"/>
          <cell r="E9758"/>
          <cell r="F9758"/>
          <cell r="G9758"/>
          <cell r="H9758"/>
          <cell r="I9758"/>
          <cell r="J9758"/>
          <cell r="L9758"/>
        </row>
        <row r="9759">
          <cell r="A9759"/>
          <cell r="D9759"/>
          <cell r="E9759"/>
          <cell r="F9759"/>
          <cell r="G9759"/>
          <cell r="H9759"/>
          <cell r="I9759"/>
          <cell r="J9759"/>
          <cell r="L9759"/>
        </row>
        <row r="9760">
          <cell r="A9760"/>
          <cell r="D9760"/>
          <cell r="E9760"/>
          <cell r="F9760"/>
          <cell r="G9760"/>
          <cell r="H9760"/>
          <cell r="I9760"/>
          <cell r="J9760"/>
          <cell r="L9760"/>
        </row>
        <row r="9761">
          <cell r="A9761"/>
          <cell r="D9761"/>
          <cell r="E9761"/>
          <cell r="F9761"/>
          <cell r="G9761"/>
          <cell r="H9761"/>
          <cell r="I9761"/>
          <cell r="J9761"/>
          <cell r="L9761"/>
        </row>
        <row r="9762">
          <cell r="A9762"/>
          <cell r="D9762"/>
          <cell r="E9762"/>
          <cell r="F9762"/>
          <cell r="G9762"/>
          <cell r="H9762"/>
          <cell r="I9762"/>
          <cell r="J9762"/>
          <cell r="L9762"/>
        </row>
        <row r="9763">
          <cell r="A9763"/>
          <cell r="D9763"/>
          <cell r="E9763"/>
          <cell r="F9763"/>
          <cell r="G9763"/>
          <cell r="H9763"/>
          <cell r="I9763"/>
          <cell r="J9763"/>
          <cell r="L9763"/>
        </row>
        <row r="9764">
          <cell r="A9764"/>
          <cell r="D9764"/>
          <cell r="E9764"/>
          <cell r="F9764"/>
          <cell r="G9764"/>
          <cell r="H9764"/>
          <cell r="I9764"/>
          <cell r="J9764"/>
          <cell r="L9764"/>
        </row>
        <row r="9765">
          <cell r="A9765"/>
          <cell r="D9765"/>
          <cell r="E9765"/>
          <cell r="F9765"/>
          <cell r="G9765"/>
          <cell r="H9765"/>
          <cell r="I9765"/>
          <cell r="J9765"/>
          <cell r="L9765"/>
        </row>
        <row r="9766">
          <cell r="A9766"/>
          <cell r="D9766"/>
          <cell r="E9766"/>
          <cell r="F9766"/>
          <cell r="G9766"/>
          <cell r="H9766"/>
          <cell r="I9766"/>
          <cell r="J9766"/>
          <cell r="L9766"/>
        </row>
        <row r="9767">
          <cell r="A9767"/>
          <cell r="D9767"/>
          <cell r="E9767"/>
          <cell r="F9767"/>
          <cell r="G9767"/>
          <cell r="H9767"/>
          <cell r="I9767"/>
          <cell r="J9767"/>
          <cell r="L9767"/>
        </row>
        <row r="9768">
          <cell r="A9768"/>
          <cell r="D9768"/>
          <cell r="E9768"/>
          <cell r="F9768"/>
          <cell r="G9768"/>
          <cell r="H9768"/>
          <cell r="I9768"/>
          <cell r="J9768"/>
          <cell r="L9768"/>
        </row>
        <row r="9769">
          <cell r="A9769"/>
          <cell r="D9769"/>
          <cell r="E9769"/>
          <cell r="F9769"/>
          <cell r="G9769"/>
          <cell r="H9769"/>
          <cell r="I9769"/>
          <cell r="J9769"/>
          <cell r="L9769"/>
        </row>
        <row r="9770">
          <cell r="A9770"/>
          <cell r="D9770"/>
          <cell r="E9770"/>
          <cell r="F9770"/>
          <cell r="G9770"/>
          <cell r="H9770"/>
          <cell r="I9770"/>
          <cell r="J9770"/>
          <cell r="L9770"/>
        </row>
        <row r="9771">
          <cell r="A9771"/>
          <cell r="D9771"/>
          <cell r="E9771"/>
          <cell r="F9771"/>
          <cell r="G9771"/>
          <cell r="H9771"/>
          <cell r="I9771"/>
          <cell r="J9771"/>
          <cell r="L9771"/>
        </row>
        <row r="9772">
          <cell r="A9772"/>
          <cell r="D9772"/>
          <cell r="E9772"/>
          <cell r="F9772"/>
          <cell r="G9772"/>
          <cell r="H9772"/>
          <cell r="I9772"/>
          <cell r="J9772"/>
          <cell r="L9772"/>
        </row>
        <row r="9773">
          <cell r="A9773"/>
          <cell r="D9773"/>
          <cell r="E9773"/>
          <cell r="F9773"/>
          <cell r="G9773"/>
          <cell r="H9773"/>
          <cell r="I9773"/>
          <cell r="J9773"/>
          <cell r="L9773"/>
        </row>
        <row r="9774">
          <cell r="A9774"/>
          <cell r="D9774"/>
          <cell r="E9774"/>
          <cell r="F9774"/>
          <cell r="G9774"/>
          <cell r="H9774"/>
          <cell r="I9774"/>
          <cell r="J9774"/>
          <cell r="L9774"/>
        </row>
        <row r="9775">
          <cell r="A9775"/>
          <cell r="D9775"/>
          <cell r="E9775"/>
          <cell r="F9775"/>
          <cell r="G9775"/>
          <cell r="H9775"/>
          <cell r="I9775"/>
          <cell r="J9775"/>
          <cell r="L9775"/>
        </row>
        <row r="9776">
          <cell r="A9776"/>
          <cell r="D9776"/>
          <cell r="E9776"/>
          <cell r="F9776"/>
          <cell r="G9776"/>
          <cell r="H9776"/>
          <cell r="I9776"/>
          <cell r="J9776"/>
          <cell r="L9776"/>
        </row>
        <row r="9777">
          <cell r="A9777"/>
          <cell r="D9777"/>
          <cell r="E9777"/>
          <cell r="F9777"/>
          <cell r="G9777"/>
          <cell r="H9777"/>
          <cell r="I9777"/>
          <cell r="J9777"/>
          <cell r="L9777"/>
        </row>
        <row r="9778">
          <cell r="A9778"/>
          <cell r="D9778"/>
          <cell r="E9778"/>
          <cell r="F9778"/>
          <cell r="G9778"/>
          <cell r="H9778"/>
          <cell r="I9778"/>
          <cell r="J9778"/>
          <cell r="L9778"/>
        </row>
        <row r="9779">
          <cell r="A9779"/>
          <cell r="D9779"/>
          <cell r="E9779"/>
          <cell r="F9779"/>
          <cell r="G9779"/>
          <cell r="H9779"/>
          <cell r="I9779"/>
          <cell r="J9779"/>
          <cell r="L9779"/>
        </row>
        <row r="9780">
          <cell r="A9780"/>
          <cell r="D9780"/>
          <cell r="E9780"/>
          <cell r="F9780"/>
          <cell r="G9780"/>
          <cell r="H9780"/>
          <cell r="I9780"/>
          <cell r="J9780"/>
          <cell r="L9780"/>
        </row>
        <row r="9781">
          <cell r="A9781"/>
          <cell r="D9781"/>
          <cell r="E9781"/>
          <cell r="F9781"/>
          <cell r="G9781"/>
          <cell r="H9781"/>
          <cell r="I9781"/>
          <cell r="J9781"/>
          <cell r="L9781"/>
        </row>
        <row r="9782">
          <cell r="A9782"/>
          <cell r="D9782"/>
          <cell r="E9782"/>
          <cell r="F9782"/>
          <cell r="G9782"/>
          <cell r="H9782"/>
          <cell r="I9782"/>
          <cell r="J9782"/>
          <cell r="L9782"/>
        </row>
        <row r="9783">
          <cell r="A9783"/>
          <cell r="D9783"/>
          <cell r="E9783"/>
          <cell r="F9783"/>
          <cell r="G9783"/>
          <cell r="H9783"/>
          <cell r="I9783"/>
          <cell r="J9783"/>
          <cell r="L9783"/>
        </row>
        <row r="9784">
          <cell r="A9784"/>
          <cell r="D9784"/>
          <cell r="E9784"/>
          <cell r="F9784"/>
          <cell r="G9784"/>
          <cell r="H9784"/>
          <cell r="I9784"/>
          <cell r="J9784"/>
          <cell r="L9784"/>
        </row>
        <row r="9785">
          <cell r="A9785"/>
          <cell r="D9785"/>
          <cell r="E9785"/>
          <cell r="F9785"/>
          <cell r="G9785"/>
          <cell r="H9785"/>
          <cell r="I9785"/>
          <cell r="J9785"/>
          <cell r="L9785"/>
        </row>
        <row r="9786">
          <cell r="A9786"/>
          <cell r="D9786"/>
          <cell r="E9786"/>
          <cell r="F9786"/>
          <cell r="G9786"/>
          <cell r="H9786"/>
          <cell r="I9786"/>
          <cell r="J9786"/>
          <cell r="L9786"/>
        </row>
        <row r="9787">
          <cell r="A9787"/>
          <cell r="D9787"/>
          <cell r="E9787"/>
          <cell r="F9787"/>
          <cell r="G9787"/>
          <cell r="H9787"/>
          <cell r="I9787"/>
          <cell r="J9787"/>
          <cell r="L9787"/>
        </row>
        <row r="9788">
          <cell r="A9788"/>
          <cell r="D9788"/>
          <cell r="E9788"/>
          <cell r="F9788"/>
          <cell r="G9788"/>
          <cell r="H9788"/>
          <cell r="I9788"/>
          <cell r="J9788"/>
          <cell r="L9788"/>
        </row>
        <row r="9789">
          <cell r="A9789"/>
          <cell r="D9789"/>
          <cell r="E9789"/>
          <cell r="F9789"/>
          <cell r="G9789"/>
          <cell r="H9789"/>
          <cell r="I9789"/>
          <cell r="J9789"/>
          <cell r="L9789"/>
        </row>
        <row r="9790">
          <cell r="A9790"/>
          <cell r="D9790"/>
          <cell r="E9790"/>
          <cell r="F9790"/>
          <cell r="G9790"/>
          <cell r="H9790"/>
          <cell r="I9790"/>
          <cell r="J9790"/>
          <cell r="L9790"/>
        </row>
        <row r="9791">
          <cell r="A9791"/>
          <cell r="D9791"/>
          <cell r="E9791"/>
          <cell r="F9791"/>
          <cell r="G9791"/>
          <cell r="H9791"/>
          <cell r="I9791"/>
          <cell r="J9791"/>
          <cell r="L9791"/>
        </row>
        <row r="9792">
          <cell r="A9792"/>
          <cell r="D9792"/>
          <cell r="E9792"/>
          <cell r="F9792"/>
          <cell r="G9792"/>
          <cell r="H9792"/>
          <cell r="I9792"/>
          <cell r="J9792"/>
          <cell r="L9792"/>
        </row>
        <row r="9793">
          <cell r="A9793"/>
          <cell r="D9793"/>
          <cell r="E9793"/>
          <cell r="F9793"/>
          <cell r="G9793"/>
          <cell r="H9793"/>
          <cell r="I9793"/>
          <cell r="J9793"/>
          <cell r="L9793"/>
        </row>
        <row r="9794">
          <cell r="A9794"/>
          <cell r="D9794"/>
          <cell r="E9794"/>
          <cell r="F9794"/>
          <cell r="G9794"/>
          <cell r="H9794"/>
          <cell r="I9794"/>
          <cell r="J9794"/>
          <cell r="L9794"/>
        </row>
        <row r="9795">
          <cell r="A9795"/>
          <cell r="D9795"/>
          <cell r="E9795"/>
          <cell r="F9795"/>
          <cell r="G9795"/>
          <cell r="H9795"/>
          <cell r="I9795"/>
          <cell r="J9795"/>
          <cell r="L9795"/>
        </row>
        <row r="9796">
          <cell r="A9796"/>
          <cell r="D9796"/>
          <cell r="E9796"/>
          <cell r="F9796"/>
          <cell r="G9796"/>
          <cell r="H9796"/>
          <cell r="I9796"/>
          <cell r="J9796"/>
          <cell r="L9796"/>
        </row>
        <row r="9797">
          <cell r="A9797"/>
          <cell r="D9797"/>
          <cell r="E9797"/>
          <cell r="F9797"/>
          <cell r="G9797"/>
          <cell r="H9797"/>
          <cell r="I9797"/>
          <cell r="J9797"/>
          <cell r="L9797"/>
        </row>
        <row r="9798">
          <cell r="A9798"/>
          <cell r="D9798"/>
          <cell r="E9798"/>
          <cell r="F9798"/>
          <cell r="G9798"/>
          <cell r="H9798"/>
          <cell r="I9798"/>
          <cell r="J9798"/>
          <cell r="L9798"/>
        </row>
        <row r="9799">
          <cell r="A9799"/>
          <cell r="D9799"/>
          <cell r="E9799"/>
          <cell r="F9799"/>
          <cell r="G9799"/>
          <cell r="H9799"/>
          <cell r="I9799"/>
          <cell r="J9799"/>
          <cell r="L9799"/>
        </row>
        <row r="9800">
          <cell r="A9800"/>
          <cell r="D9800"/>
          <cell r="E9800"/>
          <cell r="F9800"/>
          <cell r="G9800"/>
          <cell r="H9800"/>
          <cell r="I9800"/>
          <cell r="J9800"/>
          <cell r="L9800"/>
        </row>
        <row r="9801">
          <cell r="A9801"/>
          <cell r="D9801"/>
          <cell r="E9801"/>
          <cell r="F9801"/>
          <cell r="G9801"/>
          <cell r="H9801"/>
          <cell r="I9801"/>
          <cell r="J9801"/>
          <cell r="L9801"/>
        </row>
        <row r="9802">
          <cell r="A9802"/>
          <cell r="D9802"/>
          <cell r="E9802"/>
          <cell r="F9802"/>
          <cell r="G9802"/>
          <cell r="H9802"/>
          <cell r="I9802"/>
          <cell r="J9802"/>
          <cell r="L9802"/>
        </row>
        <row r="9803">
          <cell r="A9803"/>
          <cell r="D9803"/>
          <cell r="E9803"/>
          <cell r="F9803"/>
          <cell r="G9803"/>
          <cell r="H9803"/>
          <cell r="I9803"/>
          <cell r="J9803"/>
          <cell r="L9803"/>
        </row>
        <row r="9804">
          <cell r="A9804"/>
          <cell r="D9804"/>
          <cell r="E9804"/>
          <cell r="F9804"/>
          <cell r="G9804"/>
          <cell r="H9804"/>
          <cell r="I9804"/>
          <cell r="J9804"/>
          <cell r="L9804"/>
        </row>
        <row r="9805">
          <cell r="A9805"/>
          <cell r="D9805"/>
          <cell r="E9805"/>
          <cell r="F9805"/>
          <cell r="G9805"/>
          <cell r="H9805"/>
          <cell r="I9805"/>
          <cell r="J9805"/>
          <cell r="L9805"/>
        </row>
        <row r="9806">
          <cell r="A9806"/>
          <cell r="D9806"/>
          <cell r="E9806"/>
          <cell r="F9806"/>
          <cell r="G9806"/>
          <cell r="H9806"/>
          <cell r="I9806"/>
          <cell r="J9806"/>
          <cell r="L9806"/>
        </row>
        <row r="9807">
          <cell r="A9807"/>
          <cell r="D9807"/>
          <cell r="E9807"/>
          <cell r="F9807"/>
          <cell r="G9807"/>
          <cell r="H9807"/>
          <cell r="I9807"/>
          <cell r="J9807"/>
          <cell r="L9807"/>
        </row>
        <row r="9808">
          <cell r="A9808"/>
          <cell r="D9808"/>
          <cell r="E9808"/>
          <cell r="F9808"/>
          <cell r="G9808"/>
          <cell r="H9808"/>
          <cell r="I9808"/>
          <cell r="J9808"/>
          <cell r="L9808"/>
        </row>
        <row r="9809">
          <cell r="A9809"/>
          <cell r="D9809"/>
          <cell r="E9809"/>
          <cell r="F9809"/>
          <cell r="G9809"/>
          <cell r="H9809"/>
          <cell r="I9809"/>
          <cell r="J9809"/>
          <cell r="L9809"/>
        </row>
        <row r="9810">
          <cell r="A9810"/>
          <cell r="D9810"/>
          <cell r="E9810"/>
          <cell r="F9810"/>
          <cell r="G9810"/>
          <cell r="H9810"/>
          <cell r="I9810"/>
          <cell r="J9810"/>
          <cell r="L9810"/>
        </row>
        <row r="9811">
          <cell r="A9811"/>
          <cell r="D9811"/>
          <cell r="E9811"/>
          <cell r="F9811"/>
          <cell r="G9811"/>
          <cell r="H9811"/>
          <cell r="I9811"/>
          <cell r="J9811"/>
          <cell r="L9811"/>
        </row>
        <row r="9812">
          <cell r="A9812"/>
          <cell r="D9812"/>
          <cell r="E9812"/>
          <cell r="F9812"/>
          <cell r="G9812"/>
          <cell r="H9812"/>
          <cell r="I9812"/>
          <cell r="J9812"/>
          <cell r="L9812"/>
        </row>
        <row r="9813">
          <cell r="A9813"/>
          <cell r="D9813"/>
          <cell r="E9813"/>
          <cell r="F9813"/>
          <cell r="G9813"/>
          <cell r="H9813"/>
          <cell r="I9813"/>
          <cell r="J9813"/>
          <cell r="L9813"/>
        </row>
        <row r="9814">
          <cell r="A9814"/>
          <cell r="D9814"/>
          <cell r="E9814"/>
          <cell r="F9814"/>
          <cell r="G9814"/>
          <cell r="H9814"/>
          <cell r="I9814"/>
          <cell r="J9814"/>
          <cell r="L9814"/>
        </row>
        <row r="9815">
          <cell r="A9815"/>
          <cell r="D9815"/>
          <cell r="E9815"/>
          <cell r="F9815"/>
          <cell r="G9815"/>
          <cell r="H9815"/>
          <cell r="I9815"/>
          <cell r="J9815"/>
          <cell r="L9815"/>
        </row>
        <row r="9816">
          <cell r="A9816"/>
          <cell r="D9816"/>
          <cell r="E9816"/>
          <cell r="F9816"/>
          <cell r="G9816"/>
          <cell r="H9816"/>
          <cell r="I9816"/>
          <cell r="J9816"/>
          <cell r="L9816"/>
        </row>
        <row r="9817">
          <cell r="A9817"/>
          <cell r="D9817"/>
          <cell r="E9817"/>
          <cell r="F9817"/>
          <cell r="G9817"/>
          <cell r="H9817"/>
          <cell r="I9817"/>
          <cell r="J9817"/>
          <cell r="L9817"/>
        </row>
        <row r="9818">
          <cell r="A9818"/>
          <cell r="D9818"/>
          <cell r="E9818"/>
          <cell r="F9818"/>
          <cell r="G9818"/>
          <cell r="H9818"/>
          <cell r="I9818"/>
          <cell r="J9818"/>
          <cell r="L9818"/>
        </row>
        <row r="9819">
          <cell r="A9819"/>
          <cell r="D9819"/>
          <cell r="E9819"/>
          <cell r="F9819"/>
          <cell r="G9819"/>
          <cell r="H9819"/>
          <cell r="I9819"/>
          <cell r="J9819"/>
          <cell r="L9819"/>
        </row>
        <row r="9820">
          <cell r="A9820"/>
          <cell r="D9820"/>
          <cell r="E9820"/>
          <cell r="F9820"/>
          <cell r="G9820"/>
          <cell r="H9820"/>
          <cell r="I9820"/>
          <cell r="J9820"/>
          <cell r="L9820"/>
        </row>
        <row r="9821">
          <cell r="A9821"/>
          <cell r="D9821"/>
          <cell r="E9821"/>
          <cell r="F9821"/>
          <cell r="G9821"/>
          <cell r="H9821"/>
          <cell r="I9821"/>
          <cell r="J9821"/>
          <cell r="L9821"/>
        </row>
        <row r="9822">
          <cell r="A9822"/>
          <cell r="D9822"/>
          <cell r="E9822"/>
          <cell r="F9822"/>
          <cell r="G9822"/>
          <cell r="H9822"/>
          <cell r="I9822"/>
          <cell r="J9822"/>
          <cell r="L9822"/>
        </row>
        <row r="9823">
          <cell r="A9823"/>
          <cell r="D9823"/>
          <cell r="E9823"/>
          <cell r="F9823"/>
          <cell r="G9823"/>
          <cell r="H9823"/>
          <cell r="I9823"/>
          <cell r="J9823"/>
          <cell r="L9823"/>
        </row>
        <row r="9824">
          <cell r="A9824"/>
          <cell r="D9824"/>
          <cell r="E9824"/>
          <cell r="F9824"/>
          <cell r="G9824"/>
          <cell r="H9824"/>
          <cell r="I9824"/>
          <cell r="J9824"/>
          <cell r="L9824"/>
        </row>
        <row r="9825">
          <cell r="A9825"/>
          <cell r="D9825"/>
          <cell r="E9825"/>
          <cell r="F9825"/>
          <cell r="G9825"/>
          <cell r="H9825"/>
          <cell r="I9825"/>
          <cell r="J9825"/>
          <cell r="L9825"/>
        </row>
        <row r="9826">
          <cell r="A9826"/>
          <cell r="D9826"/>
          <cell r="E9826"/>
          <cell r="F9826"/>
          <cell r="G9826"/>
          <cell r="H9826"/>
          <cell r="I9826"/>
          <cell r="J9826"/>
          <cell r="L9826"/>
        </row>
        <row r="9827">
          <cell r="A9827"/>
          <cell r="D9827"/>
          <cell r="E9827"/>
          <cell r="F9827"/>
          <cell r="G9827"/>
          <cell r="H9827"/>
          <cell r="I9827"/>
          <cell r="J9827"/>
          <cell r="L9827"/>
        </row>
        <row r="9828">
          <cell r="A9828"/>
          <cell r="D9828"/>
          <cell r="E9828"/>
          <cell r="F9828"/>
          <cell r="G9828"/>
          <cell r="H9828"/>
          <cell r="I9828"/>
          <cell r="J9828"/>
          <cell r="L9828"/>
        </row>
        <row r="9829">
          <cell r="A9829"/>
          <cell r="D9829"/>
          <cell r="E9829"/>
          <cell r="F9829"/>
          <cell r="G9829"/>
          <cell r="H9829"/>
          <cell r="I9829"/>
          <cell r="J9829"/>
          <cell r="L9829"/>
        </row>
        <row r="9830">
          <cell r="A9830"/>
          <cell r="D9830"/>
          <cell r="E9830"/>
          <cell r="F9830"/>
          <cell r="G9830"/>
          <cell r="H9830"/>
          <cell r="I9830"/>
          <cell r="J9830"/>
          <cell r="L9830"/>
        </row>
        <row r="9831">
          <cell r="A9831"/>
          <cell r="D9831"/>
          <cell r="E9831"/>
          <cell r="F9831"/>
          <cell r="G9831"/>
          <cell r="H9831"/>
          <cell r="I9831"/>
          <cell r="J9831"/>
          <cell r="L9831"/>
        </row>
        <row r="9832">
          <cell r="A9832"/>
          <cell r="D9832"/>
          <cell r="E9832"/>
          <cell r="F9832"/>
          <cell r="G9832"/>
          <cell r="H9832"/>
          <cell r="I9832"/>
          <cell r="J9832"/>
          <cell r="L9832"/>
        </row>
        <row r="9833">
          <cell r="A9833"/>
          <cell r="D9833"/>
          <cell r="E9833"/>
          <cell r="F9833"/>
          <cell r="G9833"/>
          <cell r="H9833"/>
          <cell r="I9833"/>
          <cell r="J9833"/>
          <cell r="L9833"/>
        </row>
        <row r="9834">
          <cell r="A9834"/>
          <cell r="D9834"/>
          <cell r="E9834"/>
          <cell r="F9834"/>
          <cell r="G9834"/>
          <cell r="H9834"/>
          <cell r="I9834"/>
          <cell r="J9834"/>
          <cell r="L9834"/>
        </row>
        <row r="9835">
          <cell r="A9835"/>
          <cell r="D9835"/>
          <cell r="E9835"/>
          <cell r="F9835"/>
          <cell r="G9835"/>
          <cell r="H9835"/>
          <cell r="I9835"/>
          <cell r="J9835"/>
          <cell r="L9835"/>
        </row>
        <row r="9836">
          <cell r="A9836"/>
          <cell r="D9836"/>
          <cell r="E9836"/>
          <cell r="F9836"/>
          <cell r="G9836"/>
          <cell r="H9836"/>
          <cell r="I9836"/>
          <cell r="J9836"/>
          <cell r="L9836"/>
        </row>
        <row r="9837">
          <cell r="A9837"/>
          <cell r="D9837"/>
          <cell r="E9837"/>
          <cell r="F9837"/>
          <cell r="G9837"/>
          <cell r="H9837"/>
          <cell r="I9837"/>
          <cell r="J9837"/>
          <cell r="L9837"/>
        </row>
        <row r="9838">
          <cell r="A9838"/>
          <cell r="D9838"/>
          <cell r="E9838"/>
          <cell r="F9838"/>
          <cell r="G9838"/>
          <cell r="H9838"/>
          <cell r="I9838"/>
          <cell r="J9838"/>
          <cell r="L9838"/>
        </row>
        <row r="9839">
          <cell r="A9839"/>
          <cell r="D9839"/>
          <cell r="E9839"/>
          <cell r="F9839"/>
          <cell r="G9839"/>
          <cell r="H9839"/>
          <cell r="I9839"/>
          <cell r="J9839"/>
          <cell r="L9839"/>
        </row>
        <row r="9840">
          <cell r="A9840"/>
          <cell r="D9840"/>
          <cell r="E9840"/>
          <cell r="F9840"/>
          <cell r="G9840"/>
          <cell r="H9840"/>
          <cell r="I9840"/>
          <cell r="J9840"/>
          <cell r="L9840"/>
        </row>
        <row r="9841">
          <cell r="A9841"/>
          <cell r="D9841"/>
          <cell r="E9841"/>
          <cell r="F9841"/>
          <cell r="G9841"/>
          <cell r="H9841"/>
          <cell r="I9841"/>
          <cell r="J9841"/>
          <cell r="L9841"/>
        </row>
        <row r="9842">
          <cell r="A9842"/>
          <cell r="D9842"/>
          <cell r="E9842"/>
          <cell r="F9842"/>
          <cell r="G9842"/>
          <cell r="H9842"/>
          <cell r="I9842"/>
          <cell r="J9842"/>
          <cell r="L9842"/>
        </row>
        <row r="9843">
          <cell r="A9843"/>
          <cell r="D9843"/>
          <cell r="E9843"/>
          <cell r="F9843"/>
          <cell r="G9843"/>
          <cell r="H9843"/>
          <cell r="I9843"/>
          <cell r="J9843"/>
          <cell r="L9843"/>
        </row>
        <row r="9844">
          <cell r="A9844"/>
          <cell r="D9844"/>
          <cell r="E9844"/>
          <cell r="F9844"/>
          <cell r="G9844"/>
          <cell r="H9844"/>
          <cell r="I9844"/>
          <cell r="J9844"/>
          <cell r="L9844"/>
        </row>
        <row r="9845">
          <cell r="A9845"/>
          <cell r="D9845"/>
          <cell r="E9845"/>
          <cell r="F9845"/>
          <cell r="G9845"/>
          <cell r="H9845"/>
          <cell r="I9845"/>
          <cell r="J9845"/>
          <cell r="L9845"/>
        </row>
        <row r="9846">
          <cell r="A9846"/>
          <cell r="D9846"/>
          <cell r="E9846"/>
          <cell r="F9846"/>
          <cell r="G9846"/>
          <cell r="H9846"/>
          <cell r="I9846"/>
          <cell r="J9846"/>
          <cell r="L9846"/>
        </row>
        <row r="9847">
          <cell r="A9847"/>
          <cell r="D9847"/>
          <cell r="E9847"/>
          <cell r="F9847"/>
          <cell r="G9847"/>
          <cell r="H9847"/>
          <cell r="I9847"/>
          <cell r="J9847"/>
          <cell r="L9847"/>
        </row>
        <row r="9848">
          <cell r="A9848"/>
          <cell r="D9848"/>
          <cell r="E9848"/>
          <cell r="F9848"/>
          <cell r="G9848"/>
          <cell r="H9848"/>
          <cell r="I9848"/>
          <cell r="J9848"/>
          <cell r="L9848"/>
        </row>
        <row r="9849">
          <cell r="A9849"/>
          <cell r="D9849"/>
          <cell r="E9849"/>
          <cell r="F9849"/>
          <cell r="G9849"/>
          <cell r="H9849"/>
          <cell r="I9849"/>
          <cell r="J9849"/>
          <cell r="L9849"/>
        </row>
        <row r="9850">
          <cell r="A9850"/>
          <cell r="D9850"/>
          <cell r="E9850"/>
          <cell r="F9850"/>
          <cell r="G9850"/>
          <cell r="H9850"/>
          <cell r="I9850"/>
          <cell r="J9850"/>
          <cell r="L9850"/>
        </row>
        <row r="9851">
          <cell r="A9851"/>
          <cell r="D9851"/>
          <cell r="E9851"/>
          <cell r="F9851"/>
          <cell r="G9851"/>
          <cell r="H9851"/>
          <cell r="I9851"/>
          <cell r="J9851"/>
          <cell r="L9851"/>
        </row>
        <row r="9852">
          <cell r="A9852"/>
          <cell r="D9852"/>
          <cell r="E9852"/>
          <cell r="F9852"/>
          <cell r="G9852"/>
          <cell r="H9852"/>
          <cell r="I9852"/>
          <cell r="J9852"/>
          <cell r="L9852"/>
        </row>
        <row r="9853">
          <cell r="A9853"/>
          <cell r="D9853"/>
          <cell r="E9853"/>
          <cell r="F9853"/>
          <cell r="G9853"/>
          <cell r="H9853"/>
          <cell r="I9853"/>
          <cell r="J9853"/>
          <cell r="L9853"/>
        </row>
        <row r="9854">
          <cell r="A9854"/>
          <cell r="D9854"/>
          <cell r="E9854"/>
          <cell r="F9854"/>
          <cell r="G9854"/>
          <cell r="H9854"/>
          <cell r="I9854"/>
          <cell r="J9854"/>
          <cell r="L9854"/>
        </row>
        <row r="9855">
          <cell r="A9855"/>
          <cell r="D9855"/>
          <cell r="E9855"/>
          <cell r="F9855"/>
          <cell r="G9855"/>
          <cell r="H9855"/>
          <cell r="I9855"/>
          <cell r="J9855"/>
          <cell r="L9855"/>
        </row>
        <row r="9856">
          <cell r="A9856"/>
          <cell r="D9856"/>
          <cell r="E9856"/>
          <cell r="F9856"/>
          <cell r="G9856"/>
          <cell r="H9856"/>
          <cell r="I9856"/>
          <cell r="J9856"/>
          <cell r="L9856"/>
        </row>
        <row r="9857">
          <cell r="A9857"/>
          <cell r="D9857"/>
          <cell r="E9857"/>
          <cell r="F9857"/>
          <cell r="G9857"/>
          <cell r="H9857"/>
          <cell r="I9857"/>
          <cell r="J9857"/>
          <cell r="L9857"/>
        </row>
        <row r="9858">
          <cell r="A9858"/>
          <cell r="D9858"/>
          <cell r="E9858"/>
          <cell r="F9858"/>
          <cell r="G9858"/>
          <cell r="H9858"/>
          <cell r="I9858"/>
          <cell r="J9858"/>
          <cell r="L9858"/>
        </row>
        <row r="9859">
          <cell r="A9859"/>
          <cell r="D9859"/>
          <cell r="E9859"/>
          <cell r="F9859"/>
          <cell r="G9859"/>
          <cell r="H9859"/>
          <cell r="I9859"/>
          <cell r="J9859"/>
          <cell r="L9859"/>
        </row>
        <row r="9860">
          <cell r="A9860"/>
          <cell r="D9860"/>
          <cell r="E9860"/>
          <cell r="F9860"/>
          <cell r="G9860"/>
          <cell r="H9860"/>
          <cell r="I9860"/>
          <cell r="J9860"/>
          <cell r="L9860"/>
        </row>
        <row r="9861">
          <cell r="A9861"/>
          <cell r="D9861"/>
          <cell r="E9861"/>
          <cell r="F9861"/>
          <cell r="G9861"/>
          <cell r="H9861"/>
          <cell r="I9861"/>
          <cell r="J9861"/>
          <cell r="L9861"/>
        </row>
        <row r="9862">
          <cell r="A9862"/>
          <cell r="D9862"/>
          <cell r="E9862"/>
          <cell r="F9862"/>
          <cell r="G9862"/>
          <cell r="H9862"/>
          <cell r="I9862"/>
          <cell r="J9862"/>
          <cell r="L9862"/>
        </row>
        <row r="9863">
          <cell r="A9863"/>
          <cell r="D9863"/>
          <cell r="E9863"/>
          <cell r="F9863"/>
          <cell r="G9863"/>
          <cell r="H9863"/>
          <cell r="I9863"/>
          <cell r="J9863"/>
          <cell r="L9863"/>
        </row>
        <row r="9864">
          <cell r="A9864"/>
          <cell r="D9864"/>
          <cell r="E9864"/>
          <cell r="F9864"/>
          <cell r="G9864"/>
          <cell r="H9864"/>
          <cell r="I9864"/>
          <cell r="J9864"/>
          <cell r="L9864"/>
        </row>
        <row r="9865">
          <cell r="A9865"/>
          <cell r="D9865"/>
          <cell r="E9865"/>
          <cell r="F9865"/>
          <cell r="G9865"/>
          <cell r="H9865"/>
          <cell r="I9865"/>
          <cell r="J9865"/>
          <cell r="L9865"/>
        </row>
        <row r="9866">
          <cell r="A9866"/>
          <cell r="D9866"/>
          <cell r="E9866"/>
          <cell r="F9866"/>
          <cell r="G9866"/>
          <cell r="H9866"/>
          <cell r="I9866"/>
          <cell r="J9866"/>
          <cell r="L9866"/>
        </row>
        <row r="9867">
          <cell r="A9867"/>
          <cell r="D9867"/>
          <cell r="E9867"/>
          <cell r="F9867"/>
          <cell r="G9867"/>
          <cell r="H9867"/>
          <cell r="I9867"/>
          <cell r="J9867"/>
          <cell r="L9867"/>
        </row>
        <row r="9868">
          <cell r="A9868"/>
          <cell r="D9868"/>
          <cell r="E9868"/>
          <cell r="F9868"/>
          <cell r="G9868"/>
          <cell r="H9868"/>
          <cell r="I9868"/>
          <cell r="J9868"/>
          <cell r="L9868"/>
        </row>
        <row r="9869">
          <cell r="A9869"/>
          <cell r="D9869"/>
          <cell r="E9869"/>
          <cell r="F9869"/>
          <cell r="G9869"/>
          <cell r="H9869"/>
          <cell r="I9869"/>
          <cell r="J9869"/>
          <cell r="L9869"/>
        </row>
        <row r="9870">
          <cell r="A9870"/>
          <cell r="D9870"/>
          <cell r="E9870"/>
          <cell r="F9870"/>
          <cell r="G9870"/>
          <cell r="H9870"/>
          <cell r="I9870"/>
          <cell r="J9870"/>
          <cell r="L9870"/>
        </row>
        <row r="9871">
          <cell r="A9871"/>
          <cell r="D9871"/>
          <cell r="E9871"/>
          <cell r="F9871"/>
          <cell r="G9871"/>
          <cell r="H9871"/>
          <cell r="I9871"/>
          <cell r="J9871"/>
          <cell r="L9871"/>
        </row>
        <row r="9872">
          <cell r="A9872"/>
          <cell r="D9872"/>
          <cell r="E9872"/>
          <cell r="F9872"/>
          <cell r="G9872"/>
          <cell r="H9872"/>
          <cell r="I9872"/>
          <cell r="J9872"/>
          <cell r="L9872"/>
        </row>
        <row r="9873">
          <cell r="A9873"/>
          <cell r="D9873"/>
          <cell r="E9873"/>
          <cell r="F9873"/>
          <cell r="G9873"/>
          <cell r="H9873"/>
          <cell r="I9873"/>
          <cell r="J9873"/>
          <cell r="L9873"/>
        </row>
        <row r="9874">
          <cell r="A9874"/>
          <cell r="D9874"/>
          <cell r="E9874"/>
          <cell r="F9874"/>
          <cell r="G9874"/>
          <cell r="H9874"/>
          <cell r="I9874"/>
          <cell r="J9874"/>
          <cell r="L9874"/>
        </row>
        <row r="9875">
          <cell r="A9875"/>
          <cell r="D9875"/>
          <cell r="E9875"/>
          <cell r="F9875"/>
          <cell r="G9875"/>
          <cell r="H9875"/>
          <cell r="I9875"/>
          <cell r="J9875"/>
          <cell r="L9875"/>
        </row>
        <row r="9876">
          <cell r="A9876"/>
          <cell r="D9876"/>
          <cell r="E9876"/>
          <cell r="F9876"/>
          <cell r="G9876"/>
          <cell r="H9876"/>
          <cell r="I9876"/>
          <cell r="J9876"/>
          <cell r="L9876"/>
        </row>
        <row r="9877">
          <cell r="A9877"/>
          <cell r="D9877"/>
          <cell r="E9877"/>
          <cell r="F9877"/>
          <cell r="G9877"/>
          <cell r="H9877"/>
          <cell r="I9877"/>
          <cell r="J9877"/>
          <cell r="L9877"/>
        </row>
        <row r="9878">
          <cell r="A9878"/>
          <cell r="D9878"/>
          <cell r="E9878"/>
          <cell r="F9878"/>
          <cell r="G9878"/>
          <cell r="H9878"/>
          <cell r="I9878"/>
          <cell r="J9878"/>
          <cell r="L9878"/>
        </row>
        <row r="9879">
          <cell r="A9879"/>
          <cell r="D9879"/>
          <cell r="E9879"/>
          <cell r="F9879"/>
          <cell r="G9879"/>
          <cell r="H9879"/>
          <cell r="I9879"/>
          <cell r="J9879"/>
          <cell r="L9879"/>
        </row>
        <row r="9880">
          <cell r="A9880"/>
          <cell r="D9880"/>
          <cell r="E9880"/>
          <cell r="F9880"/>
          <cell r="G9880"/>
          <cell r="H9880"/>
          <cell r="I9880"/>
          <cell r="J9880"/>
          <cell r="L9880"/>
        </row>
        <row r="9881">
          <cell r="A9881"/>
          <cell r="D9881"/>
          <cell r="E9881"/>
          <cell r="F9881"/>
          <cell r="G9881"/>
          <cell r="H9881"/>
          <cell r="I9881"/>
          <cell r="J9881"/>
          <cell r="L9881"/>
        </row>
        <row r="9882">
          <cell r="A9882"/>
          <cell r="D9882"/>
          <cell r="E9882"/>
          <cell r="F9882"/>
          <cell r="G9882"/>
          <cell r="H9882"/>
          <cell r="I9882"/>
          <cell r="J9882"/>
          <cell r="L9882"/>
        </row>
        <row r="9883">
          <cell r="A9883"/>
          <cell r="D9883"/>
          <cell r="E9883"/>
          <cell r="F9883"/>
          <cell r="G9883"/>
          <cell r="H9883"/>
          <cell r="I9883"/>
          <cell r="J9883"/>
          <cell r="L9883"/>
        </row>
        <row r="9884">
          <cell r="A9884"/>
          <cell r="D9884"/>
          <cell r="E9884"/>
          <cell r="F9884"/>
          <cell r="G9884"/>
          <cell r="H9884"/>
          <cell r="I9884"/>
          <cell r="J9884"/>
          <cell r="L9884"/>
        </row>
        <row r="9885">
          <cell r="A9885"/>
          <cell r="D9885"/>
          <cell r="E9885"/>
          <cell r="F9885"/>
          <cell r="G9885"/>
          <cell r="H9885"/>
          <cell r="I9885"/>
          <cell r="J9885"/>
          <cell r="L9885"/>
        </row>
        <row r="9886">
          <cell r="A9886"/>
          <cell r="D9886"/>
          <cell r="E9886"/>
          <cell r="F9886"/>
          <cell r="G9886"/>
          <cell r="H9886"/>
          <cell r="I9886"/>
          <cell r="J9886"/>
          <cell r="L9886"/>
        </row>
        <row r="9887">
          <cell r="A9887"/>
          <cell r="D9887"/>
          <cell r="E9887"/>
          <cell r="F9887"/>
          <cell r="G9887"/>
          <cell r="H9887"/>
          <cell r="I9887"/>
          <cell r="J9887"/>
          <cell r="L9887"/>
        </row>
        <row r="9888">
          <cell r="A9888"/>
          <cell r="D9888"/>
          <cell r="E9888"/>
          <cell r="F9888"/>
          <cell r="G9888"/>
          <cell r="H9888"/>
          <cell r="I9888"/>
          <cell r="J9888"/>
          <cell r="L9888"/>
        </row>
        <row r="9889">
          <cell r="A9889"/>
          <cell r="D9889"/>
          <cell r="E9889"/>
          <cell r="F9889"/>
          <cell r="G9889"/>
          <cell r="H9889"/>
          <cell r="I9889"/>
          <cell r="J9889"/>
          <cell r="L9889"/>
        </row>
        <row r="9890">
          <cell r="A9890"/>
          <cell r="D9890"/>
          <cell r="E9890"/>
          <cell r="F9890"/>
          <cell r="G9890"/>
          <cell r="H9890"/>
          <cell r="I9890"/>
          <cell r="J9890"/>
          <cell r="L9890"/>
        </row>
        <row r="9891">
          <cell r="A9891"/>
          <cell r="D9891"/>
          <cell r="E9891"/>
          <cell r="F9891"/>
          <cell r="G9891"/>
          <cell r="H9891"/>
          <cell r="I9891"/>
          <cell r="J9891"/>
          <cell r="L9891"/>
        </row>
        <row r="9892">
          <cell r="A9892"/>
          <cell r="D9892"/>
          <cell r="E9892"/>
          <cell r="F9892"/>
          <cell r="G9892"/>
          <cell r="H9892"/>
          <cell r="I9892"/>
          <cell r="J9892"/>
          <cell r="L9892"/>
        </row>
        <row r="9893">
          <cell r="A9893"/>
          <cell r="D9893"/>
          <cell r="E9893"/>
          <cell r="F9893"/>
          <cell r="G9893"/>
          <cell r="H9893"/>
          <cell r="I9893"/>
          <cell r="J9893"/>
          <cell r="L9893"/>
        </row>
        <row r="9894">
          <cell r="A9894"/>
          <cell r="D9894"/>
          <cell r="E9894"/>
          <cell r="F9894"/>
          <cell r="G9894"/>
          <cell r="H9894"/>
          <cell r="I9894"/>
          <cell r="J9894"/>
          <cell r="L9894"/>
        </row>
        <row r="9895">
          <cell r="A9895"/>
          <cell r="D9895"/>
          <cell r="E9895"/>
          <cell r="F9895"/>
          <cell r="G9895"/>
          <cell r="H9895"/>
          <cell r="I9895"/>
          <cell r="J9895"/>
          <cell r="L9895"/>
        </row>
        <row r="9896">
          <cell r="A9896"/>
          <cell r="D9896"/>
          <cell r="E9896"/>
          <cell r="F9896"/>
          <cell r="G9896"/>
          <cell r="H9896"/>
          <cell r="I9896"/>
          <cell r="J9896"/>
          <cell r="L9896"/>
        </row>
        <row r="9897">
          <cell r="A9897"/>
          <cell r="D9897"/>
          <cell r="E9897"/>
          <cell r="F9897"/>
          <cell r="G9897"/>
          <cell r="H9897"/>
          <cell r="I9897"/>
          <cell r="J9897"/>
          <cell r="L9897"/>
        </row>
        <row r="9898">
          <cell r="A9898"/>
          <cell r="D9898"/>
          <cell r="E9898"/>
          <cell r="F9898"/>
          <cell r="G9898"/>
          <cell r="H9898"/>
          <cell r="I9898"/>
          <cell r="J9898"/>
          <cell r="L9898"/>
        </row>
        <row r="9899">
          <cell r="A9899"/>
          <cell r="D9899"/>
          <cell r="E9899"/>
          <cell r="F9899"/>
          <cell r="G9899"/>
          <cell r="H9899"/>
          <cell r="I9899"/>
          <cell r="J9899"/>
          <cell r="L9899"/>
        </row>
        <row r="9900">
          <cell r="A9900"/>
          <cell r="D9900"/>
          <cell r="E9900"/>
          <cell r="F9900"/>
          <cell r="G9900"/>
          <cell r="H9900"/>
          <cell r="I9900"/>
          <cell r="J9900"/>
          <cell r="L9900"/>
        </row>
        <row r="9901">
          <cell r="A9901"/>
          <cell r="D9901"/>
          <cell r="E9901"/>
          <cell r="F9901"/>
          <cell r="G9901"/>
          <cell r="H9901"/>
          <cell r="I9901"/>
          <cell r="J9901"/>
          <cell r="L9901"/>
        </row>
        <row r="9902">
          <cell r="A9902"/>
          <cell r="D9902"/>
          <cell r="E9902"/>
          <cell r="F9902"/>
          <cell r="G9902"/>
          <cell r="H9902"/>
          <cell r="I9902"/>
          <cell r="J9902"/>
          <cell r="L9902"/>
        </row>
        <row r="9903">
          <cell r="A9903"/>
          <cell r="D9903"/>
          <cell r="E9903"/>
          <cell r="F9903"/>
          <cell r="G9903"/>
          <cell r="H9903"/>
          <cell r="I9903"/>
          <cell r="J9903"/>
          <cell r="L9903"/>
        </row>
        <row r="9904">
          <cell r="A9904"/>
          <cell r="D9904"/>
          <cell r="E9904"/>
          <cell r="F9904"/>
          <cell r="G9904"/>
          <cell r="H9904"/>
          <cell r="I9904"/>
          <cell r="J9904"/>
          <cell r="L9904"/>
        </row>
        <row r="9905">
          <cell r="A9905"/>
          <cell r="D9905"/>
          <cell r="E9905"/>
          <cell r="F9905"/>
          <cell r="G9905"/>
          <cell r="H9905"/>
          <cell r="I9905"/>
          <cell r="J9905"/>
          <cell r="L9905"/>
        </row>
        <row r="9906">
          <cell r="A9906"/>
          <cell r="D9906"/>
          <cell r="E9906"/>
          <cell r="F9906"/>
          <cell r="G9906"/>
          <cell r="H9906"/>
          <cell r="I9906"/>
          <cell r="J9906"/>
          <cell r="L9906"/>
        </row>
        <row r="9907">
          <cell r="A9907"/>
          <cell r="D9907"/>
          <cell r="E9907"/>
          <cell r="F9907"/>
          <cell r="G9907"/>
          <cell r="H9907"/>
          <cell r="I9907"/>
          <cell r="J9907"/>
          <cell r="L9907"/>
        </row>
        <row r="9908">
          <cell r="A9908"/>
          <cell r="D9908"/>
          <cell r="E9908"/>
          <cell r="F9908"/>
          <cell r="G9908"/>
          <cell r="H9908"/>
          <cell r="I9908"/>
          <cell r="J9908"/>
          <cell r="L9908"/>
        </row>
        <row r="9909">
          <cell r="A9909"/>
          <cell r="D9909"/>
          <cell r="E9909"/>
          <cell r="F9909"/>
          <cell r="G9909"/>
          <cell r="H9909"/>
          <cell r="I9909"/>
          <cell r="J9909"/>
          <cell r="L9909"/>
        </row>
        <row r="9910">
          <cell r="A9910"/>
          <cell r="D9910"/>
          <cell r="E9910"/>
          <cell r="F9910"/>
          <cell r="G9910"/>
          <cell r="H9910"/>
          <cell r="I9910"/>
          <cell r="J9910"/>
          <cell r="L9910"/>
        </row>
        <row r="9911">
          <cell r="A9911"/>
          <cell r="D9911"/>
          <cell r="E9911"/>
          <cell r="F9911"/>
          <cell r="G9911"/>
          <cell r="H9911"/>
          <cell r="I9911"/>
          <cell r="J9911"/>
          <cell r="L9911"/>
        </row>
        <row r="9912">
          <cell r="A9912"/>
          <cell r="D9912"/>
          <cell r="E9912"/>
          <cell r="F9912"/>
          <cell r="G9912"/>
          <cell r="H9912"/>
          <cell r="I9912"/>
          <cell r="J9912"/>
          <cell r="L9912"/>
        </row>
        <row r="9913">
          <cell r="A9913"/>
          <cell r="D9913"/>
          <cell r="E9913"/>
          <cell r="F9913"/>
          <cell r="G9913"/>
          <cell r="H9913"/>
          <cell r="I9913"/>
          <cell r="J9913"/>
          <cell r="L9913"/>
        </row>
        <row r="9914">
          <cell r="A9914"/>
          <cell r="D9914"/>
          <cell r="E9914"/>
          <cell r="F9914"/>
          <cell r="G9914"/>
          <cell r="H9914"/>
          <cell r="I9914"/>
          <cell r="J9914"/>
          <cell r="L9914"/>
        </row>
        <row r="9915">
          <cell r="A9915"/>
          <cell r="D9915"/>
          <cell r="E9915"/>
          <cell r="F9915"/>
          <cell r="G9915"/>
          <cell r="H9915"/>
          <cell r="I9915"/>
          <cell r="J9915"/>
          <cell r="L9915"/>
        </row>
        <row r="9916">
          <cell r="A9916"/>
          <cell r="D9916"/>
          <cell r="E9916"/>
          <cell r="F9916"/>
          <cell r="G9916"/>
          <cell r="H9916"/>
          <cell r="I9916"/>
          <cell r="J9916"/>
          <cell r="L9916"/>
        </row>
        <row r="9917">
          <cell r="A9917"/>
          <cell r="D9917"/>
          <cell r="E9917"/>
          <cell r="F9917"/>
          <cell r="G9917"/>
          <cell r="H9917"/>
          <cell r="I9917"/>
          <cell r="J9917"/>
          <cell r="L9917"/>
        </row>
        <row r="9918">
          <cell r="A9918"/>
          <cell r="D9918"/>
          <cell r="E9918"/>
          <cell r="F9918"/>
          <cell r="G9918"/>
          <cell r="H9918"/>
          <cell r="I9918"/>
          <cell r="J9918"/>
          <cell r="L9918"/>
        </row>
        <row r="9919">
          <cell r="A9919"/>
          <cell r="D9919"/>
          <cell r="E9919"/>
          <cell r="F9919"/>
          <cell r="G9919"/>
          <cell r="H9919"/>
          <cell r="I9919"/>
          <cell r="J9919"/>
          <cell r="L9919"/>
        </row>
        <row r="9920">
          <cell r="A9920"/>
          <cell r="D9920"/>
          <cell r="E9920"/>
          <cell r="F9920"/>
          <cell r="G9920"/>
          <cell r="H9920"/>
          <cell r="I9920"/>
          <cell r="J9920"/>
          <cell r="L9920"/>
        </row>
        <row r="9921">
          <cell r="A9921"/>
          <cell r="D9921"/>
          <cell r="E9921"/>
          <cell r="F9921"/>
          <cell r="G9921"/>
          <cell r="H9921"/>
          <cell r="I9921"/>
          <cell r="J9921"/>
          <cell r="L9921"/>
        </row>
        <row r="9922">
          <cell r="A9922"/>
          <cell r="D9922"/>
          <cell r="E9922"/>
          <cell r="F9922"/>
          <cell r="G9922"/>
          <cell r="H9922"/>
          <cell r="I9922"/>
          <cell r="J9922"/>
          <cell r="L9922"/>
        </row>
        <row r="9923">
          <cell r="A9923"/>
          <cell r="D9923"/>
          <cell r="E9923"/>
          <cell r="F9923"/>
          <cell r="G9923"/>
          <cell r="H9923"/>
          <cell r="I9923"/>
          <cell r="J9923"/>
          <cell r="L9923"/>
        </row>
        <row r="9924">
          <cell r="A9924"/>
          <cell r="D9924"/>
          <cell r="E9924"/>
          <cell r="F9924"/>
          <cell r="G9924"/>
          <cell r="H9924"/>
          <cell r="I9924"/>
          <cell r="J9924"/>
          <cell r="L9924"/>
        </row>
        <row r="9925">
          <cell r="A9925"/>
          <cell r="D9925"/>
          <cell r="E9925"/>
          <cell r="F9925"/>
          <cell r="G9925"/>
          <cell r="H9925"/>
          <cell r="I9925"/>
          <cell r="J9925"/>
          <cell r="L9925"/>
        </row>
        <row r="9926">
          <cell r="A9926"/>
          <cell r="D9926"/>
          <cell r="E9926"/>
          <cell r="F9926"/>
          <cell r="G9926"/>
          <cell r="H9926"/>
          <cell r="I9926"/>
          <cell r="J9926"/>
          <cell r="L9926"/>
        </row>
        <row r="9927">
          <cell r="A9927"/>
          <cell r="D9927"/>
          <cell r="E9927"/>
          <cell r="F9927"/>
          <cell r="G9927"/>
          <cell r="H9927"/>
          <cell r="I9927"/>
          <cell r="J9927"/>
          <cell r="L9927"/>
        </row>
        <row r="9928">
          <cell r="A9928"/>
          <cell r="D9928"/>
          <cell r="E9928"/>
          <cell r="F9928"/>
          <cell r="G9928"/>
          <cell r="H9928"/>
          <cell r="I9928"/>
          <cell r="J9928"/>
          <cell r="L9928"/>
        </row>
        <row r="9929">
          <cell r="A9929"/>
          <cell r="D9929"/>
          <cell r="E9929"/>
          <cell r="F9929"/>
          <cell r="G9929"/>
          <cell r="H9929"/>
          <cell r="I9929"/>
          <cell r="J9929"/>
          <cell r="L9929"/>
        </row>
        <row r="9930">
          <cell r="A9930"/>
          <cell r="D9930"/>
          <cell r="E9930"/>
          <cell r="F9930"/>
          <cell r="G9930"/>
          <cell r="H9930"/>
          <cell r="I9930"/>
          <cell r="J9930"/>
          <cell r="L9930"/>
        </row>
        <row r="9931">
          <cell r="A9931"/>
          <cell r="D9931"/>
          <cell r="E9931"/>
          <cell r="F9931"/>
          <cell r="G9931"/>
          <cell r="H9931"/>
          <cell r="I9931"/>
          <cell r="J9931"/>
          <cell r="L9931"/>
        </row>
        <row r="9932">
          <cell r="A9932"/>
          <cell r="D9932"/>
          <cell r="E9932"/>
          <cell r="F9932"/>
          <cell r="G9932"/>
          <cell r="H9932"/>
          <cell r="I9932"/>
          <cell r="J9932"/>
          <cell r="L9932"/>
        </row>
        <row r="9933">
          <cell r="A9933"/>
          <cell r="D9933"/>
          <cell r="E9933"/>
          <cell r="F9933"/>
          <cell r="G9933"/>
          <cell r="H9933"/>
          <cell r="I9933"/>
          <cell r="J9933"/>
          <cell r="L9933"/>
        </row>
        <row r="9934">
          <cell r="A9934"/>
          <cell r="D9934"/>
          <cell r="E9934"/>
          <cell r="F9934"/>
          <cell r="G9934"/>
          <cell r="H9934"/>
          <cell r="I9934"/>
          <cell r="J9934"/>
          <cell r="L9934"/>
        </row>
        <row r="9935">
          <cell r="A9935"/>
          <cell r="D9935"/>
          <cell r="E9935"/>
          <cell r="F9935"/>
          <cell r="G9935"/>
          <cell r="H9935"/>
          <cell r="I9935"/>
          <cell r="J9935"/>
          <cell r="L9935"/>
        </row>
        <row r="9936">
          <cell r="A9936"/>
          <cell r="D9936"/>
          <cell r="E9936"/>
          <cell r="F9936"/>
          <cell r="G9936"/>
          <cell r="H9936"/>
          <cell r="I9936"/>
          <cell r="J9936"/>
          <cell r="L9936"/>
        </row>
        <row r="9937">
          <cell r="A9937"/>
          <cell r="D9937"/>
          <cell r="E9937"/>
          <cell r="F9937"/>
          <cell r="G9937"/>
          <cell r="H9937"/>
          <cell r="I9937"/>
          <cell r="J9937"/>
          <cell r="L9937"/>
        </row>
        <row r="9938">
          <cell r="A9938"/>
          <cell r="D9938"/>
          <cell r="E9938"/>
          <cell r="F9938"/>
          <cell r="G9938"/>
          <cell r="H9938"/>
          <cell r="I9938"/>
          <cell r="J9938"/>
          <cell r="L9938"/>
        </row>
        <row r="9939">
          <cell r="A9939"/>
          <cell r="D9939"/>
          <cell r="E9939"/>
          <cell r="F9939"/>
          <cell r="G9939"/>
          <cell r="H9939"/>
          <cell r="I9939"/>
          <cell r="J9939"/>
          <cell r="L9939"/>
        </row>
        <row r="9940">
          <cell r="A9940"/>
          <cell r="D9940"/>
          <cell r="E9940"/>
          <cell r="F9940"/>
          <cell r="G9940"/>
          <cell r="H9940"/>
          <cell r="I9940"/>
          <cell r="J9940"/>
          <cell r="L9940"/>
        </row>
        <row r="9941">
          <cell r="A9941"/>
          <cell r="D9941"/>
          <cell r="E9941"/>
          <cell r="F9941"/>
          <cell r="G9941"/>
          <cell r="H9941"/>
          <cell r="I9941"/>
          <cell r="J9941"/>
          <cell r="L9941"/>
        </row>
        <row r="9942">
          <cell r="A9942"/>
          <cell r="D9942"/>
          <cell r="E9942"/>
          <cell r="F9942"/>
          <cell r="G9942"/>
          <cell r="H9942"/>
          <cell r="I9942"/>
          <cell r="J9942"/>
          <cell r="L9942"/>
        </row>
        <row r="9943">
          <cell r="A9943"/>
          <cell r="D9943"/>
          <cell r="E9943"/>
          <cell r="F9943"/>
          <cell r="G9943"/>
          <cell r="H9943"/>
          <cell r="I9943"/>
          <cell r="J9943"/>
          <cell r="L9943"/>
        </row>
        <row r="9944">
          <cell r="A9944"/>
          <cell r="D9944"/>
          <cell r="E9944"/>
          <cell r="F9944"/>
          <cell r="G9944"/>
          <cell r="H9944"/>
          <cell r="I9944"/>
          <cell r="J9944"/>
          <cell r="L9944"/>
        </row>
        <row r="9945">
          <cell r="A9945"/>
          <cell r="D9945"/>
          <cell r="E9945"/>
          <cell r="F9945"/>
          <cell r="G9945"/>
          <cell r="H9945"/>
          <cell r="I9945"/>
          <cell r="J9945"/>
          <cell r="L9945"/>
        </row>
        <row r="9946">
          <cell r="A9946"/>
          <cell r="D9946"/>
          <cell r="E9946"/>
          <cell r="F9946"/>
          <cell r="G9946"/>
          <cell r="H9946"/>
          <cell r="I9946"/>
          <cell r="J9946"/>
          <cell r="L9946"/>
        </row>
        <row r="9947">
          <cell r="A9947"/>
          <cell r="D9947"/>
          <cell r="E9947"/>
          <cell r="F9947"/>
          <cell r="G9947"/>
          <cell r="H9947"/>
          <cell r="I9947"/>
          <cell r="J9947"/>
          <cell r="L9947"/>
        </row>
        <row r="9948">
          <cell r="A9948"/>
          <cell r="D9948"/>
          <cell r="E9948"/>
          <cell r="F9948"/>
          <cell r="G9948"/>
          <cell r="H9948"/>
          <cell r="I9948"/>
          <cell r="J9948"/>
          <cell r="L9948"/>
        </row>
        <row r="9949">
          <cell r="A9949"/>
          <cell r="D9949"/>
          <cell r="E9949"/>
          <cell r="F9949"/>
          <cell r="G9949"/>
          <cell r="H9949"/>
          <cell r="I9949"/>
          <cell r="J9949"/>
          <cell r="L9949"/>
        </row>
        <row r="9950">
          <cell r="A9950"/>
          <cell r="D9950"/>
          <cell r="E9950"/>
          <cell r="F9950"/>
          <cell r="G9950"/>
          <cell r="H9950"/>
          <cell r="I9950"/>
          <cell r="J9950"/>
          <cell r="L9950"/>
        </row>
        <row r="9951">
          <cell r="A9951"/>
          <cell r="D9951"/>
          <cell r="E9951"/>
          <cell r="F9951"/>
          <cell r="G9951"/>
          <cell r="H9951"/>
          <cell r="I9951"/>
          <cell r="J9951"/>
          <cell r="L9951"/>
        </row>
        <row r="9952">
          <cell r="A9952"/>
          <cell r="D9952"/>
          <cell r="E9952"/>
          <cell r="F9952"/>
          <cell r="G9952"/>
          <cell r="H9952"/>
          <cell r="I9952"/>
          <cell r="J9952"/>
          <cell r="L9952"/>
        </row>
        <row r="9953">
          <cell r="A9953"/>
          <cell r="D9953"/>
          <cell r="E9953"/>
          <cell r="F9953"/>
          <cell r="G9953"/>
          <cell r="H9953"/>
          <cell r="I9953"/>
          <cell r="J9953"/>
          <cell r="L9953"/>
        </row>
        <row r="9954">
          <cell r="A9954"/>
          <cell r="D9954"/>
          <cell r="E9954"/>
          <cell r="F9954"/>
          <cell r="G9954"/>
          <cell r="H9954"/>
          <cell r="I9954"/>
          <cell r="J9954"/>
          <cell r="L9954"/>
        </row>
        <row r="9955">
          <cell r="A9955"/>
          <cell r="D9955"/>
          <cell r="E9955"/>
          <cell r="F9955"/>
          <cell r="G9955"/>
          <cell r="H9955"/>
          <cell r="I9955"/>
          <cell r="J9955"/>
          <cell r="L9955"/>
        </row>
        <row r="9956">
          <cell r="A9956"/>
          <cell r="D9956"/>
          <cell r="E9956"/>
          <cell r="F9956"/>
          <cell r="G9956"/>
          <cell r="H9956"/>
          <cell r="I9956"/>
          <cell r="J9956"/>
          <cell r="L9956"/>
        </row>
        <row r="9957">
          <cell r="A9957"/>
          <cell r="D9957"/>
          <cell r="E9957"/>
          <cell r="F9957"/>
          <cell r="G9957"/>
          <cell r="H9957"/>
          <cell r="I9957"/>
          <cell r="J9957"/>
          <cell r="L9957"/>
        </row>
        <row r="9958">
          <cell r="A9958"/>
          <cell r="D9958"/>
          <cell r="E9958"/>
          <cell r="F9958"/>
          <cell r="G9958"/>
          <cell r="H9958"/>
          <cell r="I9958"/>
          <cell r="J9958"/>
          <cell r="L9958"/>
        </row>
        <row r="9959">
          <cell r="A9959"/>
          <cell r="D9959"/>
          <cell r="E9959"/>
          <cell r="F9959"/>
          <cell r="G9959"/>
          <cell r="H9959"/>
          <cell r="I9959"/>
          <cell r="J9959"/>
          <cell r="L9959"/>
        </row>
        <row r="9960">
          <cell r="A9960"/>
          <cell r="D9960"/>
          <cell r="E9960"/>
          <cell r="F9960"/>
          <cell r="G9960"/>
          <cell r="H9960"/>
          <cell r="I9960"/>
          <cell r="J9960"/>
          <cell r="L9960"/>
        </row>
        <row r="9961">
          <cell r="A9961"/>
          <cell r="D9961"/>
          <cell r="E9961"/>
          <cell r="F9961"/>
          <cell r="G9961"/>
          <cell r="H9961"/>
          <cell r="I9961"/>
          <cell r="J9961"/>
          <cell r="L9961"/>
        </row>
        <row r="9962">
          <cell r="A9962"/>
          <cell r="D9962"/>
          <cell r="E9962"/>
          <cell r="F9962"/>
          <cell r="G9962"/>
          <cell r="H9962"/>
          <cell r="I9962"/>
          <cell r="J9962"/>
          <cell r="L9962"/>
        </row>
        <row r="9963">
          <cell r="A9963"/>
          <cell r="D9963"/>
          <cell r="E9963"/>
          <cell r="F9963"/>
          <cell r="G9963"/>
          <cell r="H9963"/>
          <cell r="I9963"/>
          <cell r="J9963"/>
          <cell r="L9963"/>
        </row>
        <row r="9964">
          <cell r="A9964"/>
          <cell r="D9964"/>
          <cell r="E9964"/>
          <cell r="F9964"/>
          <cell r="G9964"/>
          <cell r="H9964"/>
          <cell r="I9964"/>
          <cell r="J9964"/>
          <cell r="L9964"/>
        </row>
        <row r="9965">
          <cell r="A9965"/>
          <cell r="D9965"/>
          <cell r="E9965"/>
          <cell r="F9965"/>
          <cell r="G9965"/>
          <cell r="H9965"/>
          <cell r="I9965"/>
          <cell r="J9965"/>
          <cell r="L9965"/>
        </row>
        <row r="9966">
          <cell r="A9966"/>
          <cell r="D9966"/>
          <cell r="E9966"/>
          <cell r="F9966"/>
          <cell r="G9966"/>
          <cell r="H9966"/>
          <cell r="I9966"/>
          <cell r="J9966"/>
          <cell r="L9966"/>
        </row>
        <row r="9967">
          <cell r="A9967"/>
          <cell r="D9967"/>
          <cell r="E9967"/>
          <cell r="F9967"/>
          <cell r="G9967"/>
          <cell r="H9967"/>
          <cell r="I9967"/>
          <cell r="J9967"/>
          <cell r="L9967"/>
        </row>
        <row r="9968">
          <cell r="A9968"/>
          <cell r="D9968"/>
          <cell r="E9968"/>
          <cell r="F9968"/>
          <cell r="G9968"/>
          <cell r="H9968"/>
          <cell r="I9968"/>
          <cell r="J9968"/>
          <cell r="L9968"/>
        </row>
        <row r="9969">
          <cell r="A9969"/>
          <cell r="D9969"/>
          <cell r="E9969"/>
          <cell r="F9969"/>
          <cell r="G9969"/>
          <cell r="H9969"/>
          <cell r="I9969"/>
          <cell r="J9969"/>
          <cell r="L9969"/>
        </row>
        <row r="9970">
          <cell r="A9970"/>
          <cell r="D9970"/>
          <cell r="E9970"/>
          <cell r="F9970"/>
          <cell r="G9970"/>
          <cell r="H9970"/>
          <cell r="I9970"/>
          <cell r="J9970"/>
          <cell r="L9970"/>
        </row>
        <row r="9971">
          <cell r="A9971"/>
          <cell r="D9971"/>
          <cell r="E9971"/>
          <cell r="F9971"/>
          <cell r="G9971"/>
          <cell r="H9971"/>
          <cell r="I9971"/>
          <cell r="J9971"/>
          <cell r="L9971"/>
        </row>
        <row r="9972">
          <cell r="A9972"/>
          <cell r="D9972"/>
          <cell r="E9972"/>
          <cell r="F9972"/>
          <cell r="G9972"/>
          <cell r="H9972"/>
          <cell r="I9972"/>
          <cell r="J9972"/>
          <cell r="L9972"/>
        </row>
        <row r="9973">
          <cell r="A9973"/>
          <cell r="D9973"/>
          <cell r="E9973"/>
          <cell r="F9973"/>
          <cell r="G9973"/>
          <cell r="H9973"/>
          <cell r="I9973"/>
          <cell r="J9973"/>
          <cell r="L9973"/>
        </row>
        <row r="9974">
          <cell r="A9974"/>
          <cell r="D9974"/>
          <cell r="E9974"/>
          <cell r="F9974"/>
          <cell r="G9974"/>
          <cell r="H9974"/>
          <cell r="I9974"/>
          <cell r="J9974"/>
          <cell r="L9974"/>
        </row>
        <row r="9975">
          <cell r="A9975"/>
          <cell r="D9975"/>
          <cell r="E9975"/>
          <cell r="F9975"/>
          <cell r="G9975"/>
          <cell r="H9975"/>
          <cell r="I9975"/>
          <cell r="J9975"/>
          <cell r="L9975"/>
        </row>
        <row r="9976">
          <cell r="A9976"/>
          <cell r="D9976"/>
          <cell r="E9976"/>
          <cell r="F9976"/>
          <cell r="G9976"/>
          <cell r="H9976"/>
          <cell r="I9976"/>
          <cell r="J9976"/>
          <cell r="L9976"/>
        </row>
        <row r="9977">
          <cell r="A9977"/>
          <cell r="D9977"/>
          <cell r="E9977"/>
          <cell r="F9977"/>
          <cell r="G9977"/>
          <cell r="H9977"/>
          <cell r="I9977"/>
          <cell r="J9977"/>
          <cell r="L9977"/>
        </row>
        <row r="9978">
          <cell r="A9978"/>
          <cell r="D9978"/>
          <cell r="E9978"/>
          <cell r="F9978"/>
          <cell r="G9978"/>
          <cell r="H9978"/>
          <cell r="I9978"/>
          <cell r="J9978"/>
          <cell r="L9978"/>
        </row>
        <row r="9979">
          <cell r="A9979"/>
          <cell r="D9979"/>
          <cell r="E9979"/>
          <cell r="F9979"/>
          <cell r="G9979"/>
          <cell r="H9979"/>
          <cell r="I9979"/>
          <cell r="J9979"/>
          <cell r="L9979"/>
        </row>
        <row r="9980">
          <cell r="A9980"/>
          <cell r="D9980"/>
          <cell r="E9980"/>
          <cell r="F9980"/>
          <cell r="G9980"/>
          <cell r="H9980"/>
          <cell r="I9980"/>
          <cell r="J9980"/>
          <cell r="L9980"/>
        </row>
        <row r="9981">
          <cell r="A9981"/>
          <cell r="D9981"/>
          <cell r="E9981"/>
          <cell r="F9981"/>
          <cell r="G9981"/>
          <cell r="H9981"/>
          <cell r="I9981"/>
          <cell r="J9981"/>
          <cell r="L9981"/>
        </row>
        <row r="9982">
          <cell r="A9982"/>
          <cell r="D9982"/>
          <cell r="E9982"/>
          <cell r="F9982"/>
          <cell r="G9982"/>
          <cell r="H9982"/>
          <cell r="I9982"/>
          <cell r="J9982"/>
          <cell r="L9982"/>
        </row>
        <row r="9983">
          <cell r="A9983"/>
          <cell r="D9983"/>
          <cell r="E9983"/>
          <cell r="F9983"/>
          <cell r="G9983"/>
          <cell r="H9983"/>
          <cell r="I9983"/>
          <cell r="J9983"/>
          <cell r="L9983"/>
        </row>
        <row r="9984">
          <cell r="A9984"/>
          <cell r="D9984"/>
          <cell r="E9984"/>
          <cell r="F9984"/>
          <cell r="G9984"/>
          <cell r="H9984"/>
          <cell r="I9984"/>
          <cell r="J9984"/>
          <cell r="L9984"/>
        </row>
        <row r="9985">
          <cell r="A9985"/>
          <cell r="D9985"/>
          <cell r="E9985"/>
          <cell r="F9985"/>
          <cell r="G9985"/>
          <cell r="H9985"/>
          <cell r="I9985"/>
          <cell r="J9985"/>
          <cell r="L9985"/>
        </row>
        <row r="9986">
          <cell r="A9986"/>
          <cell r="D9986"/>
          <cell r="E9986"/>
          <cell r="F9986"/>
          <cell r="G9986"/>
          <cell r="H9986"/>
          <cell r="I9986"/>
          <cell r="J9986"/>
          <cell r="L9986"/>
        </row>
        <row r="9987">
          <cell r="A9987"/>
          <cell r="D9987"/>
          <cell r="E9987"/>
          <cell r="F9987"/>
          <cell r="G9987"/>
          <cell r="H9987"/>
          <cell r="I9987"/>
          <cell r="J9987"/>
          <cell r="L9987"/>
        </row>
        <row r="9988">
          <cell r="A9988"/>
          <cell r="D9988"/>
          <cell r="E9988"/>
          <cell r="F9988"/>
          <cell r="G9988"/>
          <cell r="H9988"/>
          <cell r="I9988"/>
          <cell r="J9988"/>
          <cell r="L9988"/>
        </row>
        <row r="9989">
          <cell r="A9989"/>
          <cell r="D9989"/>
          <cell r="E9989"/>
          <cell r="F9989"/>
          <cell r="G9989"/>
          <cell r="H9989"/>
          <cell r="I9989"/>
          <cell r="J9989"/>
          <cell r="L9989"/>
        </row>
        <row r="9990">
          <cell r="A9990"/>
          <cell r="D9990"/>
          <cell r="E9990"/>
          <cell r="F9990"/>
          <cell r="G9990"/>
          <cell r="H9990"/>
          <cell r="I9990"/>
          <cell r="J9990"/>
          <cell r="L9990"/>
        </row>
        <row r="9991">
          <cell r="A9991"/>
          <cell r="D9991"/>
          <cell r="E9991"/>
          <cell r="F9991"/>
          <cell r="G9991"/>
          <cell r="H9991"/>
          <cell r="I9991"/>
          <cell r="J9991"/>
          <cell r="L9991"/>
        </row>
        <row r="9992">
          <cell r="A9992"/>
          <cell r="D9992"/>
          <cell r="E9992"/>
          <cell r="F9992"/>
          <cell r="G9992"/>
          <cell r="H9992"/>
          <cell r="I9992"/>
          <cell r="J9992"/>
          <cell r="L9992"/>
        </row>
        <row r="9993">
          <cell r="A9993"/>
          <cell r="D9993"/>
          <cell r="E9993"/>
          <cell r="F9993"/>
          <cell r="G9993"/>
          <cell r="H9993"/>
          <cell r="I9993"/>
          <cell r="J9993"/>
          <cell r="L9993"/>
        </row>
        <row r="9994">
          <cell r="A9994"/>
          <cell r="D9994"/>
          <cell r="E9994"/>
          <cell r="F9994"/>
          <cell r="G9994"/>
          <cell r="H9994"/>
          <cell r="I9994"/>
          <cell r="J9994"/>
          <cell r="L9994"/>
        </row>
        <row r="9995">
          <cell r="A9995"/>
          <cell r="D9995"/>
          <cell r="E9995"/>
          <cell r="F9995"/>
          <cell r="G9995"/>
          <cell r="H9995"/>
          <cell r="I9995"/>
          <cell r="J9995"/>
          <cell r="L9995"/>
        </row>
        <row r="9996">
          <cell r="A9996"/>
          <cell r="D9996"/>
          <cell r="E9996"/>
          <cell r="F9996"/>
          <cell r="G9996"/>
          <cell r="H9996"/>
          <cell r="I9996"/>
          <cell r="J9996"/>
          <cell r="L9996"/>
        </row>
        <row r="9997">
          <cell r="A9997"/>
          <cell r="D9997"/>
          <cell r="E9997"/>
          <cell r="F9997"/>
          <cell r="G9997"/>
          <cell r="H9997"/>
          <cell r="I9997"/>
          <cell r="J9997"/>
          <cell r="L9997"/>
        </row>
        <row r="9998">
          <cell r="A9998"/>
          <cell r="D9998"/>
          <cell r="E9998"/>
          <cell r="F9998"/>
          <cell r="G9998"/>
          <cell r="H9998"/>
          <cell r="I9998"/>
          <cell r="J9998"/>
          <cell r="L9998"/>
        </row>
        <row r="9999">
          <cell r="A9999"/>
          <cell r="D9999"/>
          <cell r="E9999"/>
          <cell r="F9999"/>
          <cell r="G9999"/>
          <cell r="H9999"/>
          <cell r="I9999"/>
          <cell r="J9999"/>
          <cell r="L9999"/>
        </row>
        <row r="10000">
          <cell r="A10000"/>
          <cell r="D10000"/>
          <cell r="E10000"/>
          <cell r="F10000"/>
          <cell r="G10000"/>
          <cell r="H10000"/>
          <cell r="I10000"/>
          <cell r="J10000"/>
          <cell r="L10000"/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ushant Kadam" id="{2EE14811-DACB-4C4C-B959-A0D5FF16B3FB}" userId="" providerId="google-sheets"/>
  <person displayName="Ganesh Dongare" id="{3F1B07EF-2365-41AB-8F80-5994863F538A}" userId="" providerId="google-sheets"/>
  <person displayName="Prashik Makhare" id="{8A249CAE-E665-4F0D-8B48-D94BA438E330}" userId="" providerId="google-sheets"/>
  <person displayName="Ganesh Dongare" id="{5FDB2FD8-0458-C141-8E07-1342BA3C76C7}" userId="S::ganesh.dongare@twobrothersindia.com::00c5e7eb-2c13-44c1-9f6c-b93d4c30e66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A70F8-E75F-4F41-8D01-C7D870FAB1B8}" name="Table1" displayName="Table1" ref="AU4:BH7" headerRowCount="0" totalsRowShown="0">
  <tableColumns count="14">
    <tableColumn id="1" xr3:uid="{A688DD0B-1909-4616-ABEC-5772CFC227C7}" name="Column1" dataDxfId="2">
      <calculatedColumnFormula>AF4</calculatedColumnFormula>
    </tableColumn>
    <tableColumn id="2" xr3:uid="{D3DCF1B3-D8E9-485C-9532-89B0E7FBC451}" name="Column2">
      <calculatedColumnFormula>AG4</calculatedColumnFormula>
    </tableColumn>
    <tableColumn id="3" xr3:uid="{B049785B-9BD9-4DF5-80DE-8C3AC4432815}" name="Column3">
      <calculatedColumnFormula>AH4</calculatedColumnFormula>
    </tableColumn>
    <tableColumn id="4" xr3:uid="{FC43B5D1-4346-4F8E-9F3F-8FE1157DF6D3}" name="Column4">
      <calculatedColumnFormula>AI4</calculatedColumnFormula>
    </tableColumn>
    <tableColumn id="5" xr3:uid="{107564BD-EA9E-4A56-95A9-878BA201FDFE}" name="Column5">
      <calculatedColumnFormula>AJ4</calculatedColumnFormula>
    </tableColumn>
    <tableColumn id="6" xr3:uid="{645F5069-933D-458C-BAC6-A46C9FADD331}" name="Column6">
      <calculatedColumnFormula>AK4</calculatedColumnFormula>
    </tableColumn>
    <tableColumn id="7" xr3:uid="{759B9373-BD1B-44AB-AAB5-A8C4831567E3}" name="Column7">
      <calculatedColumnFormula>AL4</calculatedColumnFormula>
    </tableColumn>
    <tableColumn id="8" xr3:uid="{B26E8653-E51F-482B-951F-E40988568C86}" name="Column8">
      <calculatedColumnFormula>AM4</calculatedColumnFormula>
    </tableColumn>
    <tableColumn id="9" xr3:uid="{F00E35B2-A596-46E9-BECD-74A754CA816E}" name="Column9">
      <calculatedColumnFormula>AN4</calculatedColumnFormula>
    </tableColumn>
    <tableColumn id="10" xr3:uid="{AF90B3DF-27E5-458C-B091-0F24496779CC}" name="Column10">
      <calculatedColumnFormula>AO4</calculatedColumnFormula>
    </tableColumn>
    <tableColumn id="11" xr3:uid="{46D597CC-7B62-44FD-826C-4E4427B0F2B4}" name="Column11">
      <calculatedColumnFormula>AP4</calculatedColumnFormula>
    </tableColumn>
    <tableColumn id="12" xr3:uid="{73E79C54-F787-4231-B9F3-51EE202057F5}" name="Column12">
      <calculatedColumnFormula>AQ4</calculatedColumnFormula>
    </tableColumn>
    <tableColumn id="13" xr3:uid="{FAE74EC8-F8B4-4225-A51D-0CD9DBBD4443}" name="Column13">
      <calculatedColumnFormula>AR4</calculatedColumnFormula>
    </tableColumn>
    <tableColumn id="14" xr3:uid="{22BD8F28-69D3-499A-A2D7-B5C743E93902}" name="Column14">
      <calculatedColumnFormula>AS4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BE4339-317A-4D11-B235-97B2EDB713AD}" name="Table2" displayName="Table2" ref="AU12:BH15" headerRowCount="0" totalsRowShown="0">
  <tableColumns count="14">
    <tableColumn id="1" xr3:uid="{4F8C446A-51D9-43C8-88C4-9CF318DA5D9B}" name="Column1" dataDxfId="1">
      <calculatedColumnFormula>AF12</calculatedColumnFormula>
    </tableColumn>
    <tableColumn id="2" xr3:uid="{2264A876-EDB4-4D39-B18E-A338D1118D05}" name="Column2">
      <calculatedColumnFormula>AG12</calculatedColumnFormula>
    </tableColumn>
    <tableColumn id="3" xr3:uid="{75AB6AF1-B7D4-448C-82CF-6C200EB76D50}" name="Column3">
      <calculatedColumnFormula>AH12</calculatedColumnFormula>
    </tableColumn>
    <tableColumn id="4" xr3:uid="{E19494CF-2DFA-4F39-8540-09BF3D4E12EE}" name="Column4">
      <calculatedColumnFormula>AI12</calculatedColumnFormula>
    </tableColumn>
    <tableColumn id="5" xr3:uid="{43306F6A-983F-46C8-A25B-16B9E8B4CB3A}" name="Column5">
      <calculatedColumnFormula>AJ12</calculatedColumnFormula>
    </tableColumn>
    <tableColumn id="6" xr3:uid="{AA2523B8-6F67-4318-BE56-66ACFD7FFA6C}" name="Column6">
      <calculatedColumnFormula>AK12</calculatedColumnFormula>
    </tableColumn>
    <tableColumn id="7" xr3:uid="{A2EEE9F4-C77E-42E4-BA2D-59AB6E527E05}" name="Column7">
      <calculatedColumnFormula>AL12</calculatedColumnFormula>
    </tableColumn>
    <tableColumn id="8" xr3:uid="{D2BC0D4E-1754-493B-B220-4C505A401D10}" name="Column8">
      <calculatedColumnFormula>AM12</calculatedColumnFormula>
    </tableColumn>
    <tableColumn id="9" xr3:uid="{293A3293-318D-447D-A2C5-AC52A5BE6464}" name="Column9">
      <calculatedColumnFormula>AN12</calculatedColumnFormula>
    </tableColumn>
    <tableColumn id="10" xr3:uid="{DE905983-949C-49BA-839E-0E653E5990AC}" name="Column10">
      <calculatedColumnFormula>AO12</calculatedColumnFormula>
    </tableColumn>
    <tableColumn id="11" xr3:uid="{4472443D-F296-46FD-9F09-71AECA101A08}" name="Column11">
      <calculatedColumnFormula>AP12</calculatedColumnFormula>
    </tableColumn>
    <tableColumn id="12" xr3:uid="{7D79C57D-F16E-4F39-B3C1-CCC673EF39FD}" name="Column12">
      <calculatedColumnFormula>AQ12</calculatedColumnFormula>
    </tableColumn>
    <tableColumn id="13" xr3:uid="{F51C8803-CA4D-4524-BCC3-46E0482F074B}" name="Column13">
      <calculatedColumnFormula>AR12</calculatedColumnFormula>
    </tableColumn>
    <tableColumn id="14" xr3:uid="{12830A60-D408-405F-B74E-71825C840C68}" name="Column14">
      <calculatedColumnFormula>AS12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63FA3E-5C72-480D-A03A-8D7C08614109}" name="Table3" displayName="Table3" ref="AU22:BF24" headerRowCount="0" totalsRowShown="0">
  <tableColumns count="12">
    <tableColumn id="1" xr3:uid="{250F770B-6AF1-428F-872C-F053654BCE1C}" name="Column1" dataDxfId="0">
      <calculatedColumnFormula>AF22</calculatedColumnFormula>
    </tableColumn>
    <tableColumn id="2" xr3:uid="{A0E53A1B-9993-4B53-B33E-D9A1EBDA2450}" name="Column2">
      <calculatedColumnFormula>AG22</calculatedColumnFormula>
    </tableColumn>
    <tableColumn id="3" xr3:uid="{BDEED38C-9E97-4236-B83B-E6C29E9334A5}" name="Column3">
      <calculatedColumnFormula>AH22</calculatedColumnFormula>
    </tableColumn>
    <tableColumn id="4" xr3:uid="{71AB4A3E-E85E-47A6-AFE4-193D31D193E0}" name="Column4">
      <calculatedColumnFormula>AI22</calculatedColumnFormula>
    </tableColumn>
    <tableColumn id="5" xr3:uid="{D5EDEF4E-5E5B-4A1C-B86E-8E2A2A074BEC}" name="Column5">
      <calculatedColumnFormula>AJ22</calculatedColumnFormula>
    </tableColumn>
    <tableColumn id="6" xr3:uid="{220BFFA8-B378-4C95-BDC1-C454F50F851F}" name="Column6">
      <calculatedColumnFormula>AK22</calculatedColumnFormula>
    </tableColumn>
    <tableColumn id="7" xr3:uid="{319C72A2-457C-499E-835E-F829CBCB2FBF}" name="Column7">
      <calculatedColumnFormula>AL22</calculatedColumnFormula>
    </tableColumn>
    <tableColumn id="8" xr3:uid="{F716E9A8-9123-4811-BDE9-7B050DB01E55}" name="Column8">
      <calculatedColumnFormula>AM22</calculatedColumnFormula>
    </tableColumn>
    <tableColumn id="9" xr3:uid="{148B7CE7-6098-4209-9BBC-232D362FA376}" name="Column9">
      <calculatedColumnFormula>AN22</calculatedColumnFormula>
    </tableColumn>
    <tableColumn id="10" xr3:uid="{0352DE03-812F-4A9F-B2ED-D968F2CFC50A}" name="Column10">
      <calculatedColumnFormula>AO22</calculatedColumnFormula>
    </tableColumn>
    <tableColumn id="11" xr3:uid="{3B2DD751-FE6C-4715-A626-68FC63EFDBE3}" name="Column11">
      <calculatedColumnFormula>AP22</calculatedColumnFormula>
    </tableColumn>
    <tableColumn id="12" xr3:uid="{50E91C90-E112-4041-87DE-E188257804B3}" name="Column12">
      <calculatedColumnFormula>AQ22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67" dT="2026-02-13T06:22:16.00" personId="{2EE14811-DACB-4C4C-B959-A0D5FF16B3FB}" id="{199720D4-312B-4624-9516-B422DE8F80B7}">
    <text>10000 Batch start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38" dT="2026-02-15T10:47:15.00" personId="{8A249CAE-E665-4F0D-8B48-D94BA438E330}" id="{3F5A41BE-2C8E-4FC7-88BE-910343E3E6DD}" done="1">
    <text>MO ganesh sirani marla ahe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13" dT="2026-03-15T12:28:07.00" personId="{2EE14811-DACB-4C4C-B959-A0D5FF16B3FB}" id="{EA9363B1-C053-4B2F-BD92-53795223FDB6}">
    <text>MO Done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6-05-31T06:31:03.00" personId="{3F1B07EF-2365-41AB-8F80-5994863F538A}" id="{70093731-CF82-420A-AAA5-196D21AAE8F0}">
    <text>RM NOT STY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34" dT="2026-09-02T10:10:06.90" personId="{5FDB2FD8-0458-C141-8E07-1342BA3C76C7}" id="{DD781288-5941-4499-AF1F-F700FBB578BB}">
    <text>CHAKKI NO 5 SEIVE CHENGE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9DFD-C37E-4EE7-B381-5FCF88B5014A}">
  <sheetPr>
    <tabColor rgb="FF7030A0"/>
  </sheetPr>
  <dimension ref="A1:Q627"/>
  <sheetViews>
    <sheetView topLeftCell="A20" workbookViewId="0">
      <selection activeCell="B41" sqref="B41"/>
    </sheetView>
  </sheetViews>
  <sheetFormatPr defaultRowHeight="12.75"/>
  <cols>
    <col min="1" max="1" width="21.85546875" customWidth="1"/>
    <col min="2" max="2" width="15.28515625" customWidth="1"/>
    <col min="3" max="3" width="21" customWidth="1"/>
    <col min="4" max="4" width="19" customWidth="1"/>
    <col min="5" max="5" width="25.7109375" customWidth="1"/>
    <col min="6" max="13" width="15.5703125" customWidth="1"/>
    <col min="14" max="14" width="13.7109375" customWidth="1"/>
    <col min="15" max="17" width="16.7109375" customWidth="1"/>
  </cols>
  <sheetData>
    <row r="1" spans="1:17" ht="27.75" customHeight="1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</row>
    <row r="2" spans="1:17" ht="27.75" customHeight="1">
      <c r="A2" s="258"/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</row>
    <row r="3" spans="1:17" ht="20.25" customHeight="1">
      <c r="A3" s="259" t="str">
        <f ca="1">"Live production overview  •  "&amp;TEXT(MIN(_xlfn.CHOOSECOLS(_xlfn.ANCHORARRAY(Automation!$B$2),2)),"dd-mmm-yy")&amp;" to "&amp;TEXT(MAX(_xlfn.CHOOSECOLS(_xlfn.ANCHORARRAY(Automation!$B$2),2)),"dd-mmm-yy")&amp;"  •  "&amp;COUNTA(Automation!$A$2:$A$50)&amp;" registered source sheets"</f>
        <v>Live production overview  •  02-Jan-26 to 12-Oct-26  •  18 registered source sheets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</row>
    <row r="4" spans="1:17" ht="13.5">
      <c r="A4" s="212"/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</row>
    <row r="5" spans="1:17" ht="21.75" customHeight="1">
      <c r="A5" s="260" t="s">
        <v>1</v>
      </c>
      <c r="B5" s="260"/>
      <c r="C5" s="260"/>
      <c r="D5" s="260" t="s">
        <v>2</v>
      </c>
      <c r="E5" s="260"/>
      <c r="F5" s="260"/>
      <c r="G5" s="260" t="s">
        <v>3</v>
      </c>
      <c r="H5" s="260"/>
      <c r="I5" s="260"/>
      <c r="J5" s="260" t="s">
        <v>4</v>
      </c>
      <c r="K5" s="260"/>
      <c r="L5" s="260"/>
      <c r="M5" s="260" t="s">
        <v>5</v>
      </c>
      <c r="N5" s="260"/>
      <c r="O5" s="260"/>
      <c r="P5" s="260"/>
      <c r="Q5" s="260"/>
    </row>
    <row r="6" spans="1:17" ht="27" customHeight="1">
      <c r="A6" s="261">
        <f ca="1">SUBTOTAL(109,F42:F5000)</f>
        <v>2126566.2999999998</v>
      </c>
      <c r="B6" s="261"/>
      <c r="C6" s="261"/>
      <c r="D6" s="261">
        <f ca="1">SUBTOTAL(109,L42:L5000)</f>
        <v>1975211.2999999998</v>
      </c>
      <c r="E6" s="261"/>
      <c r="F6" s="261"/>
      <c r="G6" s="262">
        <f ca="1">IFERROR(D6/A6,0)</f>
        <v>0.92882657832017745</v>
      </c>
      <c r="H6" s="262"/>
      <c r="I6" s="262"/>
      <c r="J6" s="261">
        <f ca="1">SUBTOTAL(109,K42:K5000)</f>
        <v>151632.70000000001</v>
      </c>
      <c r="K6" s="261"/>
      <c r="L6" s="261"/>
      <c r="M6" s="263">
        <f ca="1">SUBTOTAL(103,A42:A5000)</f>
        <v>586</v>
      </c>
      <c r="N6" s="263"/>
      <c r="O6" s="263"/>
      <c r="P6" s="263"/>
      <c r="Q6" s="263"/>
    </row>
    <row r="7" spans="1:17" ht="27" customHeight="1">
      <c r="A7" s="261"/>
      <c r="B7" s="261"/>
      <c r="C7" s="261"/>
      <c r="D7" s="261"/>
      <c r="E7" s="261"/>
      <c r="F7" s="261"/>
      <c r="G7" s="262"/>
      <c r="H7" s="262"/>
      <c r="I7" s="262"/>
      <c r="J7" s="261"/>
      <c r="K7" s="261"/>
      <c r="L7" s="261"/>
      <c r="M7" s="263"/>
      <c r="N7" s="263"/>
      <c r="O7" s="263"/>
      <c r="P7" s="263"/>
      <c r="Q7" s="263"/>
    </row>
    <row r="8" spans="1:17" ht="21.75" customHeight="1">
      <c r="A8" s="254" t="s">
        <v>6</v>
      </c>
      <c r="B8" s="254"/>
      <c r="C8" s="254"/>
      <c r="D8" s="254" t="s">
        <v>7</v>
      </c>
      <c r="E8" s="254"/>
      <c r="F8" s="254"/>
      <c r="G8" s="254" t="s">
        <v>8</v>
      </c>
      <c r="H8" s="254"/>
      <c r="I8" s="254"/>
      <c r="J8" s="254" t="s">
        <v>9</v>
      </c>
      <c r="K8" s="254"/>
      <c r="L8" s="254"/>
      <c r="M8" s="254" t="s">
        <v>10</v>
      </c>
      <c r="N8" s="254"/>
      <c r="O8" s="254"/>
      <c r="P8" s="254"/>
      <c r="Q8" s="254"/>
    </row>
    <row r="9" spans="1:17" ht="30" customHeight="1">
      <c r="A9" s="255">
        <f ca="1">SUBTOTAL(109,G42:G5000)</f>
        <v>12158.8</v>
      </c>
      <c r="B9" s="256"/>
      <c r="C9" s="256"/>
      <c r="D9" s="255">
        <f ca="1">SUBTOTAL(109,H42:H5000)</f>
        <v>55939.420000000006</v>
      </c>
      <c r="E9" s="256"/>
      <c r="F9" s="256"/>
      <c r="G9" s="255">
        <f ca="1">SUBTOTAL(109,I42:I5000)</f>
        <v>6014.68</v>
      </c>
      <c r="H9" s="256"/>
      <c r="I9" s="256"/>
      <c r="J9" s="255">
        <f ca="1">SUBTOTAL(109,J42:J5000)</f>
        <v>77883.8</v>
      </c>
      <c r="K9" s="256"/>
      <c r="L9" s="256"/>
      <c r="M9" s="257">
        <f ca="1">IFERROR(J6/A6,0)</f>
        <v>7.1304007780053705E-2</v>
      </c>
      <c r="N9" s="256"/>
      <c r="O9" s="256"/>
      <c r="P9" s="256"/>
      <c r="Q9" s="256"/>
    </row>
    <row r="10" spans="1:17" ht="21.75" customHeight="1">
      <c r="A10" s="318" t="s">
        <v>11</v>
      </c>
      <c r="B10" s="318"/>
      <c r="C10" s="318"/>
      <c r="D10" s="318"/>
      <c r="E10" s="318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</row>
    <row r="11" spans="1:17" ht="21.75" customHeight="1">
      <c r="A11" s="213" t="s">
        <v>12</v>
      </c>
      <c r="B11" s="213" t="s">
        <v>13</v>
      </c>
      <c r="C11" s="213" t="s">
        <v>14</v>
      </c>
      <c r="D11" s="213" t="s">
        <v>15</v>
      </c>
      <c r="E11" s="213" t="s">
        <v>16</v>
      </c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</row>
    <row r="12" spans="1:17" ht="13.5">
      <c r="A12" s="214">
        <v>46023</v>
      </c>
      <c r="B12" s="215" cm="1">
        <f t="array" aca="1" ref="B12" ca="1">SUM(_xlfn._xlws.FILTER(_xlfn.CHOOSECOLS(_xlfn.ANCHORARRAY(Automation!$B$2),6),(_xlfn.CHOOSECOLS(_xlfn.ANCHORARRAY(Automation!$B$2),2)&gt;=A12)*(_xlfn.CHOOSECOLS(_xlfn.ANCHORARRAY(Automation!$B$2),2)&lt;EDATE(A12,1)),0))</f>
        <v>222831.94</v>
      </c>
      <c r="C12" s="215" cm="1">
        <f t="array" aca="1" ref="C12" ca="1">SUM(_xlfn._xlws.FILTER(_xlfn.CHOOSECOLS(_xlfn.ANCHORARRAY(Automation!$B$2),12),(_xlfn.CHOOSECOLS(_xlfn.ANCHORARRAY(Automation!$B$2),2)&gt;=A12)*(_xlfn.CHOOSECOLS(_xlfn.ANCHORARRAY(Automation!$B$2),2)&lt;EDATE(A12,1)),0))</f>
        <v>206866</v>
      </c>
      <c r="D12" s="215" cm="1">
        <f t="array" aca="1" ref="D12" ca="1">SUM(_xlfn._xlws.FILTER(_xlfn.CHOOSECOLS(_xlfn.ANCHORARRAY(Automation!$B$2),11),(_xlfn.CHOOSECOLS(_xlfn.ANCHORARRAY(Automation!$B$2),2)&gt;=A12)*(_xlfn.CHOOSECOLS(_xlfn.ANCHORARRAY(Automation!$B$2),2)&lt;EDATE(A12,1)),0))</f>
        <v>16009.94</v>
      </c>
      <c r="E12" s="216">
        <f ca="1">IFERROR(C12/B12,0)</f>
        <v>0.9283498586423472</v>
      </c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</row>
    <row r="13" spans="1:17" ht="13.5">
      <c r="A13" s="214">
        <v>46054</v>
      </c>
      <c r="B13" s="215" cm="1">
        <f t="array" aca="1" ref="B13" ca="1">SUM(_xlfn._xlws.FILTER(_xlfn.CHOOSECOLS(_xlfn.ANCHORARRAY(Automation!$B$2),6),(_xlfn.CHOOSECOLS(_xlfn.ANCHORARRAY(Automation!$B$2),2)&gt;=A13)*(_xlfn.CHOOSECOLS(_xlfn.ANCHORARRAY(Automation!$B$2),2)&lt;EDATE(A13,1)),0))</f>
        <v>203017.28</v>
      </c>
      <c r="C13" s="215" cm="1">
        <f t="array" aca="1" ref="C13" ca="1">SUM(_xlfn._xlws.FILTER(_xlfn.CHOOSECOLS(_xlfn.ANCHORARRAY(Automation!$B$2),12),(_xlfn.CHOOSECOLS(_xlfn.ANCHORARRAY(Automation!$B$2),2)&gt;=A13)*(_xlfn.CHOOSECOLS(_xlfn.ANCHORARRAY(Automation!$B$2),2)&lt;EDATE(A13,1)),0))</f>
        <v>188374.3</v>
      </c>
      <c r="D13" s="215" cm="1">
        <f t="array" aca="1" ref="D13" ca="1">SUM(_xlfn._xlws.FILTER(_xlfn.CHOOSECOLS(_xlfn.ANCHORARRAY(Automation!$B$2),11),(_xlfn.CHOOSECOLS(_xlfn.ANCHORARRAY(Automation!$B$2),2)&gt;=A13)*(_xlfn.CHOOSECOLS(_xlfn.ANCHORARRAY(Automation!$B$2),2)&lt;EDATE(A13,1)),0))</f>
        <v>14642.980000000001</v>
      </c>
      <c r="E13" s="216">
        <f t="shared" ref="E13:E23" ca="1" si="0">IFERROR(C13/B13,0)</f>
        <v>0.92787323325383919</v>
      </c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</row>
    <row r="14" spans="1:17" ht="13.5">
      <c r="A14" s="214">
        <v>46082</v>
      </c>
      <c r="B14" s="215" cm="1">
        <f t="array" aca="1" ref="B14" ca="1">SUM(_xlfn._xlws.FILTER(_xlfn.CHOOSECOLS(_xlfn.ANCHORARRAY(Automation!$B$2),6),(_xlfn.CHOOSECOLS(_xlfn.ANCHORARRAY(Automation!$B$2),2)&gt;=A14)*(_xlfn.CHOOSECOLS(_xlfn.ANCHORARRAY(Automation!$B$2),2)&lt;EDATE(A14,1)),0))</f>
        <v>127840</v>
      </c>
      <c r="C14" s="215" cm="1">
        <f t="array" aca="1" ref="C14" ca="1">SUM(_xlfn._xlws.FILTER(_xlfn.CHOOSECOLS(_xlfn.ANCHORARRAY(Automation!$B$2),12),(_xlfn.CHOOSECOLS(_xlfn.ANCHORARRAY(Automation!$B$2),2)&gt;=A14)*(_xlfn.CHOOSECOLS(_xlfn.ANCHORARRAY(Automation!$B$2),2)&lt;EDATE(A14,1)),0))</f>
        <v>120427.6</v>
      </c>
      <c r="D14" s="215" cm="1">
        <f t="array" aca="1" ref="D14" ca="1">SUM(_xlfn._xlws.FILTER(_xlfn.CHOOSECOLS(_xlfn.ANCHORARRAY(Automation!$B$2),11),(_xlfn.CHOOSECOLS(_xlfn.ANCHORARRAY(Automation!$B$2),2)&gt;=A14)*(_xlfn.CHOOSECOLS(_xlfn.ANCHORARRAY(Automation!$B$2),2)&lt;EDATE(A14,1)),0))</f>
        <v>7677.1</v>
      </c>
      <c r="E14" s="216">
        <f t="shared" ca="1" si="0"/>
        <v>0.94201814768460579</v>
      </c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</row>
    <row r="15" spans="1:17" ht="13.5">
      <c r="A15" s="214">
        <v>46113</v>
      </c>
      <c r="B15" s="215" cm="1">
        <f t="array" aca="1" ref="B15" ca="1">SUM(_xlfn._xlws.FILTER(_xlfn.CHOOSECOLS(_xlfn.ANCHORARRAY(Automation!$B$2),6),(_xlfn.CHOOSECOLS(_xlfn.ANCHORARRAY(Automation!$B$2),2)&gt;=A15)*(_xlfn.CHOOSECOLS(_xlfn.ANCHORARRAY(Automation!$B$2),2)&lt;EDATE(A15,1)),0))</f>
        <v>212986</v>
      </c>
      <c r="C15" s="215" cm="1">
        <f t="array" aca="1" ref="C15" ca="1">SUM(_xlfn._xlws.FILTER(_xlfn.CHOOSECOLS(_xlfn.ANCHORARRAY(Automation!$B$2),12),(_xlfn.CHOOSECOLS(_xlfn.ANCHORARRAY(Automation!$B$2),2)&gt;=A15)*(_xlfn.CHOOSECOLS(_xlfn.ANCHORARRAY(Automation!$B$2),2)&lt;EDATE(A15,1)),0))</f>
        <v>197138</v>
      </c>
      <c r="D15" s="215" cm="1">
        <f t="array" aca="1" ref="D15" ca="1">SUM(_xlfn._xlws.FILTER(_xlfn.CHOOSECOLS(_xlfn.ANCHORARRAY(Automation!$B$2),11),(_xlfn.CHOOSECOLS(_xlfn.ANCHORARRAY(Automation!$B$2),2)&gt;=A15)*(_xlfn.CHOOSECOLS(_xlfn.ANCHORARRAY(Automation!$B$2),2)&lt;EDATE(A15,1)),0))</f>
        <v>15949</v>
      </c>
      <c r="E15" s="216">
        <f t="shared" ca="1" si="0"/>
        <v>0.92559135342229071</v>
      </c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</row>
    <row r="16" spans="1:17" ht="13.5">
      <c r="A16" s="214">
        <v>46143</v>
      </c>
      <c r="B16" s="215" cm="1">
        <f t="array" aca="1" ref="B16" ca="1">SUM(_xlfn._xlws.FILTER(_xlfn.CHOOSECOLS(_xlfn.ANCHORARRAY(Automation!$B$2),6),(_xlfn.CHOOSECOLS(_xlfn.ANCHORARRAY(Automation!$B$2),2)&gt;=A16)*(_xlfn.CHOOSECOLS(_xlfn.ANCHORARRAY(Automation!$B$2),2)&lt;EDATE(A16,1)),0))</f>
        <v>194211</v>
      </c>
      <c r="C16" s="215" cm="1">
        <f t="array" aca="1" ref="C16" ca="1">SUM(_xlfn._xlws.FILTER(_xlfn.CHOOSECOLS(_xlfn.ANCHORARRAY(Automation!$B$2),12),(_xlfn.CHOOSECOLS(_xlfn.ANCHORARRAY(Automation!$B$2),2)&gt;=A16)*(_xlfn.CHOOSECOLS(_xlfn.ANCHORARRAY(Automation!$B$2),2)&lt;EDATE(A16,1)),0))</f>
        <v>180921.4</v>
      </c>
      <c r="D16" s="215" cm="1">
        <f t="array" aca="1" ref="D16" ca="1">SUM(_xlfn._xlws.FILTER(_xlfn.CHOOSECOLS(_xlfn.ANCHORARRAY(Automation!$B$2),11),(_xlfn.CHOOSECOLS(_xlfn.ANCHORARRAY(Automation!$B$2),2)&gt;=A16)*(_xlfn.CHOOSECOLS(_xlfn.ANCHORARRAY(Automation!$B$2),2)&lt;EDATE(A16,1)),0))</f>
        <v>13287.6</v>
      </c>
      <c r="E16" s="216">
        <f t="shared" ca="1" si="0"/>
        <v>0.93157133221084276</v>
      </c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</row>
    <row r="17" spans="1:17" ht="13.5">
      <c r="A17" s="214">
        <v>46174</v>
      </c>
      <c r="B17" s="215" cm="1">
        <f t="array" aca="1" ref="B17" ca="1">SUM(_xlfn._xlws.FILTER(_xlfn.CHOOSECOLS(_xlfn.ANCHORARRAY(Automation!$B$2),6),(_xlfn.CHOOSECOLS(_xlfn.ANCHORARRAY(Automation!$B$2),2)&gt;=A17)*(_xlfn.CHOOSECOLS(_xlfn.ANCHORARRAY(Automation!$B$2),2)&lt;EDATE(A17,1)),0))</f>
        <v>170858.78</v>
      </c>
      <c r="C17" s="215" cm="1">
        <f t="array" aca="1" ref="C17" ca="1">SUM(_xlfn._xlws.FILTER(_xlfn.CHOOSECOLS(_xlfn.ANCHORARRAY(Automation!$B$2),12),(_xlfn.CHOOSECOLS(_xlfn.ANCHORARRAY(Automation!$B$2),2)&gt;=A17)*(_xlfn.CHOOSECOLS(_xlfn.ANCHORARRAY(Automation!$B$2),2)&lt;EDATE(A17,1)),0))</f>
        <v>158518</v>
      </c>
      <c r="D17" s="215" cm="1">
        <f t="array" aca="1" ref="D17" ca="1">SUM(_xlfn._xlws.FILTER(_xlfn.CHOOSECOLS(_xlfn.ANCHORARRAY(Automation!$B$2),11),(_xlfn.CHOOSECOLS(_xlfn.ANCHORARRAY(Automation!$B$2),2)&gt;=A17)*(_xlfn.CHOOSECOLS(_xlfn.ANCHORARRAY(Automation!$B$2),2)&lt;EDATE(A17,1)),0))</f>
        <v>12340.779999999999</v>
      </c>
      <c r="E17" s="216">
        <f t="shared" ca="1" si="0"/>
        <v>0.92777204659895152</v>
      </c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</row>
    <row r="18" spans="1:17" ht="13.5">
      <c r="A18" s="214">
        <v>46204</v>
      </c>
      <c r="B18" s="215" cm="1">
        <f t="array" aca="1" ref="B18" ca="1">SUM(_xlfn._xlws.FILTER(_xlfn.CHOOSECOLS(_xlfn.ANCHORARRAY(Automation!$B$2),6),(_xlfn.CHOOSECOLS(_xlfn.ANCHORARRAY(Automation!$B$2),2)&gt;=A18)*(_xlfn.CHOOSECOLS(_xlfn.ANCHORARRAY(Automation!$B$2),2)&lt;EDATE(A18,1)),0))</f>
        <v>224350.5</v>
      </c>
      <c r="C18" s="215" cm="1">
        <f t="array" aca="1" ref="C18" ca="1">SUM(_xlfn._xlws.FILTER(_xlfn.CHOOSECOLS(_xlfn.ANCHORARRAY(Automation!$B$2),12),(_xlfn.CHOOSECOLS(_xlfn.ANCHORARRAY(Automation!$B$2),2)&gt;=A18)*(_xlfn.CHOOSECOLS(_xlfn.ANCHORARRAY(Automation!$B$2),2)&lt;EDATE(A18,1)),0))</f>
        <v>206773</v>
      </c>
      <c r="D18" s="215" cm="1">
        <f t="array" aca="1" ref="D18" ca="1">SUM(_xlfn._xlws.FILTER(_xlfn.CHOOSECOLS(_xlfn.ANCHORARRAY(Automation!$B$2),11),(_xlfn.CHOOSECOLS(_xlfn.ANCHORARRAY(Automation!$B$2),2)&gt;=A18)*(_xlfn.CHOOSECOLS(_xlfn.ANCHORARRAY(Automation!$B$2),2)&lt;EDATE(A18,1)),0))</f>
        <v>17577.5</v>
      </c>
      <c r="E18" s="216">
        <f t="shared" ca="1" si="0"/>
        <v>0.92165161209803415</v>
      </c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</row>
    <row r="19" spans="1:17" ht="13.5">
      <c r="A19" s="214">
        <v>46235</v>
      </c>
      <c r="B19" s="215" cm="1">
        <f t="array" aca="1" ref="B19" ca="1">SUM(_xlfn._xlws.FILTER(_xlfn.CHOOSECOLS(_xlfn.ANCHORARRAY(Automation!$B$2),6),(_xlfn.CHOOSECOLS(_xlfn.ANCHORARRAY(Automation!$B$2),2)&gt;=A19)*(_xlfn.CHOOSECOLS(_xlfn.ANCHORARRAY(Automation!$B$2),2)&lt;EDATE(A19,1)),0))</f>
        <v>299859</v>
      </c>
      <c r="C19" s="215" cm="1">
        <f t="array" aca="1" ref="C19" ca="1">SUM(_xlfn._xlws.FILTER(_xlfn.CHOOSECOLS(_xlfn.ANCHORARRAY(Automation!$B$2),12),(_xlfn.CHOOSECOLS(_xlfn.ANCHORARRAY(Automation!$B$2),2)&gt;=A19)*(_xlfn.CHOOSECOLS(_xlfn.ANCHORARRAY(Automation!$B$2),2)&lt;EDATE(A19,1)),0))</f>
        <v>277493</v>
      </c>
      <c r="D19" s="215" cm="1">
        <f t="array" aca="1" ref="D19" ca="1">SUM(_xlfn._xlws.FILTER(_xlfn.CHOOSECOLS(_xlfn.ANCHORARRAY(Automation!$B$2),11),(_xlfn.CHOOSECOLS(_xlfn.ANCHORARRAY(Automation!$B$2),2)&gt;=A19)*(_xlfn.CHOOSECOLS(_xlfn.ANCHORARRAY(Automation!$B$2),2)&lt;EDATE(A19,1)),0))</f>
        <v>22366</v>
      </c>
      <c r="E19" s="216">
        <f t="shared" ca="1" si="0"/>
        <v>0.92541161012342465</v>
      </c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</row>
    <row r="20" spans="1:17" ht="13.5">
      <c r="A20" s="214">
        <v>46266</v>
      </c>
      <c r="B20" s="215" cm="1">
        <f t="array" aca="1" ref="B20" ca="1">SUM(_xlfn._xlws.FILTER(_xlfn.CHOOSECOLS(_xlfn.ANCHORARRAY(Automation!$B$2),6),(_xlfn.CHOOSECOLS(_xlfn.ANCHORARRAY(Automation!$B$2),2)&gt;=A20)*(_xlfn.CHOOSECOLS(_xlfn.ANCHORARRAY(Automation!$B$2),2)&lt;EDATE(A20,1)),0))</f>
        <v>342414.3</v>
      </c>
      <c r="C20" s="215" cm="1">
        <f t="array" aca="1" ref="C20" ca="1">SUM(_xlfn._xlws.FILTER(_xlfn.CHOOSECOLS(_xlfn.ANCHORARRAY(Automation!$B$2),12),(_xlfn.CHOOSECOLS(_xlfn.ANCHORARRAY(Automation!$B$2),2)&gt;=A20)*(_xlfn.CHOOSECOLS(_xlfn.ANCHORARRAY(Automation!$B$2),2)&lt;EDATE(A20,1)),0))</f>
        <v>319559</v>
      </c>
      <c r="D20" s="215" cm="1">
        <f t="array" aca="1" ref="D20" ca="1">SUM(_xlfn._xlws.FILTER(_xlfn.CHOOSECOLS(_xlfn.ANCHORARRAY(Automation!$B$2),11),(_xlfn.CHOOSECOLS(_xlfn.ANCHORARRAY(Automation!$B$2),2)&gt;=A20)*(_xlfn.CHOOSECOLS(_xlfn.ANCHORARRAY(Automation!$B$2),2)&lt;EDATE(A20,1)),0))</f>
        <v>22725.3</v>
      </c>
      <c r="E20" s="216">
        <f t="shared" ca="1" si="0"/>
        <v>0.9332524955879471</v>
      </c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</row>
    <row r="21" spans="1:17" ht="13.5">
      <c r="A21" s="214">
        <v>46296</v>
      </c>
      <c r="B21" s="215" cm="1">
        <f t="array" aca="1" ref="B21" ca="1">SUM(_xlfn._xlws.FILTER(_xlfn.CHOOSECOLS(_xlfn.ANCHORARRAY(Automation!$B$2),6),(_xlfn.CHOOSECOLS(_xlfn.ANCHORARRAY(Automation!$B$2),2)&gt;=A21)*(_xlfn.CHOOSECOLS(_xlfn.ANCHORARRAY(Automation!$B$2),2)&lt;EDATE(A21,1)),0))</f>
        <v>128197.5</v>
      </c>
      <c r="C21" s="215" cm="1">
        <f t="array" aca="1" ref="C21" ca="1">SUM(_xlfn._xlws.FILTER(_xlfn.CHOOSECOLS(_xlfn.ANCHORARRAY(Automation!$B$2),12),(_xlfn.CHOOSECOLS(_xlfn.ANCHORARRAY(Automation!$B$2),2)&gt;=A21)*(_xlfn.CHOOSECOLS(_xlfn.ANCHORARRAY(Automation!$B$2),2)&lt;EDATE(A21,1)),0))</f>
        <v>119141</v>
      </c>
      <c r="D21" s="215" cm="1">
        <f t="array" aca="1" ref="D21" ca="1">SUM(_xlfn._xlws.FILTER(_xlfn.CHOOSECOLS(_xlfn.ANCHORARRAY(Automation!$B$2),11),(_xlfn.CHOOSECOLS(_xlfn.ANCHORARRAY(Automation!$B$2),2)&gt;=A21)*(_xlfn.CHOOSECOLS(_xlfn.ANCHORARRAY(Automation!$B$2),2)&lt;EDATE(A21,1)),0))</f>
        <v>9056.5</v>
      </c>
      <c r="E21" s="216">
        <f t="shared" ca="1" si="0"/>
        <v>0.92935509662824933</v>
      </c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</row>
    <row r="22" spans="1:17" ht="13.5">
      <c r="A22" s="214">
        <v>46327</v>
      </c>
      <c r="B22" s="215" cm="1">
        <f t="array" aca="1" ref="B22" ca="1">SUM(_xlfn._xlws.FILTER(_xlfn.CHOOSECOLS(_xlfn.ANCHORARRAY(Automation!$B$2),6),(_xlfn.CHOOSECOLS(_xlfn.ANCHORARRAY(Automation!$B$2),2)&gt;=A22)*(_xlfn.CHOOSECOLS(_xlfn.ANCHORARRAY(Automation!$B$2),2)&lt;EDATE(A22,1)),0))</f>
        <v>0</v>
      </c>
      <c r="C22" s="215" cm="1">
        <f t="array" aca="1" ref="C22" ca="1">SUM(_xlfn._xlws.FILTER(_xlfn.CHOOSECOLS(_xlfn.ANCHORARRAY(Automation!$B$2),12),(_xlfn.CHOOSECOLS(_xlfn.ANCHORARRAY(Automation!$B$2),2)&gt;=A22)*(_xlfn.CHOOSECOLS(_xlfn.ANCHORARRAY(Automation!$B$2),2)&lt;EDATE(A22,1)),0))</f>
        <v>0</v>
      </c>
      <c r="D22" s="215" cm="1">
        <f t="array" aca="1" ref="D22" ca="1">SUM(_xlfn._xlws.FILTER(_xlfn.CHOOSECOLS(_xlfn.ANCHORARRAY(Automation!$B$2),11),(_xlfn.CHOOSECOLS(_xlfn.ANCHORARRAY(Automation!$B$2),2)&gt;=A22)*(_xlfn.CHOOSECOLS(_xlfn.ANCHORARRAY(Automation!$B$2),2)&lt;EDATE(A22,1)),0))</f>
        <v>0</v>
      </c>
      <c r="E22" s="216">
        <f t="shared" ca="1" si="0"/>
        <v>0</v>
      </c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</row>
    <row r="23" spans="1:17" ht="13.5">
      <c r="A23" s="214">
        <v>46357</v>
      </c>
      <c r="B23" s="215" cm="1">
        <f t="array" aca="1" ref="B23" ca="1">SUM(_xlfn._xlws.FILTER(_xlfn.CHOOSECOLS(_xlfn.ANCHORARRAY(Automation!$B$2),6),(_xlfn.CHOOSECOLS(_xlfn.ANCHORARRAY(Automation!$B$2),2)&gt;=A23)*(_xlfn.CHOOSECOLS(_xlfn.ANCHORARRAY(Automation!$B$2),2)&lt;EDATE(A23,1)),0))</f>
        <v>0</v>
      </c>
      <c r="C23" s="215" cm="1">
        <f t="array" aca="1" ref="C23" ca="1">SUM(_xlfn._xlws.FILTER(_xlfn.CHOOSECOLS(_xlfn.ANCHORARRAY(Automation!$B$2),12),(_xlfn.CHOOSECOLS(_xlfn.ANCHORARRAY(Automation!$B$2),2)&gt;=A23)*(_xlfn.CHOOSECOLS(_xlfn.ANCHORARRAY(Automation!$B$2),2)&lt;EDATE(A23,1)),0))</f>
        <v>0</v>
      </c>
      <c r="D23" s="215" cm="1">
        <f t="array" aca="1" ref="D23" ca="1">SUM(_xlfn._xlws.FILTER(_xlfn.CHOOSECOLS(_xlfn.ANCHORARRAY(Automation!$B$2),11),(_xlfn.CHOOSECOLS(_xlfn.ANCHORARRAY(Automation!$B$2),2)&gt;=A23)*(_xlfn.CHOOSECOLS(_xlfn.ANCHORARRAY(Automation!$B$2),2)&lt;EDATE(A23,1)),0))</f>
        <v>0</v>
      </c>
      <c r="E23" s="216">
        <f t="shared" ca="1" si="0"/>
        <v>0</v>
      </c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</row>
    <row r="24" spans="1:17" ht="13.5">
      <c r="A24" s="212"/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</row>
    <row r="25" spans="1:17" ht="21.75" customHeight="1">
      <c r="A25" s="318" t="s">
        <v>17</v>
      </c>
      <c r="B25" s="318"/>
      <c r="C25" s="318"/>
      <c r="D25" s="318"/>
      <c r="E25" s="318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</row>
    <row r="26" spans="1:17" ht="21.75" customHeight="1">
      <c r="A26" s="217" t="s">
        <v>18</v>
      </c>
      <c r="B26" s="217" t="s">
        <v>13</v>
      </c>
      <c r="C26" s="217" t="s">
        <v>14</v>
      </c>
      <c r="D26" s="217" t="s">
        <v>15</v>
      </c>
      <c r="E26" s="217" t="s">
        <v>16</v>
      </c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</row>
    <row r="27" spans="1:17" ht="13.5">
      <c r="A27" s="212" t="s">
        <v>19</v>
      </c>
      <c r="B27" s="215" cm="1">
        <f t="array" aca="1" ref="B27" ca="1">SUM(_xlfn._xlws.FILTER(_xlfn.CHOOSECOLS(_xlfn.ANCHORARRAY(Automation!$B$2),6),ISNUMBER(SEARCH($A27,_xlfn.CHOOSECOLS(_xlfn.ANCHORARRAY(Automation!$B$2),1))),0))</f>
        <v>726377.58000000007</v>
      </c>
      <c r="C27" s="215" cm="1">
        <f t="array" aca="1" ref="C27" ca="1">SUM(_xlfn._xlws.FILTER(_xlfn.CHOOSECOLS(_xlfn.ANCHORARRAY(Automation!$B$2),12),ISNUMBER(SEARCH($A27,_xlfn.CHOOSECOLS(_xlfn.ANCHORARRAY(Automation!$B$2),1))),0))</f>
        <v>674041.3</v>
      </c>
      <c r="D27" s="215" cm="1">
        <f t="array" aca="1" ref="D27" ca="1">SUM(_xlfn._xlws.FILTER(_xlfn.CHOOSECOLS(_xlfn.ANCHORARRAY(Automation!$B$2),11),ISNUMBER(SEARCH($A27,_xlfn.CHOOSECOLS(_xlfn.ANCHORARRAY(Automation!$B$2),1))),0))</f>
        <v>52472.28</v>
      </c>
      <c r="E27" s="216">
        <f ca="1">IFERROR(C27/B27,0)</f>
        <v>0.92794893256479638</v>
      </c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</row>
    <row r="28" spans="1:17" ht="13.5">
      <c r="A28" s="212" t="s">
        <v>20</v>
      </c>
      <c r="B28" s="215" cm="1">
        <f t="array" aca="1" ref="B28" ca="1">SUM(_xlfn._xlws.FILTER(_xlfn.CHOOSECOLS(_xlfn.ANCHORARRAY(Automation!$B$2),6),ISNUMBER(SEARCH($A28,_xlfn.CHOOSECOLS(_xlfn.ANCHORARRAY(Automation!$B$2),1))),0))</f>
        <v>1400188.72</v>
      </c>
      <c r="C28" s="215" cm="1">
        <f t="array" aca="1" ref="C28" ca="1">SUM(_xlfn._xlws.FILTER(_xlfn.CHOOSECOLS(_xlfn.ANCHORARRAY(Automation!$B$2),12),ISNUMBER(SEARCH($A28,_xlfn.CHOOSECOLS(_xlfn.ANCHORARRAY(Automation!$B$2),1))),0))</f>
        <v>1301170</v>
      </c>
      <c r="D28" s="215" cm="1">
        <f t="array" aca="1" ref="D28" ca="1">SUM(_xlfn._xlws.FILTER(_xlfn.CHOOSECOLS(_xlfn.ANCHORARRAY(Automation!$B$2),11),ISNUMBER(SEARCH($A28,_xlfn.CHOOSECOLS(_xlfn.ANCHORARRAY(Automation!$B$2),1))),0))</f>
        <v>99160.42</v>
      </c>
      <c r="E28" s="216">
        <f t="shared" ref="E28" ca="1" si="1">IFERROR(C28/B28,0)</f>
        <v>0.92928187566030385</v>
      </c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</row>
    <row r="29" spans="1:17" ht="13.5">
      <c r="A29" s="212"/>
      <c r="B29" s="212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</row>
    <row r="30" spans="1:17" ht="21.75" customHeight="1">
      <c r="A30" s="318" t="s">
        <v>21</v>
      </c>
      <c r="B30" s="318"/>
      <c r="C30" s="318"/>
      <c r="D30" s="318"/>
      <c r="E30" s="318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</row>
    <row r="31" spans="1:17" ht="21.75" customHeight="1">
      <c r="A31" s="217" t="s">
        <v>22</v>
      </c>
      <c r="B31" s="217" t="s">
        <v>14</v>
      </c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</row>
    <row r="32" spans="1:17" ht="13.5">
      <c r="A32" s="212" t="str" cm="1">
        <f t="array" aca="1" ref="A32:B38" ca="1">_xlfn.LET(_xlpm.raw,UPPER(TRIM(_xlfn.CHOOSECOLS(_xlfn.ANCHORARRAY(Automation!$B$2),5))),_xlpm.p,IF(_xlpm.raw="MULTGRAIN","MULTIGRAIN",_xlpm.raw),_xlpm.o,_xlfn.CHOOSECOLS(_xlfn.ANCHORARRAY(Automation!$B$2),12),_xlpm.u,_xlfn.UNIQUE(_xlfn._xlws.FILTER(_xlpm.p,_xlpm.p&lt;&gt;"")),_xlpm.z,_xlfn.MAP(_xlpm.u,_xlfn.LAMBDA(_xlpm.x,SUM(_xlfn._xlws.FILTER(_xlpm.o,_xlpm.p=_xlpm.x,0)))),_xlfn.TAKE(_xlfn.SORTBY(_xlfn.HSTACK(_xlpm.u,_xlpm.z),_xlpm.z,-1),7))</f>
        <v>MULTIGRAIN</v>
      </c>
      <c r="B32" s="215">
        <f ca="1"/>
        <v>1029675.3</v>
      </c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</row>
    <row r="33" spans="1:17" ht="13.5">
      <c r="A33" s="212" t="str">
        <f ca="1"/>
        <v>KHAPLI</v>
      </c>
      <c r="B33" s="215">
        <f ca="1"/>
        <v>433252</v>
      </c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</row>
    <row r="34" spans="1:17" ht="13.5">
      <c r="A34" s="212" t="str">
        <f ca="1"/>
        <v>KHAPLI PROTEIN GRAINS</v>
      </c>
      <c r="B34" s="215">
        <f ca="1"/>
        <v>152813.5</v>
      </c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</row>
    <row r="35" spans="1:17" ht="13.5">
      <c r="A35" s="212" t="str">
        <f ca="1"/>
        <v>HIGH PROTEIN ATTA</v>
      </c>
      <c r="B35" s="215">
        <f ca="1"/>
        <v>88375.5</v>
      </c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</row>
    <row r="36" spans="1:17" ht="13.5">
      <c r="A36" s="212" t="str">
        <f ca="1"/>
        <v>KHAPLI GRAINS</v>
      </c>
      <c r="B36" s="215">
        <f ca="1"/>
        <v>50607</v>
      </c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</row>
    <row r="37" spans="1:17" ht="13.5">
      <c r="A37" s="212" t="str">
        <f ca="1"/>
        <v>KHAPLI WHEAT GRAINS</v>
      </c>
      <c r="B37" s="215">
        <f ca="1"/>
        <v>32338</v>
      </c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</row>
    <row r="38" spans="1:17" ht="13.5">
      <c r="A38" s="212" t="str">
        <f ca="1"/>
        <v>JOWAR GRAINS</v>
      </c>
      <c r="B38" s="215">
        <f ca="1"/>
        <v>30867.5</v>
      </c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</row>
    <row r="39" spans="1:17" ht="13.5">
      <c r="A39" s="212"/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</row>
    <row r="40" spans="1:17" ht="24.75" customHeight="1">
      <c r="A40" s="318" t="s">
        <v>23</v>
      </c>
      <c r="B40" s="318"/>
      <c r="C40" s="318"/>
      <c r="D40" s="318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</row>
    <row r="41" spans="1:17" ht="30" customHeight="1">
      <c r="A41" s="217" t="s">
        <v>24</v>
      </c>
      <c r="B41" s="217" t="s">
        <v>25</v>
      </c>
      <c r="C41" s="217" t="s">
        <v>26</v>
      </c>
      <c r="D41" s="217" t="s">
        <v>27</v>
      </c>
      <c r="E41" s="217" t="s">
        <v>22</v>
      </c>
      <c r="F41" s="217" t="s">
        <v>28</v>
      </c>
      <c r="G41" s="217" t="s">
        <v>29</v>
      </c>
      <c r="H41" s="217" t="s">
        <v>30</v>
      </c>
      <c r="I41" s="217" t="s">
        <v>31</v>
      </c>
      <c r="J41" s="217" t="s">
        <v>32</v>
      </c>
      <c r="K41" s="217" t="s">
        <v>33</v>
      </c>
      <c r="L41" s="217" t="s">
        <v>34</v>
      </c>
      <c r="M41" s="217" t="s">
        <v>35</v>
      </c>
      <c r="N41" s="217" t="s">
        <v>36</v>
      </c>
      <c r="O41" s="217" t="s">
        <v>37</v>
      </c>
      <c r="P41" s="217" t="s">
        <v>38</v>
      </c>
      <c r="Q41" s="217" t="s">
        <v>39</v>
      </c>
    </row>
    <row r="42" spans="1:17" ht="18" customHeight="1">
      <c r="A42" s="212" t="str" cm="1">
        <f t="array" aca="1" ref="A42:Q627" ca="1">_xlfn.ANCHORARRAY(Automation!B2)</f>
        <v>C6 JAN-FEB</v>
      </c>
      <c r="B42" s="218">
        <f ca="1"/>
        <v>46024</v>
      </c>
      <c r="C42" s="212" t="str">
        <f ca="1"/>
        <v>Chakki1,2&amp;3</v>
      </c>
      <c r="D42" s="212" t="str">
        <f ca="1"/>
        <v>C6</v>
      </c>
      <c r="E42" s="212" t="str">
        <f ca="1"/>
        <v>Jowar</v>
      </c>
      <c r="F42" s="219">
        <f ca="1"/>
        <v>1900</v>
      </c>
      <c r="G42" s="219">
        <f ca="1"/>
        <v>0</v>
      </c>
      <c r="H42" s="219">
        <f ca="1"/>
        <v>18</v>
      </c>
      <c r="I42" s="219">
        <f ca="1"/>
        <v>2</v>
      </c>
      <c r="J42" s="219">
        <f ca="1"/>
        <v>132</v>
      </c>
      <c r="K42" s="219">
        <f ca="1"/>
        <v>152</v>
      </c>
      <c r="L42" s="219">
        <f ca="1"/>
        <v>1748</v>
      </c>
      <c r="M42" s="219">
        <f ca="1"/>
        <v>0</v>
      </c>
      <c r="N42" s="212">
        <f ca="1"/>
        <v>0</v>
      </c>
      <c r="O42" s="220">
        <f ca="1"/>
        <v>0.92</v>
      </c>
      <c r="P42" s="221">
        <f ca="1"/>
        <v>1900</v>
      </c>
      <c r="Q42" s="221">
        <f ca="1"/>
        <v>0</v>
      </c>
    </row>
    <row r="43" spans="1:17" ht="18" customHeight="1">
      <c r="A43" s="212" t="str">
        <f ca="1"/>
        <v>C6 JAN-FEB</v>
      </c>
      <c r="B43" s="218">
        <f ca="1"/>
        <v>46024</v>
      </c>
      <c r="C43" s="212" t="str">
        <f ca="1"/>
        <v>Chakki1,2&amp;3</v>
      </c>
      <c r="D43" s="212" t="str">
        <f ca="1"/>
        <v>C6</v>
      </c>
      <c r="E43" s="212" t="str">
        <f ca="1"/>
        <v>Jowar</v>
      </c>
      <c r="F43" s="219">
        <f ca="1"/>
        <v>2450</v>
      </c>
      <c r="G43" s="219">
        <f ca="1"/>
        <v>0</v>
      </c>
      <c r="H43" s="219">
        <f ca="1"/>
        <v>104</v>
      </c>
      <c r="I43" s="219">
        <f ca="1"/>
        <v>3</v>
      </c>
      <c r="J43" s="219">
        <f ca="1"/>
        <v>163</v>
      </c>
      <c r="K43" s="219">
        <f ca="1"/>
        <v>270</v>
      </c>
      <c r="L43" s="219">
        <f ca="1"/>
        <v>2180</v>
      </c>
      <c r="M43" s="219">
        <f ca="1"/>
        <v>0</v>
      </c>
      <c r="N43" s="212">
        <f ca="1"/>
        <v>0</v>
      </c>
      <c r="O43" s="220">
        <f ca="1"/>
        <v>0.88979591836734695</v>
      </c>
      <c r="P43" s="221">
        <f ca="1"/>
        <v>2450</v>
      </c>
      <c r="Q43" s="221">
        <f ca="1"/>
        <v>0</v>
      </c>
    </row>
    <row r="44" spans="1:17" ht="18" customHeight="1">
      <c r="A44" s="212" t="str">
        <f ca="1"/>
        <v>C6 JAN-FEB</v>
      </c>
      <c r="B44" s="218">
        <f ca="1"/>
        <v>46025</v>
      </c>
      <c r="C44" s="212" t="str">
        <f ca="1"/>
        <v>Chakki1,2&amp;3</v>
      </c>
      <c r="D44" s="212" t="str">
        <f ca="1"/>
        <v>C6</v>
      </c>
      <c r="E44" s="212" t="str">
        <f ca="1"/>
        <v>Bajra</v>
      </c>
      <c r="F44" s="219">
        <f ca="1"/>
        <v>2850</v>
      </c>
      <c r="G44" s="219">
        <f ca="1"/>
        <v>0</v>
      </c>
      <c r="H44" s="219">
        <f ca="1"/>
        <v>67</v>
      </c>
      <c r="I44" s="219">
        <f ca="1"/>
        <v>2</v>
      </c>
      <c r="J44" s="219">
        <f ca="1"/>
        <v>183</v>
      </c>
      <c r="K44" s="219">
        <f ca="1"/>
        <v>252</v>
      </c>
      <c r="L44" s="219">
        <f ca="1"/>
        <v>2598</v>
      </c>
      <c r="M44" s="219">
        <f ca="1"/>
        <v>0</v>
      </c>
      <c r="N44" s="212">
        <f ca="1"/>
        <v>0</v>
      </c>
      <c r="O44" s="220">
        <f ca="1"/>
        <v>0.91157894736842104</v>
      </c>
      <c r="P44" s="221">
        <f ca="1"/>
        <v>2850</v>
      </c>
      <c r="Q44" s="221">
        <f ca="1"/>
        <v>0</v>
      </c>
    </row>
    <row r="45" spans="1:17" ht="18" customHeight="1">
      <c r="A45" s="212" t="str">
        <f ca="1"/>
        <v>C6 JAN-FEB</v>
      </c>
      <c r="B45" s="218">
        <f ca="1"/>
        <v>46026</v>
      </c>
      <c r="C45" s="212" t="str">
        <f ca="1"/>
        <v>Chakki1,2&amp;3</v>
      </c>
      <c r="D45" s="212" t="str">
        <f ca="1"/>
        <v>C6</v>
      </c>
      <c r="E45" s="212" t="str">
        <f ca="1"/>
        <v>Multigrain</v>
      </c>
      <c r="F45" s="219">
        <f ca="1"/>
        <v>1450</v>
      </c>
      <c r="G45" s="219">
        <f ca="1"/>
        <v>0</v>
      </c>
      <c r="H45" s="219">
        <f ca="1"/>
        <v>18</v>
      </c>
      <c r="I45" s="219">
        <f ca="1"/>
        <v>1</v>
      </c>
      <c r="J45" s="219">
        <f ca="1"/>
        <v>121</v>
      </c>
      <c r="K45" s="219">
        <f ca="1"/>
        <v>140</v>
      </c>
      <c r="L45" s="219">
        <f ca="1"/>
        <v>1310</v>
      </c>
      <c r="M45" s="219">
        <f ca="1"/>
        <v>3</v>
      </c>
      <c r="N45" s="212" t="str">
        <f ca="1"/>
        <v>Day</v>
      </c>
      <c r="O45" s="220">
        <f ca="1"/>
        <v>0.90344827586206899</v>
      </c>
      <c r="P45" s="221">
        <f ca="1"/>
        <v>1450</v>
      </c>
      <c r="Q45" s="221">
        <f ca="1"/>
        <v>0</v>
      </c>
    </row>
    <row r="46" spans="1:17" ht="18" customHeight="1">
      <c r="A46" s="212" t="str">
        <f ca="1"/>
        <v>C6 JAN-FEB</v>
      </c>
      <c r="B46" s="218">
        <f ca="1"/>
        <v>46026</v>
      </c>
      <c r="C46" s="212" t="str">
        <f ca="1"/>
        <v>Chakki1,2&amp;3</v>
      </c>
      <c r="D46" s="212" t="str">
        <f ca="1"/>
        <v>C6</v>
      </c>
      <c r="E46" s="212" t="str">
        <f ca="1"/>
        <v>Multigrain</v>
      </c>
      <c r="F46" s="219">
        <f ca="1"/>
        <v>2250</v>
      </c>
      <c r="G46" s="219">
        <f ca="1"/>
        <v>0</v>
      </c>
      <c r="H46" s="219">
        <f ca="1"/>
        <v>21</v>
      </c>
      <c r="I46" s="219">
        <f ca="1"/>
        <v>2</v>
      </c>
      <c r="J46" s="219">
        <f ca="1"/>
        <v>162</v>
      </c>
      <c r="K46" s="219">
        <f ca="1"/>
        <v>185</v>
      </c>
      <c r="L46" s="219">
        <f ca="1"/>
        <v>2065</v>
      </c>
      <c r="M46" s="219">
        <f ca="1"/>
        <v>3</v>
      </c>
      <c r="N46" s="212" t="str">
        <f ca="1"/>
        <v>Night</v>
      </c>
      <c r="O46" s="220">
        <f ca="1"/>
        <v>0.9177777777777778</v>
      </c>
      <c r="P46" s="221">
        <f ca="1"/>
        <v>2250</v>
      </c>
      <c r="Q46" s="221">
        <f ca="1"/>
        <v>0</v>
      </c>
    </row>
    <row r="47" spans="1:17" ht="18" customHeight="1">
      <c r="A47" s="212" t="str">
        <f ca="1"/>
        <v>C6 JAN-FEB</v>
      </c>
      <c r="B47" s="218">
        <f ca="1"/>
        <v>46027</v>
      </c>
      <c r="C47" s="212" t="str">
        <f ca="1"/>
        <v>Chakki1,2&amp;3</v>
      </c>
      <c r="D47" s="212" t="str">
        <f ca="1"/>
        <v>C6</v>
      </c>
      <c r="E47" s="212" t="str">
        <f ca="1"/>
        <v>Multigrain</v>
      </c>
      <c r="F47" s="219">
        <f ca="1"/>
        <v>1350</v>
      </c>
      <c r="G47" s="219">
        <f ca="1"/>
        <v>0</v>
      </c>
      <c r="H47" s="219">
        <f ca="1"/>
        <v>10</v>
      </c>
      <c r="I47" s="219">
        <f ca="1"/>
        <v>3</v>
      </c>
      <c r="J47" s="219">
        <f ca="1"/>
        <v>118</v>
      </c>
      <c r="K47" s="219">
        <f ca="1"/>
        <v>131</v>
      </c>
      <c r="L47" s="219">
        <f ca="1"/>
        <v>1219</v>
      </c>
      <c r="M47" s="219">
        <f ca="1"/>
        <v>3</v>
      </c>
      <c r="N47" s="212" t="str">
        <f ca="1"/>
        <v>Day</v>
      </c>
      <c r="O47" s="220">
        <f ca="1"/>
        <v>0.90296296296296286</v>
      </c>
      <c r="P47" s="221">
        <f ca="1"/>
        <v>1350</v>
      </c>
      <c r="Q47" s="221">
        <f ca="1"/>
        <v>0</v>
      </c>
    </row>
    <row r="48" spans="1:17" ht="18" customHeight="1">
      <c r="A48" s="212" t="str">
        <f ca="1"/>
        <v>C6 JAN-FEB</v>
      </c>
      <c r="B48" s="218">
        <f ca="1"/>
        <v>46027</v>
      </c>
      <c r="C48" s="212" t="str">
        <f ca="1"/>
        <v>Chakki1,2&amp;3</v>
      </c>
      <c r="D48" s="212" t="str">
        <f ca="1"/>
        <v>C6</v>
      </c>
      <c r="E48" s="212" t="str">
        <f ca="1"/>
        <v>Khapli</v>
      </c>
      <c r="F48" s="219">
        <f ca="1"/>
        <v>3019.5</v>
      </c>
      <c r="G48" s="219">
        <f ca="1"/>
        <v>1</v>
      </c>
      <c r="H48" s="219">
        <f ca="1"/>
        <v>120</v>
      </c>
      <c r="I48" s="219">
        <f ca="1"/>
        <v>1</v>
      </c>
      <c r="J48" s="219">
        <f ca="1"/>
        <v>179.5</v>
      </c>
      <c r="K48" s="219">
        <f ca="1"/>
        <v>301.5</v>
      </c>
      <c r="L48" s="219">
        <f ca="1"/>
        <v>2718</v>
      </c>
      <c r="M48" s="219">
        <f ca="1"/>
        <v>3</v>
      </c>
      <c r="N48" s="212" t="str">
        <f ca="1"/>
        <v>Night</v>
      </c>
      <c r="O48" s="220">
        <f ca="1"/>
        <v>0.90014903129657231</v>
      </c>
      <c r="P48" s="221">
        <f ca="1"/>
        <v>3019.5</v>
      </c>
      <c r="Q48" s="221">
        <f ca="1"/>
        <v>0</v>
      </c>
    </row>
    <row r="49" spans="1:17" ht="18" customHeight="1">
      <c r="A49" s="212" t="str">
        <f ca="1"/>
        <v>C6 JAN-FEB</v>
      </c>
      <c r="B49" s="218">
        <f ca="1"/>
        <v>46028</v>
      </c>
      <c r="C49" s="212" t="str">
        <f ca="1"/>
        <v>Chakki1,2&amp;3</v>
      </c>
      <c r="D49" s="212" t="str">
        <f ca="1"/>
        <v>C6</v>
      </c>
      <c r="E49" s="212" t="str">
        <f ca="1"/>
        <v>Khapli</v>
      </c>
      <c r="F49" s="219">
        <f ca="1"/>
        <v>2178</v>
      </c>
      <c r="G49" s="219">
        <f ca="1"/>
        <v>0</v>
      </c>
      <c r="H49" s="219">
        <f ca="1"/>
        <v>85</v>
      </c>
      <c r="I49" s="219">
        <f ca="1"/>
        <v>2</v>
      </c>
      <c r="J49" s="219">
        <f ca="1"/>
        <v>35</v>
      </c>
      <c r="K49" s="219">
        <f ca="1"/>
        <v>122</v>
      </c>
      <c r="L49" s="219">
        <f ca="1"/>
        <v>2056</v>
      </c>
      <c r="M49" s="219">
        <f ca="1"/>
        <v>3</v>
      </c>
      <c r="N49" s="212" t="str">
        <f ca="1"/>
        <v>Day</v>
      </c>
      <c r="O49" s="220">
        <f ca="1"/>
        <v>0.94398530762167132</v>
      </c>
      <c r="P49" s="221">
        <f ca="1"/>
        <v>2178</v>
      </c>
      <c r="Q49" s="221">
        <f ca="1"/>
        <v>0</v>
      </c>
    </row>
    <row r="50" spans="1:17" ht="18" customHeight="1">
      <c r="A50" s="212" t="str">
        <f ca="1"/>
        <v>C6 JAN-FEB</v>
      </c>
      <c r="B50" s="218">
        <f ca="1"/>
        <v>46028</v>
      </c>
      <c r="C50" s="212" t="str">
        <f ca="1"/>
        <v>Chakki1,2&amp;3</v>
      </c>
      <c r="D50" s="212" t="str">
        <f ca="1"/>
        <v>C6</v>
      </c>
      <c r="E50" s="212" t="str">
        <f ca="1"/>
        <v>Multigrain</v>
      </c>
      <c r="F50" s="219">
        <f ca="1"/>
        <v>3700</v>
      </c>
      <c r="G50" s="219">
        <f ca="1"/>
        <v>0</v>
      </c>
      <c r="H50" s="219">
        <f ca="1"/>
        <v>90</v>
      </c>
      <c r="I50" s="219">
        <f ca="1"/>
        <v>2</v>
      </c>
      <c r="J50" s="219">
        <f ca="1"/>
        <v>246</v>
      </c>
      <c r="K50" s="219">
        <f ca="1"/>
        <v>338</v>
      </c>
      <c r="L50" s="219">
        <f ca="1"/>
        <v>3362</v>
      </c>
      <c r="M50" s="219">
        <f ca="1"/>
        <v>3</v>
      </c>
      <c r="N50" s="212" t="str">
        <f ca="1"/>
        <v>Night</v>
      </c>
      <c r="O50" s="220">
        <f ca="1"/>
        <v>0.90864864864864869</v>
      </c>
      <c r="P50" s="221">
        <f ca="1"/>
        <v>3700</v>
      </c>
      <c r="Q50" s="221">
        <f ca="1"/>
        <v>0</v>
      </c>
    </row>
    <row r="51" spans="1:17" ht="18" customHeight="1">
      <c r="A51" s="212" t="str">
        <f ca="1"/>
        <v>C6 JAN-FEB</v>
      </c>
      <c r="B51" s="218">
        <f ca="1"/>
        <v>46029</v>
      </c>
      <c r="C51" s="212" t="str">
        <f ca="1"/>
        <v>Chakki1,2&amp;3</v>
      </c>
      <c r="D51" s="212" t="str">
        <f ca="1"/>
        <v>C6</v>
      </c>
      <c r="E51" s="212" t="str">
        <f ca="1"/>
        <v>Multigrain</v>
      </c>
      <c r="F51" s="219">
        <f ca="1"/>
        <v>2400</v>
      </c>
      <c r="G51" s="219">
        <f ca="1"/>
        <v>0</v>
      </c>
      <c r="H51" s="219">
        <f ca="1"/>
        <v>19</v>
      </c>
      <c r="I51" s="219">
        <f ca="1"/>
        <v>3</v>
      </c>
      <c r="J51" s="219">
        <f ca="1"/>
        <v>195</v>
      </c>
      <c r="K51" s="219">
        <f ca="1"/>
        <v>217</v>
      </c>
      <c r="L51" s="219">
        <f ca="1"/>
        <v>2183</v>
      </c>
      <c r="M51" s="219">
        <f ca="1"/>
        <v>3</v>
      </c>
      <c r="N51" s="212" t="str">
        <f ca="1"/>
        <v>Day</v>
      </c>
      <c r="O51" s="220">
        <f ca="1"/>
        <v>0.9095833333333333</v>
      </c>
      <c r="P51" s="221">
        <f ca="1"/>
        <v>2400</v>
      </c>
      <c r="Q51" s="221">
        <f ca="1"/>
        <v>0</v>
      </c>
    </row>
    <row r="52" spans="1:17" ht="18" customHeight="1">
      <c r="A52" s="212" t="str">
        <f ca="1"/>
        <v>C6 JAN-FEB</v>
      </c>
      <c r="B52" s="218">
        <f ca="1"/>
        <v>46029</v>
      </c>
      <c r="C52" s="212" t="str">
        <f ca="1"/>
        <v>Chakki1,2&amp;3</v>
      </c>
      <c r="D52" s="212" t="str">
        <f ca="1"/>
        <v>C6</v>
      </c>
      <c r="E52" s="212" t="str">
        <f ca="1"/>
        <v>Multigrain</v>
      </c>
      <c r="F52" s="219">
        <f ca="1"/>
        <v>3750</v>
      </c>
      <c r="G52" s="219">
        <f ca="1"/>
        <v>0</v>
      </c>
      <c r="H52" s="219">
        <f ca="1"/>
        <v>110</v>
      </c>
      <c r="I52" s="219">
        <f ca="1"/>
        <v>4</v>
      </c>
      <c r="J52" s="219">
        <f ca="1"/>
        <v>214</v>
      </c>
      <c r="K52" s="219">
        <f ca="1"/>
        <v>328</v>
      </c>
      <c r="L52" s="219">
        <f ca="1"/>
        <v>3422</v>
      </c>
      <c r="M52" s="219">
        <f ca="1"/>
        <v>3</v>
      </c>
      <c r="N52" s="212" t="str">
        <f ca="1"/>
        <v>Night</v>
      </c>
      <c r="O52" s="220">
        <f ca="1"/>
        <v>0.91253333333333331</v>
      </c>
      <c r="P52" s="221">
        <f ca="1"/>
        <v>3750</v>
      </c>
      <c r="Q52" s="221">
        <f ca="1"/>
        <v>0</v>
      </c>
    </row>
    <row r="53" spans="1:17" ht="18" customHeight="1">
      <c r="A53" s="212" t="str">
        <f ca="1"/>
        <v>C6 JAN-FEB</v>
      </c>
      <c r="B53" s="218">
        <f ca="1"/>
        <v>46030</v>
      </c>
      <c r="C53" s="212" t="str">
        <f ca="1"/>
        <v>Chakki1,2</v>
      </c>
      <c r="D53" s="212" t="str">
        <f ca="1"/>
        <v>C6</v>
      </c>
      <c r="E53" s="212" t="str">
        <f ca="1"/>
        <v>Multigrain</v>
      </c>
      <c r="F53" s="219">
        <f ca="1"/>
        <v>600</v>
      </c>
      <c r="G53" s="219">
        <f ca="1"/>
        <v>0</v>
      </c>
      <c r="H53" s="219">
        <f ca="1"/>
        <v>2</v>
      </c>
      <c r="I53" s="219">
        <f ca="1"/>
        <v>1</v>
      </c>
      <c r="J53" s="219">
        <f ca="1"/>
        <v>16</v>
      </c>
      <c r="K53" s="219">
        <f ca="1"/>
        <v>19</v>
      </c>
      <c r="L53" s="219">
        <f ca="1"/>
        <v>581</v>
      </c>
      <c r="M53" s="219">
        <f ca="1"/>
        <v>2</v>
      </c>
      <c r="N53" s="212" t="str">
        <f ca="1"/>
        <v>Day</v>
      </c>
      <c r="O53" s="220">
        <f ca="1"/>
        <v>0.96833333333333338</v>
      </c>
      <c r="P53" s="221">
        <f ca="1"/>
        <v>600</v>
      </c>
      <c r="Q53" s="221">
        <f ca="1"/>
        <v>0</v>
      </c>
    </row>
    <row r="54" spans="1:17" ht="18" customHeight="1">
      <c r="A54" s="212" t="str">
        <f ca="1"/>
        <v>C6 JAN-FEB</v>
      </c>
      <c r="B54" s="218">
        <f ca="1"/>
        <v>46030</v>
      </c>
      <c r="C54" s="212" t="str">
        <f ca="1"/>
        <v>Chakki1,2&amp;3</v>
      </c>
      <c r="D54" s="212" t="str">
        <f ca="1"/>
        <v>C6</v>
      </c>
      <c r="E54" s="212" t="str">
        <f ca="1"/>
        <v>Multigrain</v>
      </c>
      <c r="F54" s="219">
        <f ca="1"/>
        <v>1150</v>
      </c>
      <c r="G54" s="219">
        <f ca="1"/>
        <v>0</v>
      </c>
      <c r="H54" s="219">
        <f ca="1"/>
        <v>23</v>
      </c>
      <c r="I54" s="219">
        <f ca="1"/>
        <v>2</v>
      </c>
      <c r="J54" s="219">
        <f ca="1"/>
        <v>87</v>
      </c>
      <c r="K54" s="219">
        <f ca="1"/>
        <v>112</v>
      </c>
      <c r="L54" s="219">
        <f ca="1"/>
        <v>1038</v>
      </c>
      <c r="M54" s="219">
        <f ca="1"/>
        <v>4</v>
      </c>
      <c r="N54" s="212" t="str">
        <f ca="1"/>
        <v>Night</v>
      </c>
      <c r="O54" s="220">
        <f ca="1"/>
        <v>0.90260869565217394</v>
      </c>
      <c r="P54" s="221">
        <f ca="1"/>
        <v>1150</v>
      </c>
      <c r="Q54" s="221">
        <f ca="1"/>
        <v>0</v>
      </c>
    </row>
    <row r="55" spans="1:17" ht="18" customHeight="1">
      <c r="A55" s="212" t="str">
        <f ca="1"/>
        <v>C6 JAN-FEB</v>
      </c>
      <c r="B55" s="218">
        <f ca="1"/>
        <v>46031</v>
      </c>
      <c r="C55" s="212" t="str">
        <f ca="1"/>
        <v>Chakki1,2</v>
      </c>
      <c r="D55" s="212" t="str">
        <f ca="1"/>
        <v>C6</v>
      </c>
      <c r="E55" s="212" t="str">
        <f ca="1"/>
        <v>Multigrain</v>
      </c>
      <c r="F55" s="219">
        <f ca="1"/>
        <v>70</v>
      </c>
      <c r="G55" s="219">
        <f ca="1"/>
        <v>0</v>
      </c>
      <c r="H55" s="219">
        <f ca="1"/>
        <v>0</v>
      </c>
      <c r="I55" s="219">
        <f ca="1"/>
        <v>0</v>
      </c>
      <c r="J55" s="219">
        <f ca="1"/>
        <v>6</v>
      </c>
      <c r="K55" s="219">
        <f ca="1"/>
        <v>6</v>
      </c>
      <c r="L55" s="219">
        <f ca="1"/>
        <v>64</v>
      </c>
      <c r="M55" s="219">
        <f ca="1"/>
        <v>0</v>
      </c>
      <c r="N55" s="212" t="str">
        <f ca="1"/>
        <v>Day</v>
      </c>
      <c r="O55" s="220">
        <f ca="1"/>
        <v>0.91428571428571426</v>
      </c>
      <c r="P55" s="221">
        <f ca="1"/>
        <v>70</v>
      </c>
      <c r="Q55" s="221">
        <f ca="1"/>
        <v>0</v>
      </c>
    </row>
    <row r="56" spans="1:17" ht="18" customHeight="1">
      <c r="A56" s="212" t="str">
        <f ca="1"/>
        <v>C6 JAN-FEB</v>
      </c>
      <c r="B56" s="218">
        <f ca="1"/>
        <v>46032</v>
      </c>
      <c r="C56" s="212" t="str">
        <f ca="1"/>
        <v>Chakki1,2&amp;3</v>
      </c>
      <c r="D56" s="212" t="str">
        <f ca="1"/>
        <v>C6</v>
      </c>
      <c r="E56" s="212" t="str">
        <f ca="1"/>
        <v>Multigrain</v>
      </c>
      <c r="F56" s="219">
        <f ca="1"/>
        <v>1000</v>
      </c>
      <c r="G56" s="219">
        <f ca="1"/>
        <v>0</v>
      </c>
      <c r="H56" s="219">
        <f ca="1"/>
        <v>8</v>
      </c>
      <c r="I56" s="219">
        <f ca="1"/>
        <v>0</v>
      </c>
      <c r="J56" s="219">
        <f ca="1"/>
        <v>31</v>
      </c>
      <c r="K56" s="219">
        <f ca="1"/>
        <v>39</v>
      </c>
      <c r="L56" s="219">
        <f ca="1"/>
        <v>961</v>
      </c>
      <c r="M56" s="219">
        <f ca="1"/>
        <v>2</v>
      </c>
      <c r="N56" s="212" t="str">
        <f ca="1"/>
        <v>Day</v>
      </c>
      <c r="O56" s="220">
        <f ca="1"/>
        <v>0.96099999999999997</v>
      </c>
      <c r="P56" s="221">
        <f ca="1"/>
        <v>1000</v>
      </c>
      <c r="Q56" s="221">
        <f ca="1"/>
        <v>0</v>
      </c>
    </row>
    <row r="57" spans="1:17" ht="18" customHeight="1">
      <c r="A57" s="212" t="str">
        <f ca="1"/>
        <v>C6 JAN-FEB</v>
      </c>
      <c r="B57" s="218">
        <f ca="1"/>
        <v>46033</v>
      </c>
      <c r="C57" s="212" t="str">
        <f ca="1"/>
        <v>Chakki1,2&amp;3</v>
      </c>
      <c r="D57" s="212" t="str">
        <f ca="1"/>
        <v>C6</v>
      </c>
      <c r="E57" s="212" t="str">
        <f ca="1"/>
        <v>Multigrain</v>
      </c>
      <c r="F57" s="219">
        <f ca="1"/>
        <v>1600</v>
      </c>
      <c r="G57" s="219">
        <f ca="1"/>
        <v>0</v>
      </c>
      <c r="H57" s="219">
        <f ca="1"/>
        <v>12</v>
      </c>
      <c r="I57" s="219">
        <f ca="1"/>
        <v>2</v>
      </c>
      <c r="J57" s="219">
        <f ca="1"/>
        <v>46</v>
      </c>
      <c r="K57" s="219">
        <f ca="1"/>
        <v>60</v>
      </c>
      <c r="L57" s="219">
        <f ca="1"/>
        <v>1540</v>
      </c>
      <c r="M57" s="219">
        <f ca="1"/>
        <v>3</v>
      </c>
      <c r="N57" s="212" t="str">
        <f ca="1"/>
        <v>Day</v>
      </c>
      <c r="O57" s="220">
        <f ca="1"/>
        <v>0.96250000000000002</v>
      </c>
      <c r="P57" s="221">
        <f ca="1"/>
        <v>1600</v>
      </c>
      <c r="Q57" s="221">
        <f ca="1"/>
        <v>0</v>
      </c>
    </row>
    <row r="58" spans="1:17" ht="18" customHeight="1">
      <c r="A58" s="212" t="str">
        <f ca="1"/>
        <v>C6 JAN-FEB</v>
      </c>
      <c r="B58" s="218">
        <f ca="1"/>
        <v>46034</v>
      </c>
      <c r="C58" s="212" t="str">
        <f ca="1"/>
        <v>Chakki1,2&amp;3</v>
      </c>
      <c r="D58" s="212" t="str">
        <f ca="1"/>
        <v>C6</v>
      </c>
      <c r="E58" s="212" t="str">
        <f ca="1"/>
        <v>Multigrain</v>
      </c>
      <c r="F58" s="219">
        <f ca="1"/>
        <v>1650</v>
      </c>
      <c r="G58" s="219">
        <f ca="1"/>
        <v>0</v>
      </c>
      <c r="H58" s="219">
        <f ca="1"/>
        <v>16</v>
      </c>
      <c r="I58" s="219">
        <f ca="1"/>
        <v>2</v>
      </c>
      <c r="J58" s="219">
        <f ca="1"/>
        <v>71</v>
      </c>
      <c r="K58" s="219">
        <f ca="1"/>
        <v>89</v>
      </c>
      <c r="L58" s="219">
        <f ca="1"/>
        <v>1561</v>
      </c>
      <c r="M58" s="219">
        <f ca="1"/>
        <v>3</v>
      </c>
      <c r="N58" s="212" t="str">
        <f ca="1"/>
        <v>Day</v>
      </c>
      <c r="O58" s="220">
        <f ca="1"/>
        <v>0.94606060606060605</v>
      </c>
      <c r="P58" s="221">
        <f ca="1"/>
        <v>1650</v>
      </c>
      <c r="Q58" s="221">
        <f ca="1"/>
        <v>0</v>
      </c>
    </row>
    <row r="59" spans="1:17" ht="18" customHeight="1">
      <c r="A59" s="212" t="str">
        <f ca="1"/>
        <v>C6 JAN-FEB</v>
      </c>
      <c r="B59" s="218">
        <f ca="1"/>
        <v>46034</v>
      </c>
      <c r="C59" s="212" t="str">
        <f ca="1"/>
        <v>Chakki1,2&amp;3</v>
      </c>
      <c r="D59" s="212" t="str">
        <f ca="1"/>
        <v>C6</v>
      </c>
      <c r="E59" s="212" t="str">
        <f ca="1"/>
        <v>Multigrain</v>
      </c>
      <c r="F59" s="219">
        <f ca="1"/>
        <v>1500</v>
      </c>
      <c r="G59" s="219">
        <f ca="1"/>
        <v>0</v>
      </c>
      <c r="H59" s="219">
        <f ca="1"/>
        <v>13</v>
      </c>
      <c r="I59" s="219">
        <f ca="1"/>
        <v>3</v>
      </c>
      <c r="J59" s="219">
        <f ca="1"/>
        <v>149</v>
      </c>
      <c r="K59" s="219">
        <f ca="1"/>
        <v>165</v>
      </c>
      <c r="L59" s="219">
        <f ca="1"/>
        <v>1333</v>
      </c>
      <c r="M59" s="219">
        <f ca="1"/>
        <v>4</v>
      </c>
      <c r="N59" s="212" t="str">
        <f ca="1"/>
        <v>Night</v>
      </c>
      <c r="O59" s="220">
        <f ca="1"/>
        <v>0.88866666666666672</v>
      </c>
      <c r="P59" s="221">
        <f ca="1"/>
        <v>1498</v>
      </c>
      <c r="Q59" s="221">
        <f ca="1"/>
        <v>2</v>
      </c>
    </row>
    <row r="60" spans="1:17" ht="18" customHeight="1">
      <c r="A60" s="212" t="str">
        <f ca="1"/>
        <v>C6 JAN-FEB</v>
      </c>
      <c r="B60" s="218">
        <f ca="1"/>
        <v>46035</v>
      </c>
      <c r="C60" s="212" t="str">
        <f ca="1"/>
        <v>Chakki1,2&amp;3</v>
      </c>
      <c r="D60" s="212" t="str">
        <f ca="1"/>
        <v>C6</v>
      </c>
      <c r="E60" s="212" t="str">
        <f ca="1"/>
        <v>Multigrain</v>
      </c>
      <c r="F60" s="219">
        <f ca="1"/>
        <v>2650</v>
      </c>
      <c r="G60" s="219">
        <f ca="1"/>
        <v>0</v>
      </c>
      <c r="H60" s="219">
        <f ca="1"/>
        <v>31</v>
      </c>
      <c r="I60" s="219">
        <f ca="1"/>
        <v>4</v>
      </c>
      <c r="J60" s="219">
        <f ca="1"/>
        <v>170</v>
      </c>
      <c r="K60" s="219">
        <f ca="1"/>
        <v>205</v>
      </c>
      <c r="L60" s="219">
        <f ca="1"/>
        <v>2445</v>
      </c>
      <c r="M60" s="219">
        <f ca="1"/>
        <v>3</v>
      </c>
      <c r="N60" s="212" t="str">
        <f ca="1"/>
        <v>Day</v>
      </c>
      <c r="O60" s="220">
        <f ca="1"/>
        <v>0.92264150943396228</v>
      </c>
      <c r="P60" s="221">
        <f ca="1"/>
        <v>2650</v>
      </c>
      <c r="Q60" s="221">
        <f ca="1"/>
        <v>0</v>
      </c>
    </row>
    <row r="61" spans="1:17" ht="18" customHeight="1">
      <c r="A61" s="212" t="str">
        <f ca="1"/>
        <v>C6 JAN-FEB</v>
      </c>
      <c r="B61" s="218">
        <f ca="1"/>
        <v>46035</v>
      </c>
      <c r="C61" s="212" t="str">
        <f ca="1"/>
        <v>Chakki1,2&amp;3</v>
      </c>
      <c r="D61" s="212" t="str">
        <f ca="1"/>
        <v>C6</v>
      </c>
      <c r="E61" s="212" t="str">
        <f ca="1"/>
        <v>Multigrain</v>
      </c>
      <c r="F61" s="219">
        <f ca="1"/>
        <v>2200</v>
      </c>
      <c r="G61" s="219">
        <f ca="1"/>
        <v>0</v>
      </c>
      <c r="H61" s="219">
        <f ca="1"/>
        <v>18</v>
      </c>
      <c r="I61" s="219">
        <f ca="1"/>
        <v>1</v>
      </c>
      <c r="J61" s="219">
        <f ca="1"/>
        <v>181</v>
      </c>
      <c r="K61" s="219">
        <f ca="1"/>
        <v>200</v>
      </c>
      <c r="L61" s="219">
        <f ca="1"/>
        <v>2000</v>
      </c>
      <c r="M61" s="219">
        <f ca="1"/>
        <v>4</v>
      </c>
      <c r="N61" s="212" t="str">
        <f ca="1"/>
        <v>Night</v>
      </c>
      <c r="O61" s="220">
        <f ca="1"/>
        <v>0.90909090909090906</v>
      </c>
      <c r="P61" s="221">
        <f ca="1"/>
        <v>2200</v>
      </c>
      <c r="Q61" s="221">
        <f ca="1"/>
        <v>0</v>
      </c>
    </row>
    <row r="62" spans="1:17" ht="18" customHeight="1">
      <c r="A62" s="212" t="str">
        <f ca="1"/>
        <v>C6 JAN-FEB</v>
      </c>
      <c r="B62" s="218">
        <f ca="1"/>
        <v>46036</v>
      </c>
      <c r="C62" s="212" t="str">
        <f ca="1"/>
        <v>Chakki1,2&amp;3</v>
      </c>
      <c r="D62" s="212" t="str">
        <f ca="1"/>
        <v>C6</v>
      </c>
      <c r="E62" s="212" t="str">
        <f ca="1"/>
        <v>Multigrain</v>
      </c>
      <c r="F62" s="219">
        <f ca="1"/>
        <v>3000</v>
      </c>
      <c r="G62" s="219">
        <f ca="1"/>
        <v>0</v>
      </c>
      <c r="H62" s="219">
        <f ca="1"/>
        <v>51</v>
      </c>
      <c r="I62" s="219">
        <f ca="1"/>
        <v>4</v>
      </c>
      <c r="J62" s="219">
        <f ca="1"/>
        <v>255</v>
      </c>
      <c r="K62" s="219">
        <f ca="1"/>
        <v>310</v>
      </c>
      <c r="L62" s="219">
        <f ca="1"/>
        <v>2690</v>
      </c>
      <c r="M62" s="219">
        <f ca="1"/>
        <v>4</v>
      </c>
      <c r="N62" s="212" t="str">
        <f ca="1"/>
        <v>Night</v>
      </c>
      <c r="O62" s="220">
        <f ca="1"/>
        <v>0.89666666666666661</v>
      </c>
      <c r="P62" s="221">
        <f ca="1"/>
        <v>3000</v>
      </c>
      <c r="Q62" s="221">
        <f ca="1"/>
        <v>0</v>
      </c>
    </row>
    <row r="63" spans="1:17" ht="18" customHeight="1">
      <c r="A63" s="212" t="str">
        <f ca="1"/>
        <v>C6 JAN-FEB</v>
      </c>
      <c r="B63" s="218">
        <f ca="1"/>
        <v>46037</v>
      </c>
      <c r="C63" s="212" t="str">
        <f ca="1"/>
        <v>Chakki1,2&amp;3</v>
      </c>
      <c r="D63" s="212" t="str">
        <f ca="1"/>
        <v>C6</v>
      </c>
      <c r="E63" s="212" t="str">
        <f ca="1"/>
        <v>Multigrain</v>
      </c>
      <c r="F63" s="219">
        <f ca="1"/>
        <v>2000</v>
      </c>
      <c r="G63" s="219">
        <f ca="1"/>
        <v>0</v>
      </c>
      <c r="H63" s="219">
        <f ca="1"/>
        <v>85</v>
      </c>
      <c r="I63" s="219">
        <f ca="1"/>
        <v>2</v>
      </c>
      <c r="J63" s="219">
        <f ca="1"/>
        <v>93</v>
      </c>
      <c r="K63" s="219">
        <f ca="1"/>
        <v>180</v>
      </c>
      <c r="L63" s="219">
        <f ca="1"/>
        <v>1820</v>
      </c>
      <c r="M63" s="219">
        <f ca="1"/>
        <v>4</v>
      </c>
      <c r="N63" s="212" t="str">
        <f ca="1"/>
        <v>Night</v>
      </c>
      <c r="O63" s="220">
        <f ca="1"/>
        <v>0.91</v>
      </c>
      <c r="P63" s="221">
        <f ca="1"/>
        <v>2000</v>
      </c>
      <c r="Q63" s="221">
        <f ca="1"/>
        <v>0</v>
      </c>
    </row>
    <row r="64" spans="1:17" ht="18" customHeight="1">
      <c r="A64" s="212" t="str">
        <f ca="1"/>
        <v>C6 JAN-FEB</v>
      </c>
      <c r="B64" s="218">
        <f ca="1"/>
        <v>46038</v>
      </c>
      <c r="C64" s="212" t="str">
        <f ca="1"/>
        <v>Chakki1,2&amp;3</v>
      </c>
      <c r="D64" s="212" t="str">
        <f ca="1"/>
        <v>C6</v>
      </c>
      <c r="E64" s="212" t="str">
        <f ca="1"/>
        <v>Multigrain</v>
      </c>
      <c r="F64" s="219">
        <f ca="1"/>
        <v>2100</v>
      </c>
      <c r="G64" s="219">
        <f ca="1"/>
        <v>0</v>
      </c>
      <c r="H64" s="219">
        <f ca="1"/>
        <v>18</v>
      </c>
      <c r="I64" s="219">
        <f ca="1"/>
        <v>1</v>
      </c>
      <c r="J64" s="219">
        <f ca="1"/>
        <v>80</v>
      </c>
      <c r="K64" s="219">
        <f ca="1"/>
        <v>99</v>
      </c>
      <c r="L64" s="219">
        <f ca="1"/>
        <v>2001</v>
      </c>
      <c r="M64" s="219">
        <f ca="1"/>
        <v>3</v>
      </c>
      <c r="N64" s="212" t="str">
        <f ca="1"/>
        <v>Day</v>
      </c>
      <c r="O64" s="220">
        <f ca="1"/>
        <v>0.95285714285714274</v>
      </c>
      <c r="P64" s="221">
        <f ca="1"/>
        <v>2100</v>
      </c>
      <c r="Q64" s="221">
        <f ca="1"/>
        <v>0</v>
      </c>
    </row>
    <row r="65" spans="1:17" ht="18" customHeight="1">
      <c r="A65" s="212" t="str">
        <f ca="1"/>
        <v>C6 JAN-FEB</v>
      </c>
      <c r="B65" s="218">
        <f ca="1"/>
        <v>46038</v>
      </c>
      <c r="C65" s="212" t="str">
        <f ca="1"/>
        <v>Chakki1,2&amp;3</v>
      </c>
      <c r="D65" s="212" t="str">
        <f ca="1"/>
        <v>C6</v>
      </c>
      <c r="E65" s="212" t="str">
        <f ca="1"/>
        <v>Multigrain</v>
      </c>
      <c r="F65" s="219">
        <f ca="1"/>
        <v>700</v>
      </c>
      <c r="G65" s="219">
        <f ca="1"/>
        <v>0</v>
      </c>
      <c r="H65" s="219">
        <f ca="1"/>
        <v>8</v>
      </c>
      <c r="I65" s="219">
        <f ca="1"/>
        <v>2</v>
      </c>
      <c r="J65" s="219">
        <f ca="1"/>
        <v>49</v>
      </c>
      <c r="K65" s="219">
        <f ca="1"/>
        <v>59</v>
      </c>
      <c r="L65" s="219">
        <f ca="1"/>
        <v>641</v>
      </c>
      <c r="M65" s="219">
        <f ca="1"/>
        <v>4</v>
      </c>
      <c r="N65" s="212" t="str">
        <f ca="1"/>
        <v>Night</v>
      </c>
      <c r="O65" s="220">
        <f ca="1"/>
        <v>0.9157142857142857</v>
      </c>
      <c r="P65" s="221">
        <f ca="1"/>
        <v>700</v>
      </c>
      <c r="Q65" s="221">
        <f ca="1"/>
        <v>0</v>
      </c>
    </row>
    <row r="66" spans="1:17" ht="18" customHeight="1">
      <c r="A66" s="212" t="str">
        <f ca="1"/>
        <v>C6 JAN-FEB</v>
      </c>
      <c r="B66" s="218">
        <f ca="1"/>
        <v>46039</v>
      </c>
      <c r="C66" s="212" t="str">
        <f ca="1"/>
        <v>Chakki1,2&amp;3</v>
      </c>
      <c r="D66" s="212" t="str">
        <f ca="1"/>
        <v>C6</v>
      </c>
      <c r="E66" s="212" t="str">
        <f ca="1"/>
        <v>Multigrain</v>
      </c>
      <c r="F66" s="219">
        <f ca="1"/>
        <v>2050</v>
      </c>
      <c r="G66" s="219">
        <f ca="1"/>
        <v>0</v>
      </c>
      <c r="H66" s="219">
        <f ca="1"/>
        <v>9</v>
      </c>
      <c r="I66" s="219">
        <f ca="1"/>
        <v>2</v>
      </c>
      <c r="J66" s="219">
        <f ca="1"/>
        <v>110</v>
      </c>
      <c r="K66" s="219">
        <f ca="1"/>
        <v>121</v>
      </c>
      <c r="L66" s="219">
        <f ca="1"/>
        <v>1929</v>
      </c>
      <c r="M66" s="219">
        <f ca="1"/>
        <v>3</v>
      </c>
      <c r="N66" s="212" t="str">
        <f ca="1"/>
        <v>Day</v>
      </c>
      <c r="O66" s="220">
        <f ca="1"/>
        <v>0.94097560975609751</v>
      </c>
      <c r="P66" s="221">
        <f ca="1"/>
        <v>2050</v>
      </c>
      <c r="Q66" s="221">
        <f ca="1"/>
        <v>0</v>
      </c>
    </row>
    <row r="67" spans="1:17" ht="18" customHeight="1">
      <c r="A67" s="212" t="str">
        <f ca="1"/>
        <v>C6 JAN-FEB</v>
      </c>
      <c r="B67" s="218">
        <f ca="1"/>
        <v>46040</v>
      </c>
      <c r="C67" s="212" t="str">
        <f ca="1"/>
        <v>Chakki1,2&amp;3</v>
      </c>
      <c r="D67" s="212" t="str">
        <f ca="1"/>
        <v>C6</v>
      </c>
      <c r="E67" s="212" t="str">
        <f ca="1"/>
        <v>Multigrain</v>
      </c>
      <c r="F67" s="219">
        <f ca="1"/>
        <v>1950</v>
      </c>
      <c r="G67" s="219">
        <f ca="1"/>
        <v>0</v>
      </c>
      <c r="H67" s="219">
        <f ca="1"/>
        <v>24</v>
      </c>
      <c r="I67" s="219">
        <f ca="1"/>
        <v>2</v>
      </c>
      <c r="J67" s="219">
        <f ca="1"/>
        <v>134</v>
      </c>
      <c r="K67" s="219">
        <f ca="1"/>
        <v>160</v>
      </c>
      <c r="L67" s="219">
        <f ca="1"/>
        <v>1790</v>
      </c>
      <c r="M67" s="219">
        <f ca="1"/>
        <v>4</v>
      </c>
      <c r="N67" s="212" t="str">
        <f ca="1"/>
        <v>Night</v>
      </c>
      <c r="O67" s="220">
        <f ca="1"/>
        <v>0.91794871794871791</v>
      </c>
      <c r="P67" s="221">
        <f ca="1"/>
        <v>1950</v>
      </c>
      <c r="Q67" s="221">
        <f ca="1"/>
        <v>0</v>
      </c>
    </row>
    <row r="68" spans="1:17" ht="18" customHeight="1">
      <c r="A68" s="212" t="str">
        <f ca="1"/>
        <v>C6 JAN-FEB</v>
      </c>
      <c r="B68" s="218">
        <f ca="1"/>
        <v>46040</v>
      </c>
      <c r="C68" s="212" t="str">
        <f ca="1"/>
        <v>Chakki1,2&amp;3</v>
      </c>
      <c r="D68" s="212" t="str">
        <f ca="1"/>
        <v>C6</v>
      </c>
      <c r="E68" s="212" t="str">
        <f ca="1"/>
        <v>Multigrain</v>
      </c>
      <c r="F68" s="219">
        <f ca="1"/>
        <v>2400</v>
      </c>
      <c r="G68" s="219">
        <f ca="1"/>
        <v>0</v>
      </c>
      <c r="H68" s="219">
        <f ca="1"/>
        <v>23</v>
      </c>
      <c r="I68" s="219">
        <f ca="1"/>
        <v>3</v>
      </c>
      <c r="J68" s="219">
        <f ca="1"/>
        <v>74</v>
      </c>
      <c r="K68" s="219">
        <f ca="1"/>
        <v>100</v>
      </c>
      <c r="L68" s="219">
        <f ca="1"/>
        <v>2300</v>
      </c>
      <c r="M68" s="219">
        <f ca="1"/>
        <v>4</v>
      </c>
      <c r="N68" s="212" t="str">
        <f ca="1"/>
        <v>Day</v>
      </c>
      <c r="O68" s="220">
        <f ca="1"/>
        <v>0.95833333333333348</v>
      </c>
      <c r="P68" s="221">
        <f ca="1"/>
        <v>2400</v>
      </c>
      <c r="Q68" s="221">
        <f ca="1"/>
        <v>0</v>
      </c>
    </row>
    <row r="69" spans="1:17" ht="18" customHeight="1">
      <c r="A69" s="212" t="str">
        <f ca="1"/>
        <v>C6 JAN-FEB</v>
      </c>
      <c r="B69" s="218">
        <f ca="1"/>
        <v>46041</v>
      </c>
      <c r="C69" s="212" t="str">
        <f ca="1"/>
        <v>Chakki1,2&amp;3</v>
      </c>
      <c r="D69" s="212" t="str">
        <f ca="1"/>
        <v>C6</v>
      </c>
      <c r="E69" s="212" t="str">
        <f ca="1"/>
        <v>Multigrain</v>
      </c>
      <c r="F69" s="219">
        <f ca="1"/>
        <v>2400</v>
      </c>
      <c r="G69" s="219">
        <f ca="1"/>
        <v>0</v>
      </c>
      <c r="H69" s="219">
        <f ca="1"/>
        <v>18</v>
      </c>
      <c r="I69" s="219">
        <f ca="1"/>
        <v>5</v>
      </c>
      <c r="J69" s="219">
        <f ca="1"/>
        <v>127</v>
      </c>
      <c r="K69" s="219">
        <f ca="1"/>
        <v>150</v>
      </c>
      <c r="L69" s="219">
        <f ca="1"/>
        <v>2250</v>
      </c>
      <c r="M69" s="219">
        <f ca="1"/>
        <v>3</v>
      </c>
      <c r="N69" s="212" t="str">
        <f ca="1"/>
        <v>DAY</v>
      </c>
      <c r="O69" s="220">
        <f ca="1"/>
        <v>0.9375</v>
      </c>
      <c r="P69" s="221">
        <f ca="1"/>
        <v>2400</v>
      </c>
      <c r="Q69" s="221">
        <f ca="1"/>
        <v>0</v>
      </c>
    </row>
    <row r="70" spans="1:17" ht="18" customHeight="1">
      <c r="A70" s="212" t="str">
        <f ca="1"/>
        <v>C6 JAN-FEB</v>
      </c>
      <c r="B70" s="218">
        <f ca="1"/>
        <v>46041</v>
      </c>
      <c r="C70" s="212" t="str">
        <f ca="1"/>
        <v>Chakki1,2&amp;3</v>
      </c>
      <c r="D70" s="212" t="str">
        <f ca="1"/>
        <v>C6</v>
      </c>
      <c r="E70" s="212" t="str">
        <f ca="1"/>
        <v>Multigrain</v>
      </c>
      <c r="F70" s="219">
        <f ca="1"/>
        <v>2300</v>
      </c>
      <c r="G70" s="219">
        <f ca="1"/>
        <v>0</v>
      </c>
      <c r="H70" s="219">
        <f ca="1"/>
        <v>28</v>
      </c>
      <c r="I70" s="219">
        <f ca="1"/>
        <v>1</v>
      </c>
      <c r="J70" s="219">
        <f ca="1"/>
        <v>114</v>
      </c>
      <c r="K70" s="219">
        <f ca="1"/>
        <v>143</v>
      </c>
      <c r="L70" s="219">
        <f ca="1"/>
        <v>2157</v>
      </c>
      <c r="M70" s="219">
        <f ca="1"/>
        <v>4</v>
      </c>
      <c r="N70" s="212" t="str">
        <f ca="1"/>
        <v>NIGHT</v>
      </c>
      <c r="O70" s="220">
        <f ca="1"/>
        <v>0.9378260869565217</v>
      </c>
      <c r="P70" s="221">
        <f ca="1"/>
        <v>2300</v>
      </c>
      <c r="Q70" s="221">
        <f ca="1"/>
        <v>0</v>
      </c>
    </row>
    <row r="71" spans="1:17" ht="18" customHeight="1">
      <c r="A71" s="212" t="str">
        <f ca="1"/>
        <v>C6 JAN-FEB</v>
      </c>
      <c r="B71" s="218">
        <f ca="1"/>
        <v>46042</v>
      </c>
      <c r="C71" s="212" t="str">
        <f ca="1"/>
        <v>Chakki1,2&amp;3</v>
      </c>
      <c r="D71" s="212" t="str">
        <f ca="1"/>
        <v>C6</v>
      </c>
      <c r="E71" s="212" t="str">
        <f ca="1"/>
        <v>Multigrain</v>
      </c>
      <c r="F71" s="219">
        <f ca="1"/>
        <v>2250</v>
      </c>
      <c r="G71" s="219">
        <f ca="1"/>
        <v>0</v>
      </c>
      <c r="H71" s="219">
        <f ca="1"/>
        <v>20</v>
      </c>
      <c r="I71" s="219">
        <f ca="1"/>
        <v>5</v>
      </c>
      <c r="J71" s="219">
        <f ca="1"/>
        <v>137</v>
      </c>
      <c r="K71" s="219">
        <f ca="1"/>
        <v>162</v>
      </c>
      <c r="L71" s="219">
        <f ca="1"/>
        <v>2088</v>
      </c>
      <c r="M71" s="219">
        <f ca="1"/>
        <v>3</v>
      </c>
      <c r="N71" s="212" t="str">
        <f ca="1"/>
        <v>DAY</v>
      </c>
      <c r="O71" s="220">
        <f ca="1"/>
        <v>0.92800000000000016</v>
      </c>
      <c r="P71" s="221">
        <f ca="1"/>
        <v>2250</v>
      </c>
      <c r="Q71" s="221">
        <f ca="1"/>
        <v>0</v>
      </c>
    </row>
    <row r="72" spans="1:17" ht="18" customHeight="1">
      <c r="A72" s="212" t="str">
        <f ca="1"/>
        <v>C6 JAN-FEB</v>
      </c>
      <c r="B72" s="218">
        <f ca="1"/>
        <v>46042</v>
      </c>
      <c r="C72" s="212" t="str">
        <f ca="1"/>
        <v>Chakki1,2&amp;3</v>
      </c>
      <c r="D72" s="212" t="str">
        <f ca="1"/>
        <v>C6</v>
      </c>
      <c r="E72" s="212" t="str">
        <f ca="1"/>
        <v>Jowar</v>
      </c>
      <c r="F72" s="219">
        <f ca="1"/>
        <v>3000</v>
      </c>
      <c r="G72" s="219">
        <f ca="1"/>
        <v>0</v>
      </c>
      <c r="H72" s="219">
        <f ca="1"/>
        <v>142</v>
      </c>
      <c r="I72" s="219">
        <f ca="1"/>
        <v>1</v>
      </c>
      <c r="J72" s="219">
        <f ca="1"/>
        <v>183</v>
      </c>
      <c r="K72" s="219">
        <f ca="1"/>
        <v>326</v>
      </c>
      <c r="L72" s="219">
        <f ca="1"/>
        <v>2674</v>
      </c>
      <c r="M72" s="219">
        <f ca="1"/>
        <v>4</v>
      </c>
      <c r="N72" s="212" t="str">
        <f ca="1"/>
        <v>NIGHT</v>
      </c>
      <c r="O72" s="220">
        <f ca="1"/>
        <v>0.89133333333333331</v>
      </c>
      <c r="P72" s="221">
        <f ca="1"/>
        <v>3000</v>
      </c>
      <c r="Q72" s="221">
        <f ca="1"/>
        <v>0</v>
      </c>
    </row>
    <row r="73" spans="1:17" ht="18" customHeight="1">
      <c r="A73" s="212" t="str">
        <f ca="1"/>
        <v>C6 JAN-FEB</v>
      </c>
      <c r="B73" s="218">
        <f ca="1"/>
        <v>46043</v>
      </c>
      <c r="C73" s="212" t="str">
        <f ca="1"/>
        <v>Chakki1,2&amp;3</v>
      </c>
      <c r="D73" s="212" t="str">
        <f ca="1"/>
        <v>C6</v>
      </c>
      <c r="E73" s="212" t="str">
        <f ca="1"/>
        <v>Multigrain</v>
      </c>
      <c r="F73" s="219">
        <f ca="1"/>
        <v>2400</v>
      </c>
      <c r="G73" s="219">
        <f ca="1"/>
        <v>0</v>
      </c>
      <c r="H73" s="219">
        <f ca="1"/>
        <v>16</v>
      </c>
      <c r="I73" s="219">
        <f ca="1"/>
        <v>2</v>
      </c>
      <c r="J73" s="219">
        <f ca="1"/>
        <v>153</v>
      </c>
      <c r="K73" s="219">
        <f ca="1"/>
        <v>171</v>
      </c>
      <c r="L73" s="219">
        <f ca="1"/>
        <v>2229</v>
      </c>
      <c r="M73" s="219">
        <f ca="1"/>
        <v>3</v>
      </c>
      <c r="N73" s="212" t="str">
        <f ca="1"/>
        <v>DAY</v>
      </c>
      <c r="O73" s="220">
        <f ca="1"/>
        <v>0.92874999999999996</v>
      </c>
      <c r="P73" s="221">
        <f ca="1"/>
        <v>2400</v>
      </c>
      <c r="Q73" s="221">
        <f ca="1"/>
        <v>0</v>
      </c>
    </row>
    <row r="74" spans="1:17" ht="18" customHeight="1">
      <c r="A74" s="212" t="str">
        <f ca="1"/>
        <v>C6 JAN-FEB</v>
      </c>
      <c r="B74" s="218">
        <f ca="1"/>
        <v>46043</v>
      </c>
      <c r="C74" s="212" t="str">
        <f ca="1"/>
        <v>Chakki1,2&amp;3</v>
      </c>
      <c r="D74" s="212" t="str">
        <f ca="1"/>
        <v>C6</v>
      </c>
      <c r="E74" s="212" t="str">
        <f ca="1"/>
        <v>Multigrain</v>
      </c>
      <c r="F74" s="219">
        <f ca="1"/>
        <v>3300</v>
      </c>
      <c r="G74" s="219">
        <f ca="1"/>
        <v>0</v>
      </c>
      <c r="H74" s="219">
        <f ca="1"/>
        <v>67</v>
      </c>
      <c r="I74" s="219">
        <f ca="1"/>
        <v>4</v>
      </c>
      <c r="J74" s="219">
        <f ca="1"/>
        <v>169</v>
      </c>
      <c r="K74" s="219">
        <f ca="1"/>
        <v>240</v>
      </c>
      <c r="L74" s="219">
        <f ca="1"/>
        <v>3060</v>
      </c>
      <c r="M74" s="219">
        <f ca="1"/>
        <v>4</v>
      </c>
      <c r="N74" s="212" t="str">
        <f ca="1"/>
        <v>NIGHT</v>
      </c>
      <c r="O74" s="220">
        <f ca="1"/>
        <v>0.92727272727272725</v>
      </c>
      <c r="P74" s="221">
        <f ca="1"/>
        <v>3300</v>
      </c>
      <c r="Q74" s="221">
        <f ca="1"/>
        <v>0</v>
      </c>
    </row>
    <row r="75" spans="1:17" ht="18" customHeight="1">
      <c r="A75" s="212" t="str">
        <f ca="1"/>
        <v>C6 JAN-FEB</v>
      </c>
      <c r="B75" s="218">
        <f ca="1"/>
        <v>46044</v>
      </c>
      <c r="C75" s="212" t="str">
        <f ca="1"/>
        <v>Chakki1,2</v>
      </c>
      <c r="D75" s="212" t="str">
        <f ca="1"/>
        <v>C6</v>
      </c>
      <c r="E75" s="212" t="str">
        <f ca="1"/>
        <v>Multigrain</v>
      </c>
      <c r="F75" s="219">
        <f ca="1"/>
        <v>1950</v>
      </c>
      <c r="G75" s="219">
        <f ca="1"/>
        <v>0</v>
      </c>
      <c r="H75" s="219">
        <f ca="1"/>
        <v>18</v>
      </c>
      <c r="I75" s="219">
        <f ca="1"/>
        <v>2</v>
      </c>
      <c r="J75" s="219">
        <f ca="1"/>
        <v>56</v>
      </c>
      <c r="K75" s="219">
        <f ca="1"/>
        <v>76</v>
      </c>
      <c r="L75" s="219">
        <f ca="1"/>
        <v>1874</v>
      </c>
      <c r="M75" s="219">
        <f ca="1"/>
        <v>4</v>
      </c>
      <c r="N75" s="212" t="str">
        <f ca="1"/>
        <v>DAY</v>
      </c>
      <c r="O75" s="220">
        <f ca="1"/>
        <v>0.96102564102564103</v>
      </c>
      <c r="P75" s="221">
        <f ca="1"/>
        <v>1950</v>
      </c>
      <c r="Q75" s="221">
        <f ca="1"/>
        <v>0</v>
      </c>
    </row>
    <row r="76" spans="1:17" ht="18" customHeight="1">
      <c r="A76" s="212" t="str">
        <f ca="1"/>
        <v>C6 JAN-FEB</v>
      </c>
      <c r="B76" s="218">
        <f ca="1"/>
        <v>46044</v>
      </c>
      <c r="C76" s="212" t="str">
        <f ca="1"/>
        <v>Chakki1,2</v>
      </c>
      <c r="D76" s="212" t="str">
        <f ca="1"/>
        <v>C6</v>
      </c>
      <c r="E76" s="212" t="str">
        <f ca="1"/>
        <v>Multigrain</v>
      </c>
      <c r="F76" s="219">
        <f ca="1"/>
        <v>3750</v>
      </c>
      <c r="G76" s="219">
        <f ca="1"/>
        <v>0</v>
      </c>
      <c r="H76" s="219">
        <f ca="1"/>
        <v>119</v>
      </c>
      <c r="I76" s="219">
        <f ca="1"/>
        <v>5</v>
      </c>
      <c r="J76" s="219">
        <f ca="1"/>
        <v>206</v>
      </c>
      <c r="K76" s="219">
        <f ca="1"/>
        <v>330</v>
      </c>
      <c r="L76" s="219">
        <f ca="1"/>
        <v>3420</v>
      </c>
      <c r="M76" s="219">
        <f ca="1"/>
        <v>4</v>
      </c>
      <c r="N76" s="212" t="str">
        <f ca="1"/>
        <v>NIGHT</v>
      </c>
      <c r="O76" s="220">
        <f ca="1"/>
        <v>0.91200000000000003</v>
      </c>
      <c r="P76" s="221">
        <f ca="1"/>
        <v>3750</v>
      </c>
      <c r="Q76" s="221">
        <f ca="1"/>
        <v>0</v>
      </c>
    </row>
    <row r="77" spans="1:17" ht="18" customHeight="1">
      <c r="A77" s="212" t="str">
        <f ca="1"/>
        <v>C6 JAN-FEB</v>
      </c>
      <c r="B77" s="218">
        <f ca="1"/>
        <v>46045</v>
      </c>
      <c r="C77" s="212" t="str">
        <f ca="1"/>
        <v>Chakki1,2</v>
      </c>
      <c r="D77" s="212" t="str">
        <f ca="1"/>
        <v>C6</v>
      </c>
      <c r="E77" s="212" t="str">
        <f ca="1"/>
        <v>Multigrain</v>
      </c>
      <c r="F77" s="219">
        <f ca="1"/>
        <v>2550</v>
      </c>
      <c r="G77" s="219">
        <f ca="1"/>
        <v>0</v>
      </c>
      <c r="H77" s="219">
        <f ca="1"/>
        <v>25</v>
      </c>
      <c r="I77" s="219">
        <f ca="1"/>
        <v>3</v>
      </c>
      <c r="J77" s="219">
        <f ca="1"/>
        <v>116</v>
      </c>
      <c r="K77" s="219">
        <f ca="1"/>
        <v>144</v>
      </c>
      <c r="L77" s="219">
        <f ca="1"/>
        <v>2406</v>
      </c>
      <c r="M77" s="219">
        <f ca="1"/>
        <v>4</v>
      </c>
      <c r="N77" s="212" t="str">
        <f ca="1"/>
        <v>DAY</v>
      </c>
      <c r="O77" s="220">
        <f ca="1"/>
        <v>0.94352941176470584</v>
      </c>
      <c r="P77" s="221">
        <f ca="1"/>
        <v>2550</v>
      </c>
      <c r="Q77" s="221">
        <f ca="1"/>
        <v>0</v>
      </c>
    </row>
    <row r="78" spans="1:17" ht="18" customHeight="1">
      <c r="A78" s="212" t="str">
        <f ca="1"/>
        <v>C6 JAN-FEB</v>
      </c>
      <c r="B78" s="218">
        <f ca="1"/>
        <v>46045</v>
      </c>
      <c r="C78" s="212" t="str">
        <f ca="1"/>
        <v>Chakki1,2</v>
      </c>
      <c r="D78" s="212" t="str">
        <f ca="1"/>
        <v>C6</v>
      </c>
      <c r="E78" s="212" t="str">
        <f ca="1"/>
        <v>Multigrain</v>
      </c>
      <c r="F78" s="219">
        <f ca="1"/>
        <v>3050</v>
      </c>
      <c r="G78" s="219">
        <f ca="1"/>
        <v>0</v>
      </c>
      <c r="H78" s="219">
        <f ca="1"/>
        <v>31</v>
      </c>
      <c r="I78" s="219">
        <f ca="1"/>
        <v>5</v>
      </c>
      <c r="J78" s="219">
        <f ca="1"/>
        <v>146</v>
      </c>
      <c r="K78" s="219">
        <f ca="1"/>
        <v>182</v>
      </c>
      <c r="L78" s="219">
        <f ca="1"/>
        <v>2868</v>
      </c>
      <c r="M78" s="219">
        <f ca="1"/>
        <v>4</v>
      </c>
      <c r="N78" s="212" t="str">
        <f ca="1"/>
        <v>NIGHT</v>
      </c>
      <c r="O78" s="220">
        <f ca="1"/>
        <v>0.940327868852459</v>
      </c>
      <c r="P78" s="221">
        <f ca="1"/>
        <v>3050</v>
      </c>
      <c r="Q78" s="221">
        <f ca="1"/>
        <v>0</v>
      </c>
    </row>
    <row r="79" spans="1:17" ht="18" customHeight="1">
      <c r="A79" s="212" t="str">
        <f ca="1"/>
        <v>C6 JAN-FEB</v>
      </c>
      <c r="B79" s="218">
        <f ca="1"/>
        <v>46046</v>
      </c>
      <c r="C79" s="212" t="str">
        <f ca="1"/>
        <v>Chakki1,2</v>
      </c>
      <c r="D79" s="212" t="str">
        <f ca="1"/>
        <v>C6</v>
      </c>
      <c r="E79" s="212" t="str">
        <f ca="1"/>
        <v>Multigrain</v>
      </c>
      <c r="F79" s="219">
        <f ca="1"/>
        <v>1450</v>
      </c>
      <c r="G79" s="219">
        <f ca="1"/>
        <v>0</v>
      </c>
      <c r="H79" s="219">
        <f ca="1"/>
        <v>14</v>
      </c>
      <c r="I79" s="219">
        <f ca="1"/>
        <v>4</v>
      </c>
      <c r="J79" s="219">
        <f ca="1"/>
        <v>0</v>
      </c>
      <c r="K79" s="219">
        <f ca="1"/>
        <v>115</v>
      </c>
      <c r="L79" s="219">
        <f ca="1"/>
        <v>1335</v>
      </c>
      <c r="M79" s="219">
        <f ca="1"/>
        <v>4</v>
      </c>
      <c r="N79" s="212" t="str">
        <f ca="1"/>
        <v>DAY</v>
      </c>
      <c r="O79" s="220">
        <f ca="1"/>
        <v>0.92068965517241386</v>
      </c>
      <c r="P79" s="221">
        <f ca="1"/>
        <v>1450</v>
      </c>
      <c r="Q79" s="221">
        <f ca="1"/>
        <v>0</v>
      </c>
    </row>
    <row r="80" spans="1:17" ht="18" customHeight="1">
      <c r="A80" s="212" t="str">
        <f ca="1"/>
        <v>C6 JAN-FEB</v>
      </c>
      <c r="B80" s="218">
        <f ca="1"/>
        <v>46046</v>
      </c>
      <c r="C80" s="212" t="str">
        <f ca="1"/>
        <v>Chakki1,2</v>
      </c>
      <c r="D80" s="212" t="str">
        <f ca="1"/>
        <v>C6</v>
      </c>
      <c r="E80" s="212" t="str">
        <f ca="1"/>
        <v>Multigrain</v>
      </c>
      <c r="F80" s="219">
        <f ca="1"/>
        <v>3250</v>
      </c>
      <c r="G80" s="219">
        <f ca="1"/>
        <v>0</v>
      </c>
      <c r="H80" s="219">
        <f ca="1"/>
        <v>80</v>
      </c>
      <c r="I80" s="219">
        <f ca="1"/>
        <v>2</v>
      </c>
      <c r="J80" s="219">
        <f ca="1"/>
        <v>117</v>
      </c>
      <c r="K80" s="219">
        <f ca="1"/>
        <v>199</v>
      </c>
      <c r="L80" s="219">
        <f ca="1"/>
        <v>3051</v>
      </c>
      <c r="M80" s="219">
        <f ca="1"/>
        <v>4</v>
      </c>
      <c r="N80" s="212" t="str">
        <f ca="1"/>
        <v>NIGHT</v>
      </c>
      <c r="O80" s="220">
        <f ca="1"/>
        <v>0.9387692307692308</v>
      </c>
      <c r="P80" s="221">
        <f ca="1"/>
        <v>3250</v>
      </c>
      <c r="Q80" s="221">
        <f ca="1"/>
        <v>0</v>
      </c>
    </row>
    <row r="81" spans="1:17" ht="18" customHeight="1">
      <c r="A81" s="212" t="str">
        <f ca="1"/>
        <v>C6 JAN-FEB</v>
      </c>
      <c r="B81" s="218">
        <f ca="1"/>
        <v>46047</v>
      </c>
      <c r="C81" s="212" t="str">
        <f ca="1"/>
        <v>Chakki1,2</v>
      </c>
      <c r="D81" s="212" t="str">
        <f ca="1"/>
        <v>C6</v>
      </c>
      <c r="E81" s="212" t="str">
        <f ca="1"/>
        <v>Multigrain</v>
      </c>
      <c r="F81" s="219">
        <f ca="1"/>
        <v>1850</v>
      </c>
      <c r="G81" s="219">
        <f ca="1"/>
        <v>0</v>
      </c>
      <c r="H81" s="219">
        <f ca="1"/>
        <v>37</v>
      </c>
      <c r="I81" s="219">
        <f ca="1"/>
        <v>3</v>
      </c>
      <c r="J81" s="219">
        <f ca="1"/>
        <v>105</v>
      </c>
      <c r="K81" s="219">
        <f ca="1"/>
        <v>145</v>
      </c>
      <c r="L81" s="219">
        <f ca="1"/>
        <v>1722</v>
      </c>
      <c r="M81" s="219">
        <f ca="1"/>
        <v>3</v>
      </c>
      <c r="N81" s="212" t="str">
        <f ca="1"/>
        <v>DAY</v>
      </c>
      <c r="O81" s="220">
        <f ca="1"/>
        <v>0.93081081081081085</v>
      </c>
      <c r="P81" s="221">
        <f ca="1"/>
        <v>1867</v>
      </c>
      <c r="Q81" s="221">
        <f ca="1"/>
        <v>-17</v>
      </c>
    </row>
    <row r="82" spans="1:17" ht="18" customHeight="1">
      <c r="A82" s="212" t="str">
        <f ca="1"/>
        <v>C6 JAN-FEB</v>
      </c>
      <c r="B82" s="218">
        <f ca="1"/>
        <v>46049</v>
      </c>
      <c r="C82" s="212" t="str">
        <f ca="1"/>
        <v>Chakki1,2</v>
      </c>
      <c r="D82" s="212" t="str">
        <f ca="1"/>
        <v>C6</v>
      </c>
      <c r="E82" s="212" t="str">
        <f ca="1"/>
        <v>Multigrain</v>
      </c>
      <c r="F82" s="219">
        <f ca="1"/>
        <v>2050</v>
      </c>
      <c r="G82" s="219">
        <f ca="1"/>
        <v>0</v>
      </c>
      <c r="H82" s="219">
        <f ca="1"/>
        <v>45</v>
      </c>
      <c r="I82" s="219">
        <f ca="1"/>
        <v>4</v>
      </c>
      <c r="J82" s="219">
        <f ca="1"/>
        <v>122</v>
      </c>
      <c r="K82" s="219">
        <f ca="1"/>
        <v>171</v>
      </c>
      <c r="L82" s="219">
        <f ca="1"/>
        <v>1910</v>
      </c>
      <c r="M82" s="219">
        <f ca="1"/>
        <v>3</v>
      </c>
      <c r="N82" s="212" t="str">
        <f ca="1"/>
        <v>DAY</v>
      </c>
      <c r="O82" s="220">
        <f ca="1"/>
        <v>0.93170731707317078</v>
      </c>
      <c r="P82" s="221">
        <f ca="1"/>
        <v>2081</v>
      </c>
      <c r="Q82" s="221">
        <f ca="1"/>
        <v>-31</v>
      </c>
    </row>
    <row r="83" spans="1:17" ht="18" customHeight="1">
      <c r="A83" s="212" t="str">
        <f ca="1"/>
        <v>C6 JAN-FEB</v>
      </c>
      <c r="B83" s="218">
        <f ca="1"/>
        <v>46049</v>
      </c>
      <c r="C83" s="212" t="str">
        <f ca="1"/>
        <v>Chakki1,2</v>
      </c>
      <c r="D83" s="212" t="str">
        <f ca="1"/>
        <v>C6</v>
      </c>
      <c r="E83" s="212" t="str">
        <f ca="1"/>
        <v>Jowar</v>
      </c>
      <c r="F83" s="219">
        <f ca="1"/>
        <v>550</v>
      </c>
      <c r="G83" s="219">
        <f ca="1"/>
        <v>0</v>
      </c>
      <c r="H83" s="219">
        <f ca="1"/>
        <v>42</v>
      </c>
      <c r="I83" s="219">
        <f ca="1"/>
        <v>3</v>
      </c>
      <c r="J83" s="219">
        <f ca="1"/>
        <v>42</v>
      </c>
      <c r="K83" s="219">
        <f ca="1"/>
        <v>87</v>
      </c>
      <c r="L83" s="219">
        <f ca="1"/>
        <v>463</v>
      </c>
      <c r="M83" s="219">
        <f ca="1"/>
        <v>4</v>
      </c>
      <c r="N83" s="212" t="str">
        <f ca="1"/>
        <v>NIGHT</v>
      </c>
      <c r="O83" s="220">
        <f ca="1"/>
        <v>0.84181818181818191</v>
      </c>
      <c r="P83" s="221">
        <f ca="1"/>
        <v>550</v>
      </c>
      <c r="Q83" s="221">
        <f ca="1"/>
        <v>0</v>
      </c>
    </row>
    <row r="84" spans="1:17" ht="18" customHeight="1">
      <c r="A84" s="212" t="str">
        <f ca="1"/>
        <v>C6 JAN-FEB</v>
      </c>
      <c r="B84" s="218">
        <f ca="1"/>
        <v>46049</v>
      </c>
      <c r="C84" s="212" t="str">
        <f ca="1"/>
        <v>Chakki1,2</v>
      </c>
      <c r="D84" s="212" t="str">
        <f ca="1"/>
        <v>C6</v>
      </c>
      <c r="E84" s="212" t="str">
        <f ca="1"/>
        <v>Multigrain</v>
      </c>
      <c r="F84" s="219">
        <f ca="1"/>
        <v>1150</v>
      </c>
      <c r="G84" s="219">
        <f ca="1"/>
        <v>0</v>
      </c>
      <c r="H84" s="219">
        <f ca="1"/>
        <v>27</v>
      </c>
      <c r="I84" s="219">
        <f ca="1"/>
        <v>2</v>
      </c>
      <c r="J84" s="219">
        <f ca="1"/>
        <v>69</v>
      </c>
      <c r="K84" s="219">
        <f ca="1"/>
        <v>98</v>
      </c>
      <c r="L84" s="219">
        <f ca="1"/>
        <v>1052</v>
      </c>
      <c r="M84" s="219">
        <f ca="1"/>
        <v>4</v>
      </c>
      <c r="N84" s="212" t="str">
        <f ca="1"/>
        <v>NIGHT</v>
      </c>
      <c r="O84" s="220">
        <f ca="1"/>
        <v>0.9147826086956522</v>
      </c>
      <c r="P84" s="221">
        <f ca="1"/>
        <v>1150</v>
      </c>
      <c r="Q84" s="221">
        <f ca="1"/>
        <v>0</v>
      </c>
    </row>
    <row r="85" spans="1:17" ht="18" customHeight="1">
      <c r="A85" s="212" t="str">
        <f ca="1"/>
        <v>C6 JAN-FEB</v>
      </c>
      <c r="B85" s="218">
        <f ca="1"/>
        <v>46050</v>
      </c>
      <c r="C85" s="212" t="str">
        <f ca="1"/>
        <v>Chakki1,2&amp;3</v>
      </c>
      <c r="D85" s="212" t="str">
        <f ca="1"/>
        <v>C6</v>
      </c>
      <c r="E85" s="212" t="str">
        <f ca="1"/>
        <v>Jowar</v>
      </c>
      <c r="F85" s="219">
        <f ca="1"/>
        <v>1400</v>
      </c>
      <c r="G85" s="219">
        <f ca="1"/>
        <v>0</v>
      </c>
      <c r="H85" s="219">
        <f ca="1"/>
        <v>34</v>
      </c>
      <c r="I85" s="219">
        <f ca="1"/>
        <v>3</v>
      </c>
      <c r="J85" s="219">
        <f ca="1"/>
        <v>83</v>
      </c>
      <c r="K85" s="219">
        <f ca="1"/>
        <v>120</v>
      </c>
      <c r="L85" s="219">
        <f ca="1"/>
        <v>1280</v>
      </c>
      <c r="M85" s="219">
        <f ca="1"/>
        <v>3</v>
      </c>
      <c r="N85" s="212" t="str">
        <f ca="1"/>
        <v>DAY</v>
      </c>
      <c r="O85" s="220">
        <f ca="1"/>
        <v>0.91428571428571426</v>
      </c>
      <c r="P85" s="221">
        <f ca="1"/>
        <v>1400</v>
      </c>
      <c r="Q85" s="221">
        <f ca="1"/>
        <v>0</v>
      </c>
    </row>
    <row r="86" spans="1:17" ht="18" customHeight="1">
      <c r="A86" s="212" t="str">
        <f ca="1"/>
        <v>C6 JAN-FEB</v>
      </c>
      <c r="B86" s="218">
        <f ca="1"/>
        <v>46050</v>
      </c>
      <c r="C86" s="212" t="str">
        <f ca="1"/>
        <v>Chakki1,2&amp;3</v>
      </c>
      <c r="D86" s="212" t="str">
        <f ca="1"/>
        <v>C6</v>
      </c>
      <c r="E86" s="212" t="str">
        <f ca="1"/>
        <v>Jowar</v>
      </c>
      <c r="F86" s="219">
        <f ca="1"/>
        <v>2050</v>
      </c>
      <c r="G86" s="219">
        <f ca="1"/>
        <v>0</v>
      </c>
      <c r="H86" s="219">
        <f ca="1"/>
        <v>50</v>
      </c>
      <c r="I86" s="219">
        <f ca="1"/>
        <v>1</v>
      </c>
      <c r="J86" s="219">
        <f ca="1"/>
        <v>89</v>
      </c>
      <c r="K86" s="219">
        <f ca="1"/>
        <v>140</v>
      </c>
      <c r="L86" s="219">
        <f ca="1"/>
        <v>1910</v>
      </c>
      <c r="M86" s="219">
        <f ca="1"/>
        <v>4</v>
      </c>
      <c r="N86" s="212" t="str">
        <f ca="1"/>
        <v>NIGHT</v>
      </c>
      <c r="O86" s="220">
        <f ca="1"/>
        <v>0.93170731707317078</v>
      </c>
      <c r="P86" s="221">
        <f ca="1"/>
        <v>2050</v>
      </c>
      <c r="Q86" s="221">
        <f ca="1"/>
        <v>0</v>
      </c>
    </row>
    <row r="87" spans="1:17" ht="18" customHeight="1">
      <c r="A87" s="212" t="str">
        <f ca="1"/>
        <v>C6 JAN-FEB</v>
      </c>
      <c r="B87" s="218">
        <f ca="1"/>
        <v>46052</v>
      </c>
      <c r="C87" s="212" t="str">
        <f ca="1"/>
        <v>Chakki1,2&amp;3</v>
      </c>
      <c r="D87" s="212" t="str">
        <f ca="1"/>
        <v>C6</v>
      </c>
      <c r="E87" s="212" t="str">
        <f ca="1"/>
        <v>Jowar</v>
      </c>
      <c r="F87" s="219">
        <f ca="1"/>
        <v>2022</v>
      </c>
      <c r="G87" s="219">
        <f ca="1"/>
        <v>0</v>
      </c>
      <c r="H87" s="219">
        <f ca="1"/>
        <v>61</v>
      </c>
      <c r="I87" s="219">
        <f ca="1"/>
        <v>1</v>
      </c>
      <c r="J87" s="219">
        <f ca="1"/>
        <v>98</v>
      </c>
      <c r="K87" s="219">
        <f ca="1"/>
        <v>160</v>
      </c>
      <c r="L87" s="219">
        <f ca="1"/>
        <v>1860</v>
      </c>
      <c r="M87" s="219">
        <f ca="1"/>
        <v>4</v>
      </c>
      <c r="N87" s="212" t="str">
        <f ca="1"/>
        <v>NIGHT</v>
      </c>
      <c r="O87" s="220">
        <f ca="1"/>
        <v>0.91988130563798221</v>
      </c>
      <c r="P87" s="221">
        <f ca="1"/>
        <v>2020</v>
      </c>
      <c r="Q87" s="221">
        <f ca="1"/>
        <v>2</v>
      </c>
    </row>
    <row r="88" spans="1:17" ht="18" customHeight="1">
      <c r="A88" s="212" t="str">
        <f ca="1"/>
        <v>C6 JAN-FEB</v>
      </c>
      <c r="B88" s="218">
        <f ca="1"/>
        <v>46053</v>
      </c>
      <c r="C88" s="212" t="str">
        <f ca="1"/>
        <v>Chakki1,2&amp;3</v>
      </c>
      <c r="D88" s="212" t="str">
        <f ca="1"/>
        <v>C6</v>
      </c>
      <c r="E88" s="212" t="str">
        <f ca="1"/>
        <v>Multigrain</v>
      </c>
      <c r="F88" s="219">
        <f ca="1"/>
        <v>1600</v>
      </c>
      <c r="G88" s="219">
        <f ca="1"/>
        <v>0</v>
      </c>
      <c r="H88" s="219">
        <f ca="1"/>
        <v>8</v>
      </c>
      <c r="I88" s="219">
        <f ca="1"/>
        <v>3</v>
      </c>
      <c r="J88" s="219">
        <f ca="1"/>
        <v>121</v>
      </c>
      <c r="K88" s="219">
        <f ca="1"/>
        <v>132</v>
      </c>
      <c r="L88" s="219">
        <f ca="1"/>
        <v>1468</v>
      </c>
      <c r="M88" s="219">
        <f ca="1"/>
        <v>3</v>
      </c>
      <c r="N88" s="212" t="str">
        <f ca="1"/>
        <v>DAY</v>
      </c>
      <c r="O88" s="220">
        <f ca="1"/>
        <v>0.91749999999999998</v>
      </c>
      <c r="P88" s="221">
        <f ca="1"/>
        <v>1600</v>
      </c>
      <c r="Q88" s="221">
        <f ca="1"/>
        <v>0</v>
      </c>
    </row>
    <row r="89" spans="1:17" ht="18" customHeight="1">
      <c r="A89" s="212" t="str">
        <f ca="1"/>
        <v>C6 JAN-FEB</v>
      </c>
      <c r="B89" s="218">
        <f ca="1"/>
        <v>46053</v>
      </c>
      <c r="C89" s="212" t="str">
        <f ca="1"/>
        <v>Chakki1,2&amp;3</v>
      </c>
      <c r="D89" s="212" t="str">
        <f ca="1"/>
        <v>C6</v>
      </c>
      <c r="E89" s="212" t="str">
        <f ca="1"/>
        <v>Multigrain</v>
      </c>
      <c r="F89" s="219">
        <f ca="1"/>
        <v>3237</v>
      </c>
      <c r="G89" s="219">
        <f ca="1"/>
        <v>0</v>
      </c>
      <c r="H89" s="219">
        <f ca="1"/>
        <v>54</v>
      </c>
      <c r="I89" s="219">
        <f ca="1"/>
        <v>2</v>
      </c>
      <c r="J89" s="219">
        <f ca="1"/>
        <v>87</v>
      </c>
      <c r="K89" s="219">
        <f ca="1"/>
        <v>143</v>
      </c>
      <c r="L89" s="219">
        <f ca="1"/>
        <v>3094</v>
      </c>
      <c r="M89" s="219">
        <f ca="1"/>
        <v>4</v>
      </c>
      <c r="N89" s="212" t="str">
        <f ca="1"/>
        <v>NIGHT</v>
      </c>
      <c r="O89" s="220">
        <f ca="1"/>
        <v>0.95582329317269066</v>
      </c>
      <c r="P89" s="221">
        <f ca="1"/>
        <v>3237</v>
      </c>
      <c r="Q89" s="221">
        <f ca="1"/>
        <v>0</v>
      </c>
    </row>
    <row r="90" spans="1:17" ht="18" customHeight="1">
      <c r="A90" s="212" t="str">
        <f ca="1"/>
        <v>C6 JAN-FEB</v>
      </c>
      <c r="B90" s="218">
        <f ca="1"/>
        <v>46054</v>
      </c>
      <c r="C90" s="212" t="str">
        <f ca="1"/>
        <v>Chakki1,2&amp;3</v>
      </c>
      <c r="D90" s="212" t="str">
        <f ca="1"/>
        <v>C6</v>
      </c>
      <c r="E90" s="212" t="str">
        <f ca="1"/>
        <v>Multigrain</v>
      </c>
      <c r="F90" s="219">
        <f ca="1"/>
        <v>1650</v>
      </c>
      <c r="G90" s="219">
        <f ca="1"/>
        <v>0</v>
      </c>
      <c r="H90" s="219">
        <f ca="1"/>
        <v>30</v>
      </c>
      <c r="I90" s="219">
        <f ca="1"/>
        <v>2</v>
      </c>
      <c r="J90" s="219">
        <f ca="1"/>
        <v>75</v>
      </c>
      <c r="K90" s="219">
        <f ca="1"/>
        <v>107</v>
      </c>
      <c r="L90" s="219">
        <f ca="1"/>
        <v>1543</v>
      </c>
      <c r="M90" s="219">
        <f ca="1"/>
        <v>4</v>
      </c>
      <c r="N90" s="212" t="str">
        <f ca="1"/>
        <v>DAY</v>
      </c>
      <c r="O90" s="220">
        <f ca="1"/>
        <v>0.93515151515151518</v>
      </c>
      <c r="P90" s="221">
        <f ca="1"/>
        <v>1650</v>
      </c>
      <c r="Q90" s="221">
        <f ca="1"/>
        <v>0</v>
      </c>
    </row>
    <row r="91" spans="1:17" ht="18" customHeight="1">
      <c r="A91" s="212" t="str">
        <f ca="1"/>
        <v>C6 JAN-FEB</v>
      </c>
      <c r="B91" s="218">
        <f ca="1"/>
        <v>46055</v>
      </c>
      <c r="C91" s="212" t="str">
        <f ca="1"/>
        <v>Chakki1,2&amp;3</v>
      </c>
      <c r="D91" s="212" t="str">
        <f ca="1"/>
        <v>C6</v>
      </c>
      <c r="E91" s="212" t="str">
        <f ca="1"/>
        <v>Multigrain</v>
      </c>
      <c r="F91" s="219">
        <f ca="1"/>
        <v>1850</v>
      </c>
      <c r="G91" s="219">
        <f ca="1"/>
        <v>0</v>
      </c>
      <c r="H91" s="219">
        <f ca="1"/>
        <v>63</v>
      </c>
      <c r="I91" s="219">
        <f ca="1"/>
        <v>4</v>
      </c>
      <c r="J91" s="219">
        <f ca="1"/>
        <v>73</v>
      </c>
      <c r="K91" s="219">
        <f ca="1"/>
        <v>140</v>
      </c>
      <c r="L91" s="219">
        <f ca="1"/>
        <v>1710</v>
      </c>
      <c r="M91" s="219">
        <f ca="1"/>
        <v>4</v>
      </c>
      <c r="N91" s="212" t="str">
        <f ca="1"/>
        <v>DAY</v>
      </c>
      <c r="O91" s="220">
        <f ca="1"/>
        <v>0.92432432432432432</v>
      </c>
      <c r="P91" s="221">
        <f ca="1"/>
        <v>1850</v>
      </c>
      <c r="Q91" s="221">
        <f ca="1"/>
        <v>0</v>
      </c>
    </row>
    <row r="92" spans="1:17" ht="18" customHeight="1">
      <c r="A92" s="212" t="str">
        <f ca="1"/>
        <v>C6 JAN-FEB</v>
      </c>
      <c r="B92" s="218">
        <f ca="1"/>
        <v>46055</v>
      </c>
      <c r="C92" s="212">
        <f ca="1"/>
        <v>0</v>
      </c>
      <c r="D92" s="212" t="str">
        <f ca="1"/>
        <v>C6</v>
      </c>
      <c r="E92" s="212" t="str">
        <f ca="1"/>
        <v>Multigrain</v>
      </c>
      <c r="F92" s="219">
        <f ca="1"/>
        <v>150</v>
      </c>
      <c r="G92" s="219">
        <f ca="1"/>
        <v>0</v>
      </c>
      <c r="H92" s="219">
        <f ca="1"/>
        <v>0</v>
      </c>
      <c r="I92" s="219">
        <f ca="1"/>
        <v>0</v>
      </c>
      <c r="J92" s="219">
        <f ca="1"/>
        <v>35</v>
      </c>
      <c r="K92" s="219">
        <f ca="1"/>
        <v>35</v>
      </c>
      <c r="L92" s="219">
        <f ca="1"/>
        <v>115</v>
      </c>
      <c r="M92" s="219">
        <f ca="1"/>
        <v>4</v>
      </c>
      <c r="N92" s="212" t="str">
        <f ca="1"/>
        <v>DAY</v>
      </c>
      <c r="O92" s="220">
        <f ca="1"/>
        <v>0.76666666666666672</v>
      </c>
      <c r="P92" s="221">
        <f ca="1"/>
        <v>150</v>
      </c>
      <c r="Q92" s="221">
        <f ca="1"/>
        <v>0</v>
      </c>
    </row>
    <row r="93" spans="1:17" ht="18" customHeight="1">
      <c r="A93" s="212" t="str">
        <f ca="1"/>
        <v>C6 JAN-FEB</v>
      </c>
      <c r="B93" s="218">
        <f ca="1"/>
        <v>46055</v>
      </c>
      <c r="C93" s="212" t="str">
        <f ca="1"/>
        <v>Chakki1,2&amp;3</v>
      </c>
      <c r="D93" s="212" t="str">
        <f ca="1"/>
        <v>C6</v>
      </c>
      <c r="E93" s="212" t="str">
        <f ca="1"/>
        <v>Multigrain</v>
      </c>
      <c r="F93" s="219">
        <f ca="1"/>
        <v>2700</v>
      </c>
      <c r="G93" s="219">
        <f ca="1"/>
        <v>0</v>
      </c>
      <c r="H93" s="219">
        <f ca="1"/>
        <v>55</v>
      </c>
      <c r="I93" s="219">
        <f ca="1"/>
        <v>2</v>
      </c>
      <c r="J93" s="219">
        <f ca="1"/>
        <v>54</v>
      </c>
      <c r="K93" s="219">
        <f ca="1"/>
        <v>111</v>
      </c>
      <c r="L93" s="219">
        <f ca="1"/>
        <v>2589</v>
      </c>
      <c r="M93" s="219">
        <f ca="1"/>
        <v>4</v>
      </c>
      <c r="N93" s="212" t="str">
        <f ca="1"/>
        <v>NIGHT</v>
      </c>
      <c r="O93" s="220">
        <f ca="1"/>
        <v>0.9588888888888889</v>
      </c>
      <c r="P93" s="221">
        <f ca="1"/>
        <v>2700</v>
      </c>
      <c r="Q93" s="221">
        <f ca="1"/>
        <v>0</v>
      </c>
    </row>
    <row r="94" spans="1:17" ht="18" customHeight="1">
      <c r="A94" s="212" t="str">
        <f ca="1"/>
        <v>C6 JAN-FEB</v>
      </c>
      <c r="B94" s="218">
        <f ca="1"/>
        <v>46056</v>
      </c>
      <c r="C94" s="212" t="str">
        <f ca="1"/>
        <v>Chakki1,2&amp;3</v>
      </c>
      <c r="D94" s="212" t="str">
        <f ca="1"/>
        <v>C6</v>
      </c>
      <c r="E94" s="212" t="str">
        <f ca="1"/>
        <v>Multigrain</v>
      </c>
      <c r="F94" s="219">
        <f ca="1"/>
        <v>800</v>
      </c>
      <c r="G94" s="219">
        <f ca="1"/>
        <v>0</v>
      </c>
      <c r="H94" s="219">
        <f ca="1"/>
        <v>19</v>
      </c>
      <c r="I94" s="219">
        <f ca="1"/>
        <v>1</v>
      </c>
      <c r="J94" s="219">
        <f ca="1"/>
        <v>26</v>
      </c>
      <c r="K94" s="219">
        <f ca="1"/>
        <v>46</v>
      </c>
      <c r="L94" s="219">
        <f ca="1"/>
        <v>754</v>
      </c>
      <c r="M94" s="219">
        <f ca="1"/>
        <v>4</v>
      </c>
      <c r="N94" s="212" t="str">
        <f ca="1"/>
        <v>NIGHT</v>
      </c>
      <c r="O94" s="220">
        <f ca="1"/>
        <v>0.9425</v>
      </c>
      <c r="P94" s="221">
        <f ca="1"/>
        <v>800</v>
      </c>
      <c r="Q94" s="221">
        <f ca="1"/>
        <v>0</v>
      </c>
    </row>
    <row r="95" spans="1:17" ht="18" customHeight="1">
      <c r="A95" s="212" t="str">
        <f ca="1"/>
        <v>C6 JAN-FEB</v>
      </c>
      <c r="B95" s="218">
        <f ca="1"/>
        <v>46056</v>
      </c>
      <c r="C95" s="212" t="str">
        <f ca="1"/>
        <v>Chakki1,2&amp;3</v>
      </c>
      <c r="D95" s="212" t="str">
        <f ca="1"/>
        <v>C6</v>
      </c>
      <c r="E95" s="212" t="str">
        <f ca="1"/>
        <v>Jowar</v>
      </c>
      <c r="F95" s="219">
        <f ca="1"/>
        <v>500</v>
      </c>
      <c r="G95" s="219">
        <f ca="1"/>
        <v>0</v>
      </c>
      <c r="H95" s="219">
        <f ca="1"/>
        <v>6</v>
      </c>
      <c r="I95" s="219">
        <f ca="1"/>
        <v>2</v>
      </c>
      <c r="J95" s="219">
        <f ca="1"/>
        <v>17</v>
      </c>
      <c r="K95" s="219">
        <f ca="1"/>
        <v>25</v>
      </c>
      <c r="L95" s="219">
        <f ca="1"/>
        <v>475</v>
      </c>
      <c r="M95" s="219">
        <f ca="1"/>
        <v>4</v>
      </c>
      <c r="N95" s="212" t="str">
        <f ca="1"/>
        <v>NIGHT</v>
      </c>
      <c r="O95" s="220">
        <f ca="1"/>
        <v>0.95</v>
      </c>
      <c r="P95" s="221">
        <f ca="1"/>
        <v>500</v>
      </c>
      <c r="Q95" s="221">
        <f ca="1"/>
        <v>0</v>
      </c>
    </row>
    <row r="96" spans="1:17" ht="18" customHeight="1">
      <c r="A96" s="212" t="str">
        <f ca="1"/>
        <v>C6 JAN-FEB</v>
      </c>
      <c r="B96" s="218">
        <f ca="1"/>
        <v>46057</v>
      </c>
      <c r="C96" s="212" t="str">
        <f ca="1"/>
        <v>Chakki1,2&amp;3</v>
      </c>
      <c r="D96" s="212" t="str">
        <f ca="1"/>
        <v>C6</v>
      </c>
      <c r="E96" s="212" t="str">
        <f ca="1"/>
        <v>Bajra</v>
      </c>
      <c r="F96" s="219">
        <f ca="1"/>
        <v>490</v>
      </c>
      <c r="G96" s="219">
        <f ca="1"/>
        <v>0</v>
      </c>
      <c r="H96" s="219">
        <f ca="1"/>
        <v>5</v>
      </c>
      <c r="I96" s="219">
        <f ca="1"/>
        <v>1</v>
      </c>
      <c r="J96" s="219">
        <f ca="1"/>
        <v>11</v>
      </c>
      <c r="K96" s="219">
        <f ca="1"/>
        <v>17</v>
      </c>
      <c r="L96" s="219">
        <f ca="1"/>
        <v>473</v>
      </c>
      <c r="M96" s="219">
        <f ca="1"/>
        <v>4</v>
      </c>
      <c r="N96" s="212" t="str">
        <f ca="1"/>
        <v>NIGHT</v>
      </c>
      <c r="O96" s="220">
        <f ca="1"/>
        <v>0.96530612244897962</v>
      </c>
      <c r="P96" s="221">
        <f ca="1"/>
        <v>490</v>
      </c>
      <c r="Q96" s="221">
        <f ca="1"/>
        <v>0</v>
      </c>
    </row>
    <row r="97" spans="1:17" ht="18" customHeight="1">
      <c r="A97" s="212" t="str">
        <f ca="1"/>
        <v>C6 JAN-FEB</v>
      </c>
      <c r="B97" s="218">
        <f ca="1"/>
        <v>46058</v>
      </c>
      <c r="C97" s="212" t="str">
        <f ca="1"/>
        <v>Chakki1,2&amp;3</v>
      </c>
      <c r="D97" s="212" t="str">
        <f ca="1"/>
        <v>C6</v>
      </c>
      <c r="E97" s="212" t="str">
        <f ca="1"/>
        <v>Multigrain</v>
      </c>
      <c r="F97" s="219">
        <f ca="1"/>
        <v>1100</v>
      </c>
      <c r="G97" s="219">
        <f ca="1"/>
        <v>0</v>
      </c>
      <c r="H97" s="219">
        <f ca="1"/>
        <v>13</v>
      </c>
      <c r="I97" s="219">
        <f ca="1"/>
        <v>1</v>
      </c>
      <c r="J97" s="219">
        <f ca="1"/>
        <v>36</v>
      </c>
      <c r="K97" s="219">
        <f ca="1"/>
        <v>50</v>
      </c>
      <c r="L97" s="219">
        <f ca="1"/>
        <v>1050</v>
      </c>
      <c r="M97" s="219">
        <f ca="1"/>
        <v>4</v>
      </c>
      <c r="N97" s="212" t="str">
        <f ca="1"/>
        <v>NIGHT</v>
      </c>
      <c r="O97" s="220">
        <f ca="1"/>
        <v>0.95454545454545459</v>
      </c>
      <c r="P97" s="221">
        <f ca="1"/>
        <v>1100</v>
      </c>
      <c r="Q97" s="221">
        <f ca="1"/>
        <v>0</v>
      </c>
    </row>
    <row r="98" spans="1:17" ht="18" customHeight="1">
      <c r="A98" s="212" t="str">
        <f ca="1"/>
        <v>C6 JAN-FEB</v>
      </c>
      <c r="B98" s="218">
        <f ca="1"/>
        <v>46058</v>
      </c>
      <c r="C98" s="212" t="str">
        <f ca="1"/>
        <v>Chakki1,2&amp;3</v>
      </c>
      <c r="D98" s="212" t="str">
        <f ca="1"/>
        <v>C6</v>
      </c>
      <c r="E98" s="212" t="str">
        <f ca="1"/>
        <v>Bajra</v>
      </c>
      <c r="F98" s="219">
        <f ca="1"/>
        <v>1000</v>
      </c>
      <c r="G98" s="219">
        <f ca="1"/>
        <v>0</v>
      </c>
      <c r="H98" s="219">
        <f ca="1"/>
        <v>18</v>
      </c>
      <c r="I98" s="219">
        <f ca="1"/>
        <v>3</v>
      </c>
      <c r="J98" s="219">
        <f ca="1"/>
        <v>42</v>
      </c>
      <c r="K98" s="219">
        <f ca="1"/>
        <v>63</v>
      </c>
      <c r="L98" s="219">
        <f ca="1"/>
        <v>937</v>
      </c>
      <c r="M98" s="219">
        <f ca="1"/>
        <v>4</v>
      </c>
      <c r="N98" s="212" t="str">
        <f ca="1"/>
        <v>NIGHT</v>
      </c>
      <c r="O98" s="220">
        <f ca="1"/>
        <v>0.93700000000000006</v>
      </c>
      <c r="P98" s="221">
        <f ca="1"/>
        <v>1000</v>
      </c>
      <c r="Q98" s="221">
        <f ca="1"/>
        <v>0</v>
      </c>
    </row>
    <row r="99" spans="1:17" ht="18" customHeight="1">
      <c r="A99" s="212" t="str">
        <f ca="1"/>
        <v>C6 JAN-FEB</v>
      </c>
      <c r="B99" s="218">
        <f ca="1"/>
        <v>46059</v>
      </c>
      <c r="C99" s="212" t="str">
        <f ca="1"/>
        <v>Chakki1,2&amp;3</v>
      </c>
      <c r="D99" s="212" t="str">
        <f ca="1"/>
        <v>C6</v>
      </c>
      <c r="E99" s="212" t="str">
        <f ca="1"/>
        <v>Multigrain</v>
      </c>
      <c r="F99" s="219">
        <f ca="1"/>
        <v>1200</v>
      </c>
      <c r="G99" s="219">
        <f ca="1"/>
        <v>0</v>
      </c>
      <c r="H99" s="219">
        <f ca="1"/>
        <v>19</v>
      </c>
      <c r="I99" s="219">
        <f ca="1"/>
        <v>1</v>
      </c>
      <c r="J99" s="219">
        <f ca="1"/>
        <v>78</v>
      </c>
      <c r="K99" s="219">
        <f ca="1"/>
        <v>98</v>
      </c>
      <c r="L99" s="219">
        <f ca="1"/>
        <v>1102</v>
      </c>
      <c r="M99" s="219">
        <f ca="1"/>
        <v>4</v>
      </c>
      <c r="N99" s="212" t="str">
        <f ca="1"/>
        <v>NIGHT</v>
      </c>
      <c r="O99" s="220">
        <f ca="1"/>
        <v>0.91833333333333333</v>
      </c>
      <c r="P99" s="221">
        <f ca="1"/>
        <v>1200</v>
      </c>
      <c r="Q99" s="221">
        <f ca="1"/>
        <v>0</v>
      </c>
    </row>
    <row r="100" spans="1:17" ht="18" customHeight="1">
      <c r="A100" s="212" t="str">
        <f ca="1"/>
        <v>C6 JAN-FEB</v>
      </c>
      <c r="B100" s="218">
        <f ca="1"/>
        <v>46062</v>
      </c>
      <c r="C100" s="212" t="str">
        <f ca="1"/>
        <v>Chakki1,2&amp;3</v>
      </c>
      <c r="D100" s="212" t="str">
        <f ca="1"/>
        <v>C6</v>
      </c>
      <c r="E100" s="212" t="str">
        <f ca="1"/>
        <v>Multigrain</v>
      </c>
      <c r="F100" s="219">
        <f ca="1"/>
        <v>2500</v>
      </c>
      <c r="G100" s="219">
        <f ca="1"/>
        <v>0</v>
      </c>
      <c r="H100" s="219">
        <f ca="1"/>
        <v>17</v>
      </c>
      <c r="I100" s="219">
        <f ca="1"/>
        <v>3</v>
      </c>
      <c r="J100" s="219">
        <f ca="1"/>
        <v>87</v>
      </c>
      <c r="K100" s="219">
        <f ca="1"/>
        <v>107</v>
      </c>
      <c r="L100" s="219">
        <f ca="1"/>
        <v>2393</v>
      </c>
      <c r="M100" s="219">
        <f ca="1"/>
        <v>4</v>
      </c>
      <c r="N100" s="212" t="str">
        <f ca="1"/>
        <v>DAY</v>
      </c>
      <c r="O100" s="220">
        <f ca="1"/>
        <v>0.95719999999999994</v>
      </c>
      <c r="P100" s="221">
        <f ca="1"/>
        <v>2500</v>
      </c>
      <c r="Q100" s="221">
        <f ca="1"/>
        <v>0</v>
      </c>
    </row>
    <row r="101" spans="1:17" ht="18" customHeight="1">
      <c r="A101" s="212" t="str">
        <f ca="1"/>
        <v>C6 JAN-FEB</v>
      </c>
      <c r="B101" s="218">
        <f ca="1"/>
        <v>46062</v>
      </c>
      <c r="C101" s="212" t="str">
        <f ca="1"/>
        <v>Chakki1,2&amp;3</v>
      </c>
      <c r="D101" s="212" t="str">
        <f ca="1"/>
        <v>C6</v>
      </c>
      <c r="E101" s="212" t="str">
        <f ca="1"/>
        <v>Multigrain</v>
      </c>
      <c r="F101" s="219">
        <f ca="1"/>
        <v>2300</v>
      </c>
      <c r="G101" s="219">
        <f ca="1"/>
        <v>0</v>
      </c>
      <c r="H101" s="219">
        <f ca="1"/>
        <v>28</v>
      </c>
      <c r="I101" s="219">
        <f ca="1"/>
        <v>4</v>
      </c>
      <c r="J101" s="219">
        <f ca="1"/>
        <v>141</v>
      </c>
      <c r="K101" s="219">
        <f ca="1"/>
        <v>173</v>
      </c>
      <c r="L101" s="219">
        <f ca="1"/>
        <v>2127</v>
      </c>
      <c r="M101" s="219">
        <f ca="1"/>
        <v>4</v>
      </c>
      <c r="N101" s="212" t="str">
        <f ca="1"/>
        <v>NIGHT</v>
      </c>
      <c r="O101" s="220">
        <f ca="1"/>
        <v>0.92478260869565221</v>
      </c>
      <c r="P101" s="221">
        <f ca="1"/>
        <v>2300</v>
      </c>
      <c r="Q101" s="221">
        <f ca="1"/>
        <v>0</v>
      </c>
    </row>
    <row r="102" spans="1:17" ht="18" customHeight="1">
      <c r="A102" s="212" t="str">
        <f ca="1"/>
        <v>C6 JAN-FEB</v>
      </c>
      <c r="B102" s="218">
        <f ca="1"/>
        <v>46063</v>
      </c>
      <c r="C102" s="212" t="str">
        <f ca="1"/>
        <v>Chakki1,2&amp;3</v>
      </c>
      <c r="D102" s="212" t="str">
        <f ca="1"/>
        <v>C6</v>
      </c>
      <c r="E102" s="212" t="str">
        <f ca="1"/>
        <v>Bajra</v>
      </c>
      <c r="F102" s="219">
        <f ca="1"/>
        <v>2550</v>
      </c>
      <c r="G102" s="219">
        <f ca="1"/>
        <v>0</v>
      </c>
      <c r="H102" s="219">
        <f ca="1"/>
        <v>35</v>
      </c>
      <c r="I102" s="219">
        <f ca="1"/>
        <v>2</v>
      </c>
      <c r="J102" s="219">
        <f ca="1"/>
        <v>105</v>
      </c>
      <c r="K102" s="219">
        <f ca="1"/>
        <v>142</v>
      </c>
      <c r="L102" s="219">
        <f ca="1"/>
        <v>2408</v>
      </c>
      <c r="M102" s="219">
        <f ca="1"/>
        <v>4</v>
      </c>
      <c r="N102" s="212" t="str">
        <f ca="1"/>
        <v>DAY</v>
      </c>
      <c r="O102" s="220">
        <f ca="1"/>
        <v>0.9443137254901961</v>
      </c>
      <c r="P102" s="221">
        <f ca="1"/>
        <v>2550</v>
      </c>
      <c r="Q102" s="221">
        <f ca="1"/>
        <v>0</v>
      </c>
    </row>
    <row r="103" spans="1:17" ht="18" customHeight="1">
      <c r="A103" s="212" t="str">
        <f ca="1"/>
        <v>C6 JAN-FEB</v>
      </c>
      <c r="B103" s="218">
        <f ca="1"/>
        <v>46064</v>
      </c>
      <c r="C103" s="212" t="str">
        <f ca="1"/>
        <v>Chakki1,2&amp;3</v>
      </c>
      <c r="D103" s="212" t="str">
        <f ca="1"/>
        <v>C6</v>
      </c>
      <c r="E103" s="212" t="str">
        <f ca="1"/>
        <v>Multigrain</v>
      </c>
      <c r="F103" s="219">
        <f ca="1"/>
        <v>1900</v>
      </c>
      <c r="G103" s="219">
        <f ca="1"/>
        <v>0</v>
      </c>
      <c r="H103" s="219">
        <f ca="1"/>
        <v>36</v>
      </c>
      <c r="I103" s="219">
        <f ca="1"/>
        <v>4</v>
      </c>
      <c r="J103" s="219">
        <f ca="1"/>
        <v>110</v>
      </c>
      <c r="K103" s="219">
        <f ca="1"/>
        <v>150</v>
      </c>
      <c r="L103" s="219">
        <f ca="1"/>
        <v>1750</v>
      </c>
      <c r="M103" s="219">
        <f ca="1"/>
        <v>4</v>
      </c>
      <c r="N103" s="212" t="str">
        <f ca="1"/>
        <v>DAY</v>
      </c>
      <c r="O103" s="220">
        <f ca="1"/>
        <v>0.92105263157894735</v>
      </c>
      <c r="P103" s="221">
        <f ca="1"/>
        <v>1900</v>
      </c>
      <c r="Q103" s="221">
        <f ca="1"/>
        <v>0</v>
      </c>
    </row>
    <row r="104" spans="1:17" ht="18" customHeight="1">
      <c r="A104" s="212" t="str">
        <f ca="1"/>
        <v>C6 JAN-FEB</v>
      </c>
      <c r="B104" s="218">
        <f ca="1"/>
        <v>46064</v>
      </c>
      <c r="C104" s="212" t="str">
        <f ca="1"/>
        <v>Chakki1,2&amp;3</v>
      </c>
      <c r="D104" s="212" t="str">
        <f ca="1"/>
        <v>C6</v>
      </c>
      <c r="E104" s="212" t="str">
        <f ca="1"/>
        <v>Multigrain</v>
      </c>
      <c r="F104" s="219">
        <f ca="1"/>
        <v>2600</v>
      </c>
      <c r="G104" s="219">
        <f ca="1"/>
        <v>0</v>
      </c>
      <c r="H104" s="219">
        <f ca="1"/>
        <v>74</v>
      </c>
      <c r="I104" s="219">
        <f ca="1"/>
        <v>2</v>
      </c>
      <c r="J104" s="219">
        <f ca="1"/>
        <v>185</v>
      </c>
      <c r="K104" s="219">
        <f ca="1"/>
        <v>261</v>
      </c>
      <c r="L104" s="219">
        <f ca="1"/>
        <v>2339</v>
      </c>
      <c r="M104" s="219">
        <f ca="1"/>
        <v>4</v>
      </c>
      <c r="N104" s="212" t="str">
        <f ca="1"/>
        <v>NIGHT</v>
      </c>
      <c r="O104" s="220">
        <f ca="1"/>
        <v>0.89961538461538448</v>
      </c>
      <c r="P104" s="221">
        <f ca="1"/>
        <v>2600</v>
      </c>
      <c r="Q104" s="221">
        <f ca="1"/>
        <v>0</v>
      </c>
    </row>
    <row r="105" spans="1:17" ht="18" customHeight="1">
      <c r="A105" s="212" t="str">
        <f ca="1"/>
        <v>C6 JAN-FEB</v>
      </c>
      <c r="B105" s="218">
        <f ca="1"/>
        <v>46065</v>
      </c>
      <c r="C105" s="212" t="str">
        <f ca="1"/>
        <v>Chakki1,2&amp;3</v>
      </c>
      <c r="D105" s="212" t="str">
        <f ca="1"/>
        <v>C6</v>
      </c>
      <c r="E105" s="212" t="str">
        <f ca="1"/>
        <v>Multigrain</v>
      </c>
      <c r="F105" s="219">
        <f ca="1"/>
        <v>550</v>
      </c>
      <c r="G105" s="219">
        <f ca="1"/>
        <v>0</v>
      </c>
      <c r="H105" s="219">
        <f ca="1"/>
        <v>5</v>
      </c>
      <c r="I105" s="219">
        <f ca="1"/>
        <v>1</v>
      </c>
      <c r="J105" s="219">
        <f ca="1"/>
        <v>49</v>
      </c>
      <c r="K105" s="219">
        <f ca="1"/>
        <v>55</v>
      </c>
      <c r="L105" s="219">
        <f ca="1"/>
        <v>495</v>
      </c>
      <c r="M105" s="219">
        <f ca="1"/>
        <v>4</v>
      </c>
      <c r="N105" s="212" t="str">
        <f ca="1"/>
        <v>DAY</v>
      </c>
      <c r="O105" s="220">
        <f ca="1"/>
        <v>0.9</v>
      </c>
      <c r="P105" s="221">
        <f ca="1"/>
        <v>550</v>
      </c>
      <c r="Q105" s="221">
        <f ca="1"/>
        <v>0</v>
      </c>
    </row>
    <row r="106" spans="1:17" ht="18" customHeight="1">
      <c r="A106" s="212" t="str">
        <f ca="1"/>
        <v>C6 JAN-FEB</v>
      </c>
      <c r="B106" s="218">
        <f ca="1"/>
        <v>46065</v>
      </c>
      <c r="C106" s="212" t="str">
        <f ca="1"/>
        <v>Chakki1,2&amp;3</v>
      </c>
      <c r="D106" s="212" t="str">
        <f ca="1"/>
        <v>C6</v>
      </c>
      <c r="E106" s="212" t="str">
        <f ca="1"/>
        <v>Multigrain</v>
      </c>
      <c r="F106" s="219">
        <f ca="1"/>
        <v>3650</v>
      </c>
      <c r="G106" s="219">
        <f ca="1"/>
        <v>0</v>
      </c>
      <c r="H106" s="219">
        <f ca="1"/>
        <v>60</v>
      </c>
      <c r="I106" s="219">
        <f ca="1"/>
        <v>3</v>
      </c>
      <c r="J106" s="219">
        <f ca="1"/>
        <v>286</v>
      </c>
      <c r="K106" s="219">
        <f ca="1"/>
        <v>349</v>
      </c>
      <c r="L106" s="219">
        <f ca="1"/>
        <v>3301</v>
      </c>
      <c r="M106" s="219">
        <f ca="1"/>
        <v>4</v>
      </c>
      <c r="N106" s="212" t="str">
        <f ca="1"/>
        <v>NIGHT</v>
      </c>
      <c r="O106" s="220">
        <f ca="1"/>
        <v>0.9043835616438356</v>
      </c>
      <c r="P106" s="221">
        <f ca="1"/>
        <v>3650</v>
      </c>
      <c r="Q106" s="221">
        <f ca="1"/>
        <v>0</v>
      </c>
    </row>
    <row r="107" spans="1:17" ht="18" customHeight="1">
      <c r="A107" s="212" t="str">
        <f ca="1"/>
        <v>C6 JAN-FEB</v>
      </c>
      <c r="B107" s="218">
        <f ca="1"/>
        <v>46066</v>
      </c>
      <c r="C107" s="212" t="str">
        <f ca="1"/>
        <v>Chakki1,2&amp;3</v>
      </c>
      <c r="D107" s="212" t="str">
        <f ca="1"/>
        <v>C6</v>
      </c>
      <c r="E107" s="212" t="str">
        <f ca="1"/>
        <v>Multigrain</v>
      </c>
      <c r="F107" s="219">
        <f ca="1"/>
        <v>2100</v>
      </c>
      <c r="G107" s="219">
        <f ca="1"/>
        <v>0</v>
      </c>
      <c r="H107" s="219">
        <f ca="1"/>
        <v>15</v>
      </c>
      <c r="I107" s="219">
        <f ca="1"/>
        <v>3</v>
      </c>
      <c r="J107" s="219">
        <f ca="1"/>
        <v>69</v>
      </c>
      <c r="K107" s="219">
        <f ca="1"/>
        <v>87</v>
      </c>
      <c r="L107" s="219">
        <f ca="1"/>
        <v>2013</v>
      </c>
      <c r="M107" s="219">
        <f ca="1"/>
        <v>4</v>
      </c>
      <c r="N107" s="212" t="str">
        <f ca="1"/>
        <v>DAY</v>
      </c>
      <c r="O107" s="220">
        <f ca="1"/>
        <v>0.95857142857142852</v>
      </c>
      <c r="P107" s="221">
        <f ca="1"/>
        <v>2100</v>
      </c>
      <c r="Q107" s="221">
        <f ca="1"/>
        <v>0</v>
      </c>
    </row>
    <row r="108" spans="1:17" ht="18" customHeight="1">
      <c r="A108" s="212" t="str">
        <f ca="1"/>
        <v>C6 JAN-FEB</v>
      </c>
      <c r="B108" s="218">
        <f ca="1"/>
        <v>46066</v>
      </c>
      <c r="C108" s="212" t="str">
        <f ca="1"/>
        <v>Chakki1,2&amp;3</v>
      </c>
      <c r="D108" s="212" t="str">
        <f ca="1"/>
        <v>C6</v>
      </c>
      <c r="E108" s="212" t="str">
        <f ca="1"/>
        <v>Multigrain</v>
      </c>
      <c r="F108" s="219">
        <f ca="1"/>
        <v>4700</v>
      </c>
      <c r="G108" s="219">
        <f ca="1"/>
        <v>0</v>
      </c>
      <c r="H108" s="219">
        <f ca="1"/>
        <v>115</v>
      </c>
      <c r="I108" s="219">
        <f ca="1"/>
        <v>3</v>
      </c>
      <c r="J108" s="219">
        <f ca="1"/>
        <v>236.7</v>
      </c>
      <c r="K108" s="219">
        <f ca="1"/>
        <v>354.7</v>
      </c>
      <c r="L108" s="219">
        <f ca="1"/>
        <v>4345.3</v>
      </c>
      <c r="M108" s="219">
        <f ca="1"/>
        <v>4</v>
      </c>
      <c r="N108" s="212" t="str">
        <f ca="1"/>
        <v>NIGHT</v>
      </c>
      <c r="O108" s="220">
        <f ca="1"/>
        <v>0.92453191489361719</v>
      </c>
      <c r="P108" s="221">
        <f ca="1"/>
        <v>4700</v>
      </c>
      <c r="Q108" s="221">
        <f ca="1"/>
        <v>0</v>
      </c>
    </row>
    <row r="109" spans="1:17" ht="18" customHeight="1">
      <c r="A109" s="212" t="str">
        <f ca="1"/>
        <v>C6 JAN-FEB</v>
      </c>
      <c r="B109" s="218">
        <f ca="1"/>
        <v>46067</v>
      </c>
      <c r="C109" s="212" t="str">
        <f ca="1"/>
        <v>Chakki1,2&amp;3</v>
      </c>
      <c r="D109" s="212" t="str">
        <f ca="1"/>
        <v>C6</v>
      </c>
      <c r="E109" s="212" t="str">
        <f ca="1"/>
        <v>Multigrain</v>
      </c>
      <c r="F109" s="219">
        <f ca="1"/>
        <v>2700</v>
      </c>
      <c r="G109" s="219">
        <f ca="1"/>
        <v>0</v>
      </c>
      <c r="H109" s="219">
        <f ca="1"/>
        <v>68</v>
      </c>
      <c r="I109" s="219">
        <f ca="1"/>
        <v>3</v>
      </c>
      <c r="J109" s="219">
        <f ca="1"/>
        <v>139</v>
      </c>
      <c r="K109" s="219">
        <f ca="1"/>
        <v>210</v>
      </c>
      <c r="L109" s="219">
        <f ca="1"/>
        <v>2490</v>
      </c>
      <c r="M109" s="219">
        <f ca="1"/>
        <v>4</v>
      </c>
      <c r="N109" s="212" t="str">
        <f ca="1"/>
        <v>DAY</v>
      </c>
      <c r="O109" s="220">
        <f ca="1"/>
        <v>0.92222222222222228</v>
      </c>
      <c r="P109" s="221">
        <f ca="1"/>
        <v>2700</v>
      </c>
      <c r="Q109" s="221">
        <f ca="1"/>
        <v>0</v>
      </c>
    </row>
    <row r="110" spans="1:17" ht="18" customHeight="1">
      <c r="A110" s="212" t="str">
        <f ca="1"/>
        <v>C6 JAN-FEB</v>
      </c>
      <c r="B110" s="218">
        <f ca="1"/>
        <v>46067</v>
      </c>
      <c r="C110" s="212" t="str">
        <f ca="1"/>
        <v>Chakki1,2&amp;3</v>
      </c>
      <c r="D110" s="212" t="str">
        <f ca="1"/>
        <v>C6</v>
      </c>
      <c r="E110" s="212" t="str">
        <f ca="1"/>
        <v>Multigrain</v>
      </c>
      <c r="F110" s="219">
        <f ca="1"/>
        <v>3150</v>
      </c>
      <c r="G110" s="219">
        <f ca="1"/>
        <v>0</v>
      </c>
      <c r="H110" s="219">
        <f ca="1"/>
        <v>78</v>
      </c>
      <c r="I110" s="219">
        <f ca="1"/>
        <v>5</v>
      </c>
      <c r="J110" s="219">
        <f ca="1"/>
        <v>172</v>
      </c>
      <c r="K110" s="219">
        <f ca="1"/>
        <v>255</v>
      </c>
      <c r="L110" s="219">
        <f ca="1"/>
        <v>2895</v>
      </c>
      <c r="M110" s="219">
        <f ca="1"/>
        <v>4</v>
      </c>
      <c r="N110" s="212" t="str">
        <f ca="1"/>
        <v>NIGHT</v>
      </c>
      <c r="O110" s="220">
        <f ca="1"/>
        <v>0.919047619047619</v>
      </c>
      <c r="P110" s="221">
        <f ca="1"/>
        <v>3150</v>
      </c>
      <c r="Q110" s="221">
        <f ca="1"/>
        <v>0</v>
      </c>
    </row>
    <row r="111" spans="1:17" ht="18" customHeight="1">
      <c r="A111" s="212" t="str">
        <f ca="1"/>
        <v>C6 JAN-FEB</v>
      </c>
      <c r="B111" s="218">
        <f ca="1"/>
        <v>46068</v>
      </c>
      <c r="C111" s="212" t="str">
        <f ca="1"/>
        <v>Chakki1,2&amp;3</v>
      </c>
      <c r="D111" s="212" t="str">
        <f ca="1"/>
        <v>C6</v>
      </c>
      <c r="E111" s="212" t="str">
        <f ca="1"/>
        <v>Multigrain</v>
      </c>
      <c r="F111" s="219">
        <f ca="1"/>
        <v>2250</v>
      </c>
      <c r="G111" s="219">
        <f ca="1"/>
        <v>0</v>
      </c>
      <c r="H111" s="219">
        <f ca="1"/>
        <v>25</v>
      </c>
      <c r="I111" s="219">
        <f ca="1"/>
        <v>3</v>
      </c>
      <c r="J111" s="219">
        <f ca="1"/>
        <v>149</v>
      </c>
      <c r="K111" s="219">
        <f ca="1"/>
        <v>177</v>
      </c>
      <c r="L111" s="219">
        <f ca="1"/>
        <v>2073</v>
      </c>
      <c r="M111" s="219">
        <f ca="1"/>
        <v>4</v>
      </c>
      <c r="N111" s="212" t="str">
        <f ca="1"/>
        <v>DAY</v>
      </c>
      <c r="O111" s="220">
        <f ca="1"/>
        <v>0.92133333333333345</v>
      </c>
      <c r="P111" s="221">
        <f ca="1"/>
        <v>2250</v>
      </c>
      <c r="Q111" s="221">
        <f ca="1"/>
        <v>0</v>
      </c>
    </row>
    <row r="112" spans="1:17" ht="18" customHeight="1">
      <c r="A112" s="212" t="str">
        <f ca="1"/>
        <v>C6 JAN-FEB</v>
      </c>
      <c r="B112" s="218">
        <f ca="1"/>
        <v>46069</v>
      </c>
      <c r="C112" s="212" t="str">
        <f ca="1"/>
        <v>Chakki1,2&amp;3</v>
      </c>
      <c r="D112" s="212" t="str">
        <f ca="1"/>
        <v>C6</v>
      </c>
      <c r="E112" s="212" t="str">
        <f ca="1"/>
        <v>Multigrain</v>
      </c>
      <c r="F112" s="219">
        <f ca="1"/>
        <v>2500</v>
      </c>
      <c r="G112" s="219">
        <f ca="1"/>
        <v>15</v>
      </c>
      <c r="H112" s="219">
        <f ca="1"/>
        <v>25</v>
      </c>
      <c r="I112" s="219">
        <f ca="1"/>
        <v>3</v>
      </c>
      <c r="J112" s="219">
        <f ca="1"/>
        <v>177</v>
      </c>
      <c r="K112" s="219">
        <f ca="1"/>
        <v>220</v>
      </c>
      <c r="L112" s="219">
        <f ca="1"/>
        <v>2280</v>
      </c>
      <c r="M112" s="219">
        <f ca="1"/>
        <v>4</v>
      </c>
      <c r="N112" s="212" t="str">
        <f ca="1"/>
        <v>DAY</v>
      </c>
      <c r="O112" s="220">
        <f ca="1"/>
        <v>0.91200000000000003</v>
      </c>
      <c r="P112" s="221">
        <f ca="1"/>
        <v>2500</v>
      </c>
      <c r="Q112" s="221">
        <f ca="1"/>
        <v>0</v>
      </c>
    </row>
    <row r="113" spans="1:17" ht="18" customHeight="1">
      <c r="A113" s="212" t="str">
        <f ca="1"/>
        <v>C6 JAN-FEB</v>
      </c>
      <c r="B113" s="218">
        <f ca="1"/>
        <v>46069</v>
      </c>
      <c r="C113" s="212" t="str">
        <f ca="1"/>
        <v>Chakki1,2&amp;3</v>
      </c>
      <c r="D113" s="212" t="str">
        <f ca="1"/>
        <v>C6</v>
      </c>
      <c r="E113" s="212" t="str">
        <f ca="1"/>
        <v>Multigrain</v>
      </c>
      <c r="F113" s="219">
        <f ca="1"/>
        <v>4350</v>
      </c>
      <c r="G113" s="219">
        <f ca="1"/>
        <v>45</v>
      </c>
      <c r="H113" s="219">
        <f ca="1"/>
        <v>73</v>
      </c>
      <c r="I113" s="219">
        <f ca="1"/>
        <v>5</v>
      </c>
      <c r="J113" s="219">
        <f ca="1"/>
        <v>217</v>
      </c>
      <c r="K113" s="219">
        <f ca="1"/>
        <v>340</v>
      </c>
      <c r="L113" s="219">
        <f ca="1"/>
        <v>4010</v>
      </c>
      <c r="M113" s="219">
        <f ca="1"/>
        <v>4</v>
      </c>
      <c r="N113" s="212" t="str">
        <f ca="1"/>
        <v>NIGHT</v>
      </c>
      <c r="O113" s="220">
        <f ca="1"/>
        <v>0.92183908045977025</v>
      </c>
      <c r="P113" s="221">
        <f ca="1"/>
        <v>4350</v>
      </c>
      <c r="Q113" s="221">
        <f ca="1"/>
        <v>0</v>
      </c>
    </row>
    <row r="114" spans="1:17" ht="18" customHeight="1">
      <c r="A114" s="212" t="str">
        <f ca="1"/>
        <v>C6 JAN-FEB</v>
      </c>
      <c r="B114" s="218">
        <f ca="1"/>
        <v>46070</v>
      </c>
      <c r="C114" s="212" t="str">
        <f ca="1"/>
        <v>Chakki1,2,3</v>
      </c>
      <c r="D114" s="212" t="str">
        <f ca="1"/>
        <v>C6</v>
      </c>
      <c r="E114" s="212" t="str">
        <f ca="1"/>
        <v>Multigrain</v>
      </c>
      <c r="F114" s="219">
        <f ca="1"/>
        <v>2350</v>
      </c>
      <c r="G114" s="219">
        <f ca="1"/>
        <v>18</v>
      </c>
      <c r="H114" s="219">
        <f ca="1"/>
        <v>19</v>
      </c>
      <c r="I114" s="219">
        <f ca="1"/>
        <v>2</v>
      </c>
      <c r="J114" s="219">
        <f ca="1"/>
        <v>171</v>
      </c>
      <c r="K114" s="219">
        <f ca="1"/>
        <v>210</v>
      </c>
      <c r="L114" s="219">
        <f ca="1"/>
        <v>2140</v>
      </c>
      <c r="M114" s="219">
        <f ca="1"/>
        <v>4</v>
      </c>
      <c r="N114" s="212" t="str">
        <f ca="1"/>
        <v>DAY</v>
      </c>
      <c r="O114" s="220">
        <f ca="1"/>
        <v>0.91063829787234041</v>
      </c>
      <c r="P114" s="221">
        <f ca="1"/>
        <v>2350</v>
      </c>
      <c r="Q114" s="221">
        <f ca="1"/>
        <v>0</v>
      </c>
    </row>
    <row r="115" spans="1:17" ht="18" customHeight="1">
      <c r="A115" s="212" t="str">
        <f ca="1"/>
        <v>C6 JAN-FEB</v>
      </c>
      <c r="B115" s="218">
        <f ca="1"/>
        <v>46070</v>
      </c>
      <c r="C115" s="212" t="str">
        <f ca="1"/>
        <v>Chakki1,2,3</v>
      </c>
      <c r="D115" s="212" t="str">
        <f ca="1"/>
        <v>C6</v>
      </c>
      <c r="E115" s="212" t="str">
        <f ca="1"/>
        <v>Multigrain</v>
      </c>
      <c r="F115" s="219">
        <f ca="1"/>
        <v>3350</v>
      </c>
      <c r="G115" s="219">
        <f ca="1"/>
        <v>28</v>
      </c>
      <c r="H115" s="219">
        <f ca="1"/>
        <v>78</v>
      </c>
      <c r="I115" s="219">
        <f ca="1"/>
        <v>3</v>
      </c>
      <c r="J115" s="219">
        <f ca="1"/>
        <v>146</v>
      </c>
      <c r="K115" s="219">
        <f ca="1"/>
        <v>255</v>
      </c>
      <c r="L115" s="219">
        <f ca="1"/>
        <v>3095</v>
      </c>
      <c r="M115" s="219">
        <f ca="1"/>
        <v>4</v>
      </c>
      <c r="N115" s="212" t="str">
        <f ca="1"/>
        <v>NIGHT</v>
      </c>
      <c r="O115" s="220">
        <f ca="1"/>
        <v>0.92388059701492542</v>
      </c>
      <c r="P115" s="221">
        <f ca="1"/>
        <v>3350</v>
      </c>
      <c r="Q115" s="221">
        <f ca="1"/>
        <v>0</v>
      </c>
    </row>
    <row r="116" spans="1:17" ht="18" customHeight="1">
      <c r="A116" s="212" t="str">
        <f ca="1"/>
        <v>C6 JAN-FEB</v>
      </c>
      <c r="B116" s="218">
        <f ca="1"/>
        <v>46071</v>
      </c>
      <c r="C116" s="212" t="str">
        <f ca="1"/>
        <v>Chakki1,2,3</v>
      </c>
      <c r="D116" s="212" t="str">
        <f ca="1"/>
        <v>C6</v>
      </c>
      <c r="E116" s="212" t="str">
        <f ca="1"/>
        <v>Multigrain</v>
      </c>
      <c r="F116" s="219">
        <f ca="1"/>
        <v>2500</v>
      </c>
      <c r="G116" s="219">
        <f ca="1"/>
        <v>22</v>
      </c>
      <c r="H116" s="219">
        <f ca="1"/>
        <v>45</v>
      </c>
      <c r="I116" s="219">
        <f ca="1"/>
        <v>2</v>
      </c>
      <c r="J116" s="219">
        <f ca="1"/>
        <v>151</v>
      </c>
      <c r="K116" s="219">
        <f ca="1"/>
        <v>220</v>
      </c>
      <c r="L116" s="219">
        <f ca="1"/>
        <v>2280</v>
      </c>
      <c r="M116" s="219">
        <f ca="1"/>
        <v>4</v>
      </c>
      <c r="N116" s="212" t="str">
        <f ca="1"/>
        <v>DAY</v>
      </c>
      <c r="O116" s="220">
        <f ca="1"/>
        <v>0.91200000000000003</v>
      </c>
      <c r="P116" s="221">
        <f ca="1"/>
        <v>2500</v>
      </c>
      <c r="Q116" s="221">
        <f ca="1"/>
        <v>0</v>
      </c>
    </row>
    <row r="117" spans="1:17" ht="18" customHeight="1">
      <c r="A117" s="212" t="str">
        <f ca="1"/>
        <v>C6 JAN-FEB</v>
      </c>
      <c r="B117" s="218">
        <f ca="1"/>
        <v>46071</v>
      </c>
      <c r="C117" s="212" t="str">
        <f ca="1"/>
        <v>Chakki1,2,3</v>
      </c>
      <c r="D117" s="212" t="str">
        <f ca="1"/>
        <v>C6</v>
      </c>
      <c r="E117" s="212" t="str">
        <f ca="1"/>
        <v>Multigrain</v>
      </c>
      <c r="F117" s="219">
        <f ca="1"/>
        <v>1800</v>
      </c>
      <c r="G117" s="219">
        <f ca="1"/>
        <v>19</v>
      </c>
      <c r="H117" s="219">
        <f ca="1"/>
        <v>38</v>
      </c>
      <c r="I117" s="219">
        <f ca="1"/>
        <v>3</v>
      </c>
      <c r="J117" s="219">
        <f ca="1"/>
        <v>109</v>
      </c>
      <c r="K117" s="219">
        <f ca="1"/>
        <v>169</v>
      </c>
      <c r="L117" s="219">
        <f ca="1"/>
        <v>1631</v>
      </c>
      <c r="M117" s="219">
        <f ca="1"/>
        <v>4</v>
      </c>
      <c r="N117" s="212" t="str">
        <f ca="1"/>
        <v>NIGHT</v>
      </c>
      <c r="O117" s="220">
        <f ca="1"/>
        <v>0.90611111111111109</v>
      </c>
      <c r="P117" s="221">
        <f ca="1"/>
        <v>1800</v>
      </c>
      <c r="Q117" s="221">
        <f ca="1"/>
        <v>0</v>
      </c>
    </row>
    <row r="118" spans="1:17" ht="18" customHeight="1">
      <c r="A118" s="212" t="str">
        <f ca="1"/>
        <v>C6 JAN-FEB</v>
      </c>
      <c r="B118" s="218">
        <f ca="1"/>
        <v>46073</v>
      </c>
      <c r="C118" s="212" t="str">
        <f ca="1"/>
        <v>Chakki1,2,3</v>
      </c>
      <c r="D118" s="212" t="str">
        <f ca="1"/>
        <v>C6</v>
      </c>
      <c r="E118" s="212" t="str">
        <f ca="1"/>
        <v>Multigrain</v>
      </c>
      <c r="F118" s="219">
        <f ca="1"/>
        <v>2200</v>
      </c>
      <c r="G118" s="219">
        <f ca="1"/>
        <v>15</v>
      </c>
      <c r="H118" s="219">
        <f ca="1"/>
        <v>19</v>
      </c>
      <c r="I118" s="219">
        <f ca="1"/>
        <v>2</v>
      </c>
      <c r="J118" s="219">
        <f ca="1"/>
        <v>159</v>
      </c>
      <c r="K118" s="219">
        <f ca="1"/>
        <v>195</v>
      </c>
      <c r="L118" s="219">
        <f ca="1"/>
        <v>2005</v>
      </c>
      <c r="M118" s="219">
        <f ca="1"/>
        <v>3</v>
      </c>
      <c r="N118" s="212" t="str">
        <f ca="1"/>
        <v>DAY</v>
      </c>
      <c r="O118" s="220">
        <f ca="1"/>
        <v>0.91136363636363638</v>
      </c>
      <c r="P118" s="221">
        <f ca="1"/>
        <v>2200</v>
      </c>
      <c r="Q118" s="221">
        <f ca="1"/>
        <v>0</v>
      </c>
    </row>
    <row r="119" spans="1:17" ht="18" customHeight="1">
      <c r="A119" s="212" t="str">
        <f ca="1"/>
        <v>C6 JAN-FEB</v>
      </c>
      <c r="B119" s="218">
        <f ca="1"/>
        <v>46073</v>
      </c>
      <c r="C119" s="212" t="str">
        <f ca="1"/>
        <v>Chakki1,2,3</v>
      </c>
      <c r="D119" s="212" t="str">
        <f ca="1"/>
        <v>C6</v>
      </c>
      <c r="E119" s="212" t="str">
        <f ca="1"/>
        <v>Multigrain</v>
      </c>
      <c r="F119" s="219">
        <f ca="1"/>
        <v>3100</v>
      </c>
      <c r="G119" s="219">
        <f ca="1"/>
        <v>24</v>
      </c>
      <c r="H119" s="219">
        <f ca="1"/>
        <v>26</v>
      </c>
      <c r="I119" s="219">
        <f ca="1"/>
        <v>4</v>
      </c>
      <c r="J119" s="219">
        <f ca="1"/>
        <v>216</v>
      </c>
      <c r="K119" s="219">
        <f ca="1"/>
        <v>270</v>
      </c>
      <c r="L119" s="219">
        <f ca="1"/>
        <v>2830</v>
      </c>
      <c r="M119" s="219">
        <f ca="1"/>
        <v>3</v>
      </c>
      <c r="N119" s="212" t="str">
        <f ca="1"/>
        <v>NIGHT</v>
      </c>
      <c r="O119" s="220">
        <f ca="1"/>
        <v>0.91290322580645167</v>
      </c>
      <c r="P119" s="221">
        <f ca="1"/>
        <v>3100</v>
      </c>
      <c r="Q119" s="221">
        <f ca="1"/>
        <v>0</v>
      </c>
    </row>
    <row r="120" spans="1:17" ht="18" customHeight="1">
      <c r="A120" s="212" t="str">
        <f ca="1"/>
        <v>C6 JAN-FEB</v>
      </c>
      <c r="B120" s="218">
        <f ca="1"/>
        <v>46074</v>
      </c>
      <c r="C120" s="212" t="str">
        <f ca="1"/>
        <v>Chakki1,2,3</v>
      </c>
      <c r="D120" s="212" t="str">
        <f ca="1"/>
        <v>C6</v>
      </c>
      <c r="E120" s="212" t="str">
        <f ca="1"/>
        <v>Multigrain</v>
      </c>
      <c r="F120" s="219">
        <f ca="1"/>
        <v>3300</v>
      </c>
      <c r="G120" s="219">
        <f ca="1"/>
        <v>28</v>
      </c>
      <c r="H120" s="219">
        <f ca="1"/>
        <v>47</v>
      </c>
      <c r="I120" s="219">
        <f ca="1"/>
        <v>5</v>
      </c>
      <c r="J120" s="219">
        <f ca="1"/>
        <v>247</v>
      </c>
      <c r="K120" s="219">
        <f ca="1"/>
        <v>327</v>
      </c>
      <c r="L120" s="219">
        <f ca="1"/>
        <v>2973</v>
      </c>
      <c r="M120" s="219">
        <f ca="1"/>
        <v>3</v>
      </c>
      <c r="N120" s="212" t="str">
        <f ca="1"/>
        <v>DAY</v>
      </c>
      <c r="O120" s="220">
        <f ca="1"/>
        <v>0.90090909090909088</v>
      </c>
      <c r="P120" s="221">
        <f ca="1"/>
        <v>3300</v>
      </c>
      <c r="Q120" s="221">
        <f ca="1"/>
        <v>0</v>
      </c>
    </row>
    <row r="121" spans="1:17" ht="18" customHeight="1">
      <c r="A121" s="212" t="str">
        <f ca="1"/>
        <v>C6 JAN-FEB</v>
      </c>
      <c r="B121" s="218">
        <f ca="1"/>
        <v>46075</v>
      </c>
      <c r="C121" s="212" t="str">
        <f ca="1"/>
        <v>Chakki1,2,3</v>
      </c>
      <c r="D121" s="212" t="str">
        <f ca="1"/>
        <v>C6</v>
      </c>
      <c r="E121" s="212" t="str">
        <f ca="1"/>
        <v>Multigrain</v>
      </c>
      <c r="F121" s="219">
        <f ca="1"/>
        <v>2100</v>
      </c>
      <c r="G121" s="219">
        <f ca="1"/>
        <v>18</v>
      </c>
      <c r="H121" s="219">
        <f ca="1"/>
        <v>32</v>
      </c>
      <c r="I121" s="219">
        <f ca="1"/>
        <v>2</v>
      </c>
      <c r="J121" s="219">
        <f ca="1"/>
        <v>143</v>
      </c>
      <c r="K121" s="219">
        <f ca="1"/>
        <v>195</v>
      </c>
      <c r="L121" s="219">
        <f ca="1"/>
        <v>1905</v>
      </c>
      <c r="M121" s="219">
        <f ca="1"/>
        <v>2</v>
      </c>
      <c r="N121" s="212" t="str">
        <f ca="1"/>
        <v>DAY</v>
      </c>
      <c r="O121" s="220">
        <f ca="1"/>
        <v>0.90714285714285703</v>
      </c>
      <c r="P121" s="221">
        <f ca="1"/>
        <v>2100</v>
      </c>
      <c r="Q121" s="221">
        <f ca="1"/>
        <v>0</v>
      </c>
    </row>
    <row r="122" spans="1:17" ht="18" customHeight="1">
      <c r="A122" s="212" t="str">
        <f ca="1"/>
        <v>C6 JAN-FEB</v>
      </c>
      <c r="B122" s="218">
        <f ca="1"/>
        <v>46076</v>
      </c>
      <c r="C122" s="212" t="str">
        <f ca="1"/>
        <v>Chakki1,2,3</v>
      </c>
      <c r="D122" s="212" t="str">
        <f ca="1"/>
        <v>C6</v>
      </c>
      <c r="E122" s="212" t="str">
        <f ca="1"/>
        <v>Multigrain</v>
      </c>
      <c r="F122" s="219">
        <f ca="1"/>
        <v>3000</v>
      </c>
      <c r="G122" s="219">
        <f ca="1"/>
        <v>31</v>
      </c>
      <c r="H122" s="219">
        <f ca="1"/>
        <v>40</v>
      </c>
      <c r="I122" s="219">
        <f ca="1"/>
        <v>4</v>
      </c>
      <c r="J122" s="219">
        <f ca="1"/>
        <v>206</v>
      </c>
      <c r="K122" s="219">
        <f ca="1"/>
        <v>250</v>
      </c>
      <c r="L122" s="219">
        <f ca="1"/>
        <v>2750</v>
      </c>
      <c r="M122" s="219">
        <f ca="1"/>
        <v>3</v>
      </c>
      <c r="N122" s="212" t="str">
        <f ca="1"/>
        <v>DAY</v>
      </c>
      <c r="O122" s="220">
        <f ca="1"/>
        <v>0.91666666666666652</v>
      </c>
      <c r="P122" s="221">
        <f ca="1"/>
        <v>3000</v>
      </c>
      <c r="Q122" s="221">
        <f ca="1"/>
        <v>0</v>
      </c>
    </row>
    <row r="123" spans="1:17" ht="18" customHeight="1">
      <c r="A123" s="212" t="str">
        <f ca="1"/>
        <v>C6 JAN-FEB</v>
      </c>
      <c r="B123" s="218">
        <f ca="1"/>
        <v>46076</v>
      </c>
      <c r="C123" s="212" t="str">
        <f ca="1"/>
        <v>Chakki1,2,3</v>
      </c>
      <c r="D123" s="212" t="str">
        <f ca="1"/>
        <v>C6</v>
      </c>
      <c r="E123" s="212" t="str">
        <f ca="1"/>
        <v>Multigrain</v>
      </c>
      <c r="F123" s="219">
        <f ca="1"/>
        <v>4000</v>
      </c>
      <c r="G123" s="219">
        <f ca="1"/>
        <v>35</v>
      </c>
      <c r="H123" s="219">
        <f ca="1"/>
        <v>53</v>
      </c>
      <c r="I123" s="219">
        <f ca="1"/>
        <v>3</v>
      </c>
      <c r="J123" s="219">
        <f ca="1"/>
        <v>274</v>
      </c>
      <c r="K123" s="219">
        <f ca="1"/>
        <v>330</v>
      </c>
      <c r="L123" s="219">
        <f ca="1"/>
        <v>3670</v>
      </c>
      <c r="M123" s="219">
        <f ca="1"/>
        <v>4</v>
      </c>
      <c r="N123" s="212" t="str">
        <f ca="1"/>
        <v>NIGHT</v>
      </c>
      <c r="O123" s="220">
        <f ca="1"/>
        <v>0.91749999999999998</v>
      </c>
      <c r="P123" s="221">
        <f ca="1"/>
        <v>4000</v>
      </c>
      <c r="Q123" s="221">
        <f ca="1"/>
        <v>0</v>
      </c>
    </row>
    <row r="124" spans="1:17" ht="18" customHeight="1">
      <c r="A124" s="212" t="str">
        <f ca="1"/>
        <v>C6 JAN-FEB</v>
      </c>
      <c r="B124" s="218">
        <f ca="1"/>
        <v>46077</v>
      </c>
      <c r="C124" s="212" t="str">
        <f ca="1"/>
        <v>chakki1,2,3</v>
      </c>
      <c r="D124" s="212" t="str">
        <f ca="1"/>
        <v>C6</v>
      </c>
      <c r="E124" s="212" t="str">
        <f ca="1"/>
        <v>Multigrain</v>
      </c>
      <c r="F124" s="219">
        <f ca="1"/>
        <v>3150</v>
      </c>
      <c r="G124" s="219">
        <f ca="1"/>
        <v>33</v>
      </c>
      <c r="H124" s="219">
        <f ca="1"/>
        <v>38</v>
      </c>
      <c r="I124" s="219">
        <f ca="1"/>
        <v>4</v>
      </c>
      <c r="J124" s="219">
        <f ca="1"/>
        <v>238</v>
      </c>
      <c r="K124" s="219">
        <f ca="1"/>
        <v>280</v>
      </c>
      <c r="L124" s="219">
        <f ca="1"/>
        <v>2870</v>
      </c>
      <c r="M124" s="219">
        <f ca="1"/>
        <v>3</v>
      </c>
      <c r="N124" s="212" t="str">
        <f ca="1"/>
        <v>DAY</v>
      </c>
      <c r="O124" s="220">
        <f ca="1"/>
        <v>0.91111111111111109</v>
      </c>
      <c r="P124" s="221">
        <f ca="1"/>
        <v>3150</v>
      </c>
      <c r="Q124" s="221">
        <f ca="1"/>
        <v>0</v>
      </c>
    </row>
    <row r="125" spans="1:17" ht="18" customHeight="1">
      <c r="A125" s="212" t="str">
        <f ca="1"/>
        <v>C6 JAN-FEB</v>
      </c>
      <c r="B125" s="218">
        <f ca="1"/>
        <v>46077</v>
      </c>
      <c r="C125" s="212" t="str">
        <f ca="1"/>
        <v>chakki1,2,3</v>
      </c>
      <c r="D125" s="212" t="str">
        <f ca="1"/>
        <v>C6</v>
      </c>
      <c r="E125" s="212" t="str">
        <f ca="1"/>
        <v>Multigrain</v>
      </c>
      <c r="F125" s="219">
        <f ca="1"/>
        <v>4000</v>
      </c>
      <c r="G125" s="219">
        <f ca="1"/>
        <v>45</v>
      </c>
      <c r="H125" s="219">
        <f ca="1"/>
        <v>51</v>
      </c>
      <c r="I125" s="219">
        <f ca="1"/>
        <v>3</v>
      </c>
      <c r="J125" s="219">
        <f ca="1"/>
        <v>296</v>
      </c>
      <c r="K125" s="219">
        <f ca="1"/>
        <v>350</v>
      </c>
      <c r="L125" s="219">
        <f ca="1"/>
        <v>3650</v>
      </c>
      <c r="M125" s="219">
        <f ca="1"/>
        <v>4</v>
      </c>
      <c r="N125" s="212" t="str">
        <f ca="1"/>
        <v>NIGHT</v>
      </c>
      <c r="O125" s="220">
        <f ca="1"/>
        <v>0.91249999999999998</v>
      </c>
      <c r="P125" s="221">
        <f ca="1"/>
        <v>4000</v>
      </c>
      <c r="Q125" s="221">
        <f ca="1"/>
        <v>0</v>
      </c>
    </row>
    <row r="126" spans="1:17" ht="18" customHeight="1">
      <c r="A126" s="212" t="str">
        <f ca="1"/>
        <v>C6 JAN-FEB</v>
      </c>
      <c r="B126" s="218">
        <f ca="1"/>
        <v>46078</v>
      </c>
      <c r="C126" s="212" t="str">
        <f ca="1"/>
        <v>Chakki1,2,3</v>
      </c>
      <c r="D126" s="212" t="str">
        <f ca="1"/>
        <v>C6</v>
      </c>
      <c r="E126" s="212" t="str">
        <f ca="1"/>
        <v>Multigrain</v>
      </c>
      <c r="F126" s="219">
        <f ca="1"/>
        <v>2850</v>
      </c>
      <c r="G126" s="219">
        <f ca="1"/>
        <v>35</v>
      </c>
      <c r="H126" s="219">
        <f ca="1"/>
        <v>32</v>
      </c>
      <c r="I126" s="219">
        <f ca="1"/>
        <v>5</v>
      </c>
      <c r="J126" s="219">
        <f ca="1"/>
        <v>243</v>
      </c>
      <c r="K126" s="219">
        <f ca="1"/>
        <v>280</v>
      </c>
      <c r="L126" s="219">
        <f ca="1"/>
        <v>2570</v>
      </c>
      <c r="M126" s="219">
        <f ca="1"/>
        <v>4</v>
      </c>
      <c r="N126" s="212" t="str">
        <f ca="1"/>
        <v>DAY</v>
      </c>
      <c r="O126" s="220">
        <f ca="1"/>
        <v>0.90175438596491231</v>
      </c>
      <c r="P126" s="221">
        <f ca="1"/>
        <v>2850</v>
      </c>
      <c r="Q126" s="221">
        <f ca="1"/>
        <v>0</v>
      </c>
    </row>
    <row r="127" spans="1:17" ht="18" customHeight="1">
      <c r="A127" s="212" t="str">
        <f ca="1"/>
        <v>C6 JAN-FEB</v>
      </c>
      <c r="B127" s="218">
        <f ca="1"/>
        <v>46078</v>
      </c>
      <c r="C127" s="212" t="str">
        <f ca="1"/>
        <v>Chakki1,2,3</v>
      </c>
      <c r="D127" s="212" t="str">
        <f ca="1"/>
        <v>C6</v>
      </c>
      <c r="E127" s="212" t="str">
        <f ca="1"/>
        <v>Multigrain</v>
      </c>
      <c r="F127" s="219">
        <f ca="1"/>
        <v>4000</v>
      </c>
      <c r="G127" s="219">
        <f ca="1"/>
        <v>51</v>
      </c>
      <c r="H127" s="219">
        <f ca="1"/>
        <v>48</v>
      </c>
      <c r="I127" s="219">
        <f ca="1"/>
        <v>3</v>
      </c>
      <c r="J127" s="219">
        <f ca="1"/>
        <v>319</v>
      </c>
      <c r="K127" s="219">
        <f ca="1"/>
        <v>370</v>
      </c>
      <c r="L127" s="219">
        <f ca="1"/>
        <v>3630</v>
      </c>
      <c r="M127" s="219">
        <f ca="1"/>
        <v>4</v>
      </c>
      <c r="N127" s="212" t="str">
        <f ca="1"/>
        <v>NIGHT</v>
      </c>
      <c r="O127" s="220">
        <f ca="1"/>
        <v>0.90749999999999997</v>
      </c>
      <c r="P127" s="221">
        <f ca="1"/>
        <v>4000</v>
      </c>
      <c r="Q127" s="221">
        <f ca="1"/>
        <v>0</v>
      </c>
    </row>
    <row r="128" spans="1:17" ht="18" customHeight="1">
      <c r="A128" s="212" t="str">
        <f ca="1"/>
        <v>C6 JAN-FEB</v>
      </c>
      <c r="B128" s="218">
        <f ca="1"/>
        <v>46079</v>
      </c>
      <c r="C128" s="212" t="str">
        <f ca="1"/>
        <v>Chakki1,2,3</v>
      </c>
      <c r="D128" s="212" t="str">
        <f ca="1"/>
        <v>C6</v>
      </c>
      <c r="E128" s="212" t="str">
        <f ca="1"/>
        <v>Multigrain</v>
      </c>
      <c r="F128" s="219">
        <f ca="1"/>
        <v>3250</v>
      </c>
      <c r="G128" s="219">
        <f ca="1"/>
        <v>43</v>
      </c>
      <c r="H128" s="219">
        <f ca="1"/>
        <v>27</v>
      </c>
      <c r="I128" s="219">
        <f ca="1"/>
        <v>4</v>
      </c>
      <c r="J128" s="219">
        <f ca="1"/>
        <v>259</v>
      </c>
      <c r="K128" s="219">
        <f ca="1"/>
        <v>290</v>
      </c>
      <c r="L128" s="219">
        <f ca="1"/>
        <v>2960</v>
      </c>
      <c r="M128" s="219">
        <f ca="1"/>
        <v>4</v>
      </c>
      <c r="N128" s="212" t="str">
        <f ca="1"/>
        <v>NIGHT</v>
      </c>
      <c r="O128" s="220">
        <f ca="1"/>
        <v>0.91076923076923078</v>
      </c>
      <c r="P128" s="221">
        <f ca="1"/>
        <v>3250</v>
      </c>
      <c r="Q128" s="221">
        <f ca="1"/>
        <v>0</v>
      </c>
    </row>
    <row r="129" spans="1:17" ht="18" customHeight="1">
      <c r="A129" s="212" t="str">
        <f ca="1"/>
        <v>C6 JAN-FEB</v>
      </c>
      <c r="B129" s="218">
        <f ca="1"/>
        <v>46080</v>
      </c>
      <c r="C129" s="212" t="str">
        <f ca="1"/>
        <v>Chakki1,2,3</v>
      </c>
      <c r="D129" s="212" t="str">
        <f ca="1"/>
        <v>C6</v>
      </c>
      <c r="E129" s="212" t="str">
        <f ca="1"/>
        <v>Multigrain</v>
      </c>
      <c r="F129" s="219">
        <f ca="1"/>
        <v>1850</v>
      </c>
      <c r="G129" s="219">
        <f ca="1"/>
        <v>17</v>
      </c>
      <c r="H129" s="219">
        <f ca="1"/>
        <v>20</v>
      </c>
      <c r="I129" s="219">
        <f ca="1"/>
        <v>5</v>
      </c>
      <c r="J129" s="219">
        <f ca="1"/>
        <v>128</v>
      </c>
      <c r="K129" s="219">
        <f ca="1"/>
        <v>170</v>
      </c>
      <c r="L129" s="219">
        <f ca="1"/>
        <v>1680</v>
      </c>
      <c r="M129" s="219">
        <f ca="1"/>
        <v>4</v>
      </c>
      <c r="N129" s="212" t="str">
        <f ca="1"/>
        <v>DAY</v>
      </c>
      <c r="O129" s="220">
        <f ca="1"/>
        <v>0.90810810810810816</v>
      </c>
      <c r="P129" s="221">
        <f ca="1"/>
        <v>1850</v>
      </c>
      <c r="Q129" s="221">
        <f ca="1"/>
        <v>0</v>
      </c>
    </row>
    <row r="130" spans="1:17" ht="18" customHeight="1">
      <c r="A130" s="212" t="str">
        <f ca="1"/>
        <v>C6 JAN-FEB</v>
      </c>
      <c r="B130" s="218">
        <f ca="1"/>
        <v>46080</v>
      </c>
      <c r="C130" s="212" t="str">
        <f ca="1"/>
        <v>Chakki1,2,3</v>
      </c>
      <c r="D130" s="212" t="str">
        <f ca="1"/>
        <v>C6</v>
      </c>
      <c r="E130" s="212" t="str">
        <f ca="1"/>
        <v>Multigrain</v>
      </c>
      <c r="F130" s="219">
        <f ca="1"/>
        <v>3500</v>
      </c>
      <c r="G130" s="219">
        <f ca="1"/>
        <v>42</v>
      </c>
      <c r="H130" s="219">
        <f ca="1"/>
        <v>35</v>
      </c>
      <c r="I130" s="219">
        <f ca="1"/>
        <v>4</v>
      </c>
      <c r="J130" s="219">
        <f ca="1"/>
        <v>229</v>
      </c>
      <c r="K130" s="219">
        <f ca="1"/>
        <v>310</v>
      </c>
      <c r="L130" s="219">
        <f ca="1"/>
        <v>3190</v>
      </c>
      <c r="M130" s="219">
        <f ca="1"/>
        <v>4</v>
      </c>
      <c r="N130" s="212" t="str">
        <f ca="1"/>
        <v>NIGHT</v>
      </c>
      <c r="O130" s="220">
        <f ca="1"/>
        <v>0.91142857142857148</v>
      </c>
      <c r="P130" s="221">
        <f ca="1"/>
        <v>3500</v>
      </c>
      <c r="Q130" s="221">
        <f ca="1"/>
        <v>0</v>
      </c>
    </row>
    <row r="131" spans="1:17" ht="18" customHeight="1">
      <c r="A131" s="212" t="str">
        <f ca="1"/>
        <v>C6 JAN-FEB</v>
      </c>
      <c r="B131" s="218">
        <f ca="1"/>
        <v>46081</v>
      </c>
      <c r="C131" s="212" t="str">
        <f ca="1"/>
        <v>Chakki1,2,3</v>
      </c>
      <c r="D131" s="212" t="str">
        <f ca="1"/>
        <v>C6</v>
      </c>
      <c r="E131" s="212" t="str">
        <f ca="1"/>
        <v>Multigrain</v>
      </c>
      <c r="F131" s="219">
        <f ca="1"/>
        <v>2100</v>
      </c>
      <c r="G131" s="219">
        <f ca="1"/>
        <v>37</v>
      </c>
      <c r="H131" s="219">
        <f ca="1"/>
        <v>23</v>
      </c>
      <c r="I131" s="219">
        <f ca="1"/>
        <v>2</v>
      </c>
      <c r="J131" s="219">
        <f ca="1"/>
        <v>133</v>
      </c>
      <c r="K131" s="219">
        <f ca="1"/>
        <v>195</v>
      </c>
      <c r="L131" s="219">
        <f ca="1"/>
        <v>1905</v>
      </c>
      <c r="M131" s="219">
        <f ca="1"/>
        <v>4</v>
      </c>
      <c r="N131" s="212" t="str">
        <f ca="1"/>
        <v>DAY</v>
      </c>
      <c r="O131" s="220">
        <f ca="1"/>
        <v>0.90714285714285703</v>
      </c>
      <c r="P131" s="221">
        <f ca="1"/>
        <v>2100</v>
      </c>
      <c r="Q131" s="221">
        <f ca="1"/>
        <v>0</v>
      </c>
    </row>
    <row r="132" spans="1:17" ht="18" customHeight="1">
      <c r="A132" s="212" t="str">
        <f ca="1"/>
        <v>C6 JAN-FEB</v>
      </c>
      <c r="B132" s="218">
        <f ca="1"/>
        <v>46081</v>
      </c>
      <c r="C132" s="212" t="str">
        <f ca="1"/>
        <v>Chakki1,2,3</v>
      </c>
      <c r="D132" s="212" t="str">
        <f ca="1"/>
        <v>C6</v>
      </c>
      <c r="E132" s="212" t="str">
        <f ca="1"/>
        <v>Multigrain</v>
      </c>
      <c r="F132" s="219">
        <f ca="1"/>
        <v>3600</v>
      </c>
      <c r="G132" s="219">
        <f ca="1"/>
        <v>38</v>
      </c>
      <c r="H132" s="219">
        <f ca="1"/>
        <v>43</v>
      </c>
      <c r="I132" s="219">
        <f ca="1"/>
        <v>3</v>
      </c>
      <c r="J132" s="219">
        <f ca="1"/>
        <v>236</v>
      </c>
      <c r="K132" s="219">
        <f ca="1"/>
        <v>320</v>
      </c>
      <c r="L132" s="219">
        <f ca="1"/>
        <v>3280</v>
      </c>
      <c r="M132" s="219">
        <f ca="1"/>
        <v>4</v>
      </c>
      <c r="N132" s="212" t="str">
        <f ca="1"/>
        <v>NIGHT</v>
      </c>
      <c r="O132" s="220">
        <f ca="1"/>
        <v>0.91111111111111109</v>
      </c>
      <c r="P132" s="221">
        <f ca="1"/>
        <v>3600</v>
      </c>
      <c r="Q132" s="221">
        <f ca="1"/>
        <v>0</v>
      </c>
    </row>
    <row r="133" spans="1:17" ht="18" customHeight="1">
      <c r="A133" s="212" t="str">
        <f ca="1"/>
        <v xml:space="preserve"> C39 JAN-FEB</v>
      </c>
      <c r="B133" s="218">
        <f ca="1"/>
        <v>46026</v>
      </c>
      <c r="C133" s="212" t="str">
        <f ca="1"/>
        <v>3&amp;4</v>
      </c>
      <c r="D133" s="212" t="str">
        <f ca="1"/>
        <v>C39</v>
      </c>
      <c r="E133" s="212" t="str">
        <f ca="1"/>
        <v>Khapli</v>
      </c>
      <c r="F133" s="219">
        <f ca="1"/>
        <v>5000</v>
      </c>
      <c r="G133" s="219">
        <f ca="1"/>
        <v>130</v>
      </c>
      <c r="H133" s="219">
        <f ca="1"/>
        <v>92</v>
      </c>
      <c r="I133" s="219">
        <f ca="1"/>
        <v>6</v>
      </c>
      <c r="J133" s="219">
        <f ca="1"/>
        <v>240</v>
      </c>
      <c r="K133" s="219">
        <f ca="1"/>
        <v>468</v>
      </c>
      <c r="L133" s="219">
        <f ca="1"/>
        <v>4532</v>
      </c>
      <c r="M133" s="219">
        <f ca="1"/>
        <v>9</v>
      </c>
      <c r="N133" s="212" t="str">
        <f ca="1"/>
        <v>Day</v>
      </c>
      <c r="O133" s="220">
        <f ca="1"/>
        <v>0.90639999999999998</v>
      </c>
      <c r="P133" s="221">
        <f ca="1"/>
        <v>5000</v>
      </c>
      <c r="Q133" s="221">
        <f ca="1"/>
        <v>0</v>
      </c>
    </row>
    <row r="134" spans="1:17" ht="18" customHeight="1">
      <c r="A134" s="212" t="str">
        <f ca="1"/>
        <v xml:space="preserve"> C39 JAN-FEB</v>
      </c>
      <c r="B134" s="218">
        <f ca="1"/>
        <v>46027</v>
      </c>
      <c r="C134" s="212" t="str">
        <f ca="1"/>
        <v>3&amp;4</v>
      </c>
      <c r="D134" s="212" t="str">
        <f ca="1"/>
        <v>C39</v>
      </c>
      <c r="E134" s="212" t="str">
        <f ca="1"/>
        <v>Khapli</v>
      </c>
      <c r="F134" s="219">
        <f ca="1"/>
        <v>4450</v>
      </c>
      <c r="G134" s="219">
        <f ca="1"/>
        <v>85</v>
      </c>
      <c r="H134" s="219">
        <f ca="1"/>
        <v>72</v>
      </c>
      <c r="I134" s="219">
        <f ca="1"/>
        <v>5.4</v>
      </c>
      <c r="J134" s="219">
        <f ca="1"/>
        <v>156.6</v>
      </c>
      <c r="K134" s="219">
        <f ca="1"/>
        <v>319</v>
      </c>
      <c r="L134" s="219">
        <f ca="1"/>
        <v>4131</v>
      </c>
      <c r="M134" s="219">
        <f ca="1"/>
        <v>9</v>
      </c>
      <c r="N134" s="212" t="str">
        <f ca="1"/>
        <v>Day</v>
      </c>
      <c r="O134" s="220">
        <f ca="1"/>
        <v>0.92831460674157318</v>
      </c>
      <c r="P134" s="221">
        <f ca="1"/>
        <v>4450</v>
      </c>
      <c r="Q134" s="221">
        <f ca="1"/>
        <v>0</v>
      </c>
    </row>
    <row r="135" spans="1:17" ht="18" customHeight="1">
      <c r="A135" s="212" t="str">
        <f ca="1"/>
        <v xml:space="preserve"> C39 JAN-FEB</v>
      </c>
      <c r="B135" s="218">
        <f ca="1"/>
        <v>46028</v>
      </c>
      <c r="C135" s="212" t="str">
        <f ca="1"/>
        <v>3&amp;4</v>
      </c>
      <c r="D135" s="212" t="str">
        <f ca="1"/>
        <v>C39</v>
      </c>
      <c r="E135" s="212" t="str">
        <f ca="1"/>
        <v>Khapli</v>
      </c>
      <c r="F135" s="219">
        <f ca="1"/>
        <v>5550</v>
      </c>
      <c r="G135" s="219">
        <f ca="1"/>
        <v>184</v>
      </c>
      <c r="H135" s="219">
        <f ca="1"/>
        <v>152</v>
      </c>
      <c r="I135" s="219">
        <f ca="1"/>
        <v>6</v>
      </c>
      <c r="J135" s="219">
        <f ca="1"/>
        <v>202</v>
      </c>
      <c r="K135" s="219">
        <f ca="1"/>
        <v>544</v>
      </c>
      <c r="L135" s="219">
        <f ca="1"/>
        <v>5006</v>
      </c>
      <c r="M135" s="219">
        <f ca="1"/>
        <v>9</v>
      </c>
      <c r="N135" s="212" t="str">
        <f ca="1"/>
        <v>Day</v>
      </c>
      <c r="O135" s="220">
        <f ca="1"/>
        <v>0.90198198198198198</v>
      </c>
      <c r="P135" s="221">
        <f ca="1"/>
        <v>5550</v>
      </c>
      <c r="Q135" s="221">
        <f ca="1"/>
        <v>0</v>
      </c>
    </row>
    <row r="136" spans="1:17" ht="18" customHeight="1">
      <c r="A136" s="212" t="str">
        <f ca="1"/>
        <v xml:space="preserve"> C39 JAN-FEB</v>
      </c>
      <c r="B136" s="218">
        <f ca="1"/>
        <v>46029</v>
      </c>
      <c r="C136" s="212" t="str">
        <f ca="1"/>
        <v>3&amp;4</v>
      </c>
      <c r="D136" s="212" t="str">
        <f ca="1"/>
        <v>C39</v>
      </c>
      <c r="E136" s="212" t="str">
        <f ca="1"/>
        <v>Khapli</v>
      </c>
      <c r="F136" s="219">
        <f ca="1"/>
        <v>5700</v>
      </c>
      <c r="G136" s="219">
        <f ca="1"/>
        <v>127</v>
      </c>
      <c r="H136" s="219">
        <f ca="1"/>
        <v>85</v>
      </c>
      <c r="I136" s="219">
        <f ca="1"/>
        <v>7</v>
      </c>
      <c r="J136" s="219">
        <f ca="1"/>
        <v>156</v>
      </c>
      <c r="K136" s="219">
        <f ca="1"/>
        <v>375</v>
      </c>
      <c r="L136" s="219">
        <f ca="1"/>
        <v>5325</v>
      </c>
      <c r="M136" s="219">
        <f ca="1"/>
        <v>9</v>
      </c>
      <c r="N136" s="212" t="str">
        <f ca="1"/>
        <v>Day</v>
      </c>
      <c r="O136" s="220">
        <f ca="1"/>
        <v>0.93421052631578949</v>
      </c>
      <c r="P136" s="221">
        <f ca="1"/>
        <v>5700</v>
      </c>
      <c r="Q136" s="221">
        <f ca="1"/>
        <v>0</v>
      </c>
    </row>
    <row r="137" spans="1:17" ht="18" customHeight="1">
      <c r="A137" s="212" t="str">
        <f ca="1"/>
        <v xml:space="preserve"> C39 JAN-FEB</v>
      </c>
      <c r="B137" s="218">
        <f ca="1"/>
        <v>46030</v>
      </c>
      <c r="C137" s="212" t="str">
        <f ca="1"/>
        <v>3&amp;4</v>
      </c>
      <c r="D137" s="212" t="str">
        <f ca="1"/>
        <v>C39</v>
      </c>
      <c r="E137" s="212" t="str">
        <f ca="1"/>
        <v>Khapli</v>
      </c>
      <c r="F137" s="219">
        <f ca="1"/>
        <v>5000</v>
      </c>
      <c r="G137" s="219">
        <f ca="1"/>
        <v>127</v>
      </c>
      <c r="H137" s="219">
        <f ca="1"/>
        <v>78</v>
      </c>
      <c r="I137" s="219">
        <f ca="1"/>
        <v>6</v>
      </c>
      <c r="J137" s="219">
        <f ca="1"/>
        <v>169</v>
      </c>
      <c r="K137" s="219">
        <f ca="1"/>
        <v>380</v>
      </c>
      <c r="L137" s="219">
        <f ca="1"/>
        <v>4620</v>
      </c>
      <c r="M137" s="219">
        <f ca="1"/>
        <v>9</v>
      </c>
      <c r="N137" s="212" t="str">
        <f ca="1"/>
        <v>Day</v>
      </c>
      <c r="O137" s="220">
        <f ca="1"/>
        <v>0.92400000000000004</v>
      </c>
      <c r="P137" s="221">
        <f ca="1"/>
        <v>5000</v>
      </c>
      <c r="Q137" s="221">
        <f ca="1"/>
        <v>0</v>
      </c>
    </row>
    <row r="138" spans="1:17" ht="18" customHeight="1">
      <c r="A138" s="212" t="str">
        <f ca="1"/>
        <v xml:space="preserve"> C39 JAN-FEB</v>
      </c>
      <c r="B138" s="218">
        <f ca="1"/>
        <v>46031</v>
      </c>
      <c r="C138" s="212" t="str">
        <f ca="1"/>
        <v>3&amp;4</v>
      </c>
      <c r="D138" s="212" t="str">
        <f ca="1"/>
        <v>C39</v>
      </c>
      <c r="E138" s="212" t="str">
        <f ca="1"/>
        <v>Khapli</v>
      </c>
      <c r="F138" s="219">
        <f ca="1"/>
        <v>5000</v>
      </c>
      <c r="G138" s="219">
        <f ca="1"/>
        <v>133</v>
      </c>
      <c r="H138" s="219">
        <f ca="1"/>
        <v>81</v>
      </c>
      <c r="I138" s="219">
        <f ca="1"/>
        <v>6.6</v>
      </c>
      <c r="J138" s="219">
        <f ca="1"/>
        <v>140.4</v>
      </c>
      <c r="K138" s="219">
        <f ca="1"/>
        <v>361</v>
      </c>
      <c r="L138" s="219">
        <f ca="1"/>
        <v>4639</v>
      </c>
      <c r="M138" s="219">
        <f ca="1"/>
        <v>9</v>
      </c>
      <c r="N138" s="212" t="str">
        <f ca="1"/>
        <v>Day</v>
      </c>
      <c r="O138" s="220">
        <f ca="1"/>
        <v>0.92779999999999996</v>
      </c>
      <c r="P138" s="221">
        <f ca="1"/>
        <v>5000</v>
      </c>
      <c r="Q138" s="221">
        <f ca="1"/>
        <v>0</v>
      </c>
    </row>
    <row r="139" spans="1:17" ht="18" customHeight="1">
      <c r="A139" s="212" t="str">
        <f ca="1"/>
        <v xml:space="preserve"> C39 JAN-FEB</v>
      </c>
      <c r="B139" s="218">
        <f ca="1"/>
        <v>46032</v>
      </c>
      <c r="C139" s="212" t="str">
        <f ca="1"/>
        <v>3&amp;4</v>
      </c>
      <c r="D139" s="212" t="str">
        <f ca="1"/>
        <v>C39</v>
      </c>
      <c r="E139" s="212" t="str">
        <f ca="1"/>
        <v>Khapli</v>
      </c>
      <c r="F139" s="219">
        <f ca="1"/>
        <v>4500</v>
      </c>
      <c r="G139" s="219">
        <f ca="1"/>
        <v>112</v>
      </c>
      <c r="H139" s="219">
        <f ca="1"/>
        <v>65</v>
      </c>
      <c r="I139" s="219">
        <f ca="1"/>
        <v>4</v>
      </c>
      <c r="J139" s="219">
        <f ca="1"/>
        <v>129</v>
      </c>
      <c r="K139" s="219">
        <f ca="1"/>
        <v>310</v>
      </c>
      <c r="L139" s="219">
        <f ca="1"/>
        <v>4190</v>
      </c>
      <c r="M139" s="219">
        <f ca="1"/>
        <v>9</v>
      </c>
      <c r="N139" s="212" t="str">
        <f ca="1"/>
        <v>Day</v>
      </c>
      <c r="O139" s="220">
        <f ca="1"/>
        <v>0.93111111111111111</v>
      </c>
      <c r="P139" s="221">
        <f ca="1"/>
        <v>4500</v>
      </c>
      <c r="Q139" s="221">
        <f ca="1"/>
        <v>0</v>
      </c>
    </row>
    <row r="140" spans="1:17" ht="18" customHeight="1">
      <c r="A140" s="212" t="str">
        <f ca="1"/>
        <v xml:space="preserve"> C39 JAN-FEB</v>
      </c>
      <c r="B140" s="218">
        <f ca="1"/>
        <v>46033</v>
      </c>
      <c r="C140" s="212" t="str">
        <f ca="1"/>
        <v>3&amp;4</v>
      </c>
      <c r="D140" s="212" t="str">
        <f ca="1"/>
        <v>C39</v>
      </c>
      <c r="E140" s="212" t="str">
        <f ca="1"/>
        <v>Khapli</v>
      </c>
      <c r="F140" s="219">
        <f ca="1"/>
        <v>3150</v>
      </c>
      <c r="G140" s="219">
        <f ca="1"/>
        <v>90</v>
      </c>
      <c r="H140" s="219">
        <f ca="1"/>
        <v>46</v>
      </c>
      <c r="I140" s="219">
        <f ca="1"/>
        <v>4</v>
      </c>
      <c r="J140" s="219">
        <f ca="1"/>
        <v>100</v>
      </c>
      <c r="K140" s="219">
        <f ca="1"/>
        <v>240</v>
      </c>
      <c r="L140" s="219">
        <f ca="1"/>
        <v>2910</v>
      </c>
      <c r="M140" s="219">
        <f ca="1"/>
        <v>9</v>
      </c>
      <c r="N140" s="212" t="str">
        <f ca="1"/>
        <v>Day</v>
      </c>
      <c r="O140" s="220">
        <f ca="1"/>
        <v>0.92380952380952375</v>
      </c>
      <c r="P140" s="221">
        <f ca="1"/>
        <v>3150</v>
      </c>
      <c r="Q140" s="221">
        <f ca="1"/>
        <v>0</v>
      </c>
    </row>
    <row r="141" spans="1:17" ht="18" customHeight="1">
      <c r="A141" s="212" t="str">
        <f ca="1"/>
        <v xml:space="preserve"> C39 JAN-FEB</v>
      </c>
      <c r="B141" s="218">
        <f ca="1"/>
        <v>46034</v>
      </c>
      <c r="C141" s="212" t="str">
        <f ca="1"/>
        <v>3&amp;4</v>
      </c>
      <c r="D141" s="212" t="str">
        <f ca="1"/>
        <v>C39</v>
      </c>
      <c r="E141" s="212" t="str">
        <f ca="1"/>
        <v>Khapli</v>
      </c>
      <c r="F141" s="219">
        <f ca="1"/>
        <v>4500</v>
      </c>
      <c r="G141" s="219">
        <f ca="1"/>
        <v>106</v>
      </c>
      <c r="H141" s="219">
        <f ca="1"/>
        <v>50</v>
      </c>
      <c r="I141" s="219">
        <f ca="1"/>
        <v>4.5999999999999996</v>
      </c>
      <c r="J141" s="219">
        <f ca="1"/>
        <v>118.4</v>
      </c>
      <c r="K141" s="219">
        <f ca="1"/>
        <v>279</v>
      </c>
      <c r="L141" s="219">
        <f ca="1"/>
        <v>4221</v>
      </c>
      <c r="M141" s="219">
        <f ca="1"/>
        <v>9</v>
      </c>
      <c r="N141" s="212" t="str">
        <f ca="1"/>
        <v>Day</v>
      </c>
      <c r="O141" s="220">
        <f ca="1"/>
        <v>0.93799999999999994</v>
      </c>
      <c r="P141" s="221">
        <f ca="1"/>
        <v>4500</v>
      </c>
      <c r="Q141" s="221">
        <f ca="1"/>
        <v>0</v>
      </c>
    </row>
    <row r="142" spans="1:17" ht="18" customHeight="1">
      <c r="A142" s="212" t="str">
        <f ca="1"/>
        <v xml:space="preserve"> C39 JAN-FEB</v>
      </c>
      <c r="B142" s="218">
        <f ca="1"/>
        <v>46035</v>
      </c>
      <c r="C142" s="212" t="str">
        <f ca="1"/>
        <v>3&amp;4</v>
      </c>
      <c r="D142" s="212" t="str">
        <f ca="1"/>
        <v>C39</v>
      </c>
      <c r="E142" s="212" t="str">
        <f ca="1"/>
        <v>Khapli</v>
      </c>
      <c r="F142" s="219">
        <f ca="1"/>
        <v>5000</v>
      </c>
      <c r="G142" s="219">
        <f ca="1"/>
        <v>111</v>
      </c>
      <c r="H142" s="219">
        <f ca="1"/>
        <v>84</v>
      </c>
      <c r="I142" s="219">
        <f ca="1"/>
        <v>6</v>
      </c>
      <c r="J142" s="219">
        <f ca="1"/>
        <v>132</v>
      </c>
      <c r="K142" s="219">
        <f ca="1"/>
        <v>333</v>
      </c>
      <c r="L142" s="219">
        <f ca="1"/>
        <v>4667</v>
      </c>
      <c r="M142" s="219">
        <f ca="1"/>
        <v>9</v>
      </c>
      <c r="N142" s="212" t="str">
        <f ca="1"/>
        <v>Day</v>
      </c>
      <c r="O142" s="220">
        <f ca="1"/>
        <v>0.93340000000000001</v>
      </c>
      <c r="P142" s="221">
        <f ca="1"/>
        <v>5000</v>
      </c>
      <c r="Q142" s="221">
        <f ca="1"/>
        <v>0</v>
      </c>
    </row>
    <row r="143" spans="1:17" ht="18" customHeight="1">
      <c r="A143" s="212" t="str">
        <f ca="1"/>
        <v xml:space="preserve"> C39 JAN-FEB</v>
      </c>
      <c r="B143" s="218">
        <f ca="1"/>
        <v>46038</v>
      </c>
      <c r="C143" s="212" t="str">
        <f ca="1"/>
        <v>3&amp;4</v>
      </c>
      <c r="D143" s="212" t="str">
        <f ca="1"/>
        <v>C39</v>
      </c>
      <c r="E143" s="212" t="str">
        <f ca="1"/>
        <v>Khapli</v>
      </c>
      <c r="F143" s="219">
        <f ca="1"/>
        <v>5000</v>
      </c>
      <c r="G143" s="219">
        <f ca="1"/>
        <v>94</v>
      </c>
      <c r="H143" s="219">
        <f ca="1"/>
        <v>62</v>
      </c>
      <c r="I143" s="219">
        <f ca="1"/>
        <v>0</v>
      </c>
      <c r="J143" s="219">
        <f ca="1"/>
        <v>129</v>
      </c>
      <c r="K143" s="219">
        <f ca="1"/>
        <v>285</v>
      </c>
      <c r="L143" s="219">
        <f ca="1"/>
        <v>4715</v>
      </c>
      <c r="M143" s="219">
        <f ca="1"/>
        <v>9</v>
      </c>
      <c r="N143" s="212" t="str">
        <f ca="1"/>
        <v>DAY</v>
      </c>
      <c r="O143" s="220">
        <f ca="1"/>
        <v>0.94299999999999995</v>
      </c>
      <c r="P143" s="221">
        <f ca="1"/>
        <v>5000</v>
      </c>
      <c r="Q143" s="221">
        <f ca="1"/>
        <v>0</v>
      </c>
    </row>
    <row r="144" spans="1:17" ht="18" customHeight="1">
      <c r="A144" s="212" t="str">
        <f ca="1"/>
        <v xml:space="preserve"> C39 JAN-FEB</v>
      </c>
      <c r="B144" s="218">
        <f ca="1"/>
        <v>46039</v>
      </c>
      <c r="C144" s="212" t="str">
        <f ca="1"/>
        <v>3&amp;4</v>
      </c>
      <c r="D144" s="212" t="str">
        <f ca="1"/>
        <v>C39</v>
      </c>
      <c r="E144" s="212" t="str">
        <f ca="1"/>
        <v>Khapli</v>
      </c>
      <c r="F144" s="219">
        <f ca="1"/>
        <v>5000</v>
      </c>
      <c r="G144" s="219">
        <f ca="1"/>
        <v>111</v>
      </c>
      <c r="H144" s="219">
        <f ca="1"/>
        <v>71</v>
      </c>
      <c r="I144" s="219">
        <f ca="1"/>
        <v>7</v>
      </c>
      <c r="J144" s="219">
        <f ca="1"/>
        <v>140</v>
      </c>
      <c r="K144" s="219">
        <f ca="1"/>
        <v>329</v>
      </c>
      <c r="L144" s="219">
        <f ca="1"/>
        <v>4671</v>
      </c>
      <c r="M144" s="219">
        <f ca="1"/>
        <v>9</v>
      </c>
      <c r="N144" s="212" t="str">
        <f ca="1"/>
        <v>day</v>
      </c>
      <c r="O144" s="220">
        <f ca="1"/>
        <v>0.93420000000000003</v>
      </c>
      <c r="P144" s="221">
        <f ca="1"/>
        <v>5000</v>
      </c>
      <c r="Q144" s="221">
        <f ca="1"/>
        <v>0</v>
      </c>
    </row>
    <row r="145" spans="1:17" ht="18" customHeight="1">
      <c r="A145" s="212" t="str">
        <f ca="1"/>
        <v xml:space="preserve"> C39 JAN-FEB</v>
      </c>
      <c r="B145" s="218">
        <f ca="1"/>
        <v>46040</v>
      </c>
      <c r="C145" s="212" t="str">
        <f ca="1"/>
        <v>3&amp;4</v>
      </c>
      <c r="D145" s="212" t="str">
        <f ca="1"/>
        <v>C39</v>
      </c>
      <c r="E145" s="212" t="str">
        <f ca="1"/>
        <v>Khapli</v>
      </c>
      <c r="F145" s="219">
        <f ca="1"/>
        <v>9000</v>
      </c>
      <c r="G145" s="219">
        <f ca="1"/>
        <v>190</v>
      </c>
      <c r="H145" s="219">
        <f ca="1"/>
        <v>140</v>
      </c>
      <c r="I145" s="219">
        <f ca="1"/>
        <v>20</v>
      </c>
      <c r="J145" s="219">
        <f ca="1"/>
        <v>214</v>
      </c>
      <c r="K145" s="219">
        <f ca="1"/>
        <v>564</v>
      </c>
      <c r="L145" s="219">
        <f ca="1"/>
        <v>8436</v>
      </c>
      <c r="M145" s="219">
        <f ca="1"/>
        <v>9</v>
      </c>
      <c r="N145" s="212" t="str">
        <f ca="1"/>
        <v>day</v>
      </c>
      <c r="O145" s="220">
        <f ca="1"/>
        <v>0.93733333333333335</v>
      </c>
      <c r="P145" s="221">
        <f ca="1"/>
        <v>9000</v>
      </c>
      <c r="Q145" s="221">
        <f ca="1"/>
        <v>0</v>
      </c>
    </row>
    <row r="146" spans="1:17" ht="18" customHeight="1">
      <c r="A146" s="212" t="str">
        <f ca="1"/>
        <v xml:space="preserve"> C39 JAN-FEB</v>
      </c>
      <c r="B146" s="218">
        <f ca="1"/>
        <v>46041</v>
      </c>
      <c r="C146" s="212" t="str">
        <f ca="1"/>
        <v>3&amp;4</v>
      </c>
      <c r="D146" s="212" t="str">
        <f ca="1"/>
        <v>C39</v>
      </c>
      <c r="E146" s="212" t="str">
        <f ca="1"/>
        <v>Khapli</v>
      </c>
      <c r="F146" s="219">
        <f ca="1"/>
        <v>3000</v>
      </c>
      <c r="G146" s="219">
        <f ca="1"/>
        <v>93</v>
      </c>
      <c r="H146" s="219">
        <f ca="1"/>
        <v>37</v>
      </c>
      <c r="I146" s="219">
        <f ca="1"/>
        <v>14</v>
      </c>
      <c r="J146" s="219">
        <f ca="1"/>
        <v>96</v>
      </c>
      <c r="K146" s="219">
        <f ca="1"/>
        <v>240</v>
      </c>
      <c r="L146" s="219">
        <f ca="1"/>
        <v>2760</v>
      </c>
      <c r="M146" s="219">
        <f ca="1"/>
        <v>9</v>
      </c>
      <c r="N146" s="212" t="str">
        <f ca="1"/>
        <v>DAY</v>
      </c>
      <c r="O146" s="220">
        <f ca="1"/>
        <v>0.92</v>
      </c>
      <c r="P146" s="221">
        <f ca="1"/>
        <v>3000</v>
      </c>
      <c r="Q146" s="221">
        <f ca="1"/>
        <v>0</v>
      </c>
    </row>
    <row r="147" spans="1:17" ht="18" customHeight="1">
      <c r="A147" s="212" t="str">
        <f ca="1"/>
        <v xml:space="preserve"> C39 JAN-FEB</v>
      </c>
      <c r="B147" s="218">
        <f ca="1"/>
        <v>46029</v>
      </c>
      <c r="C147" s="212" t="str">
        <f ca="1"/>
        <v>Pulveriser</v>
      </c>
      <c r="D147" s="212" t="str">
        <f ca="1"/>
        <v>C39</v>
      </c>
      <c r="E147" s="212" t="str">
        <f ca="1"/>
        <v>Besan</v>
      </c>
      <c r="F147" s="219">
        <f ca="1"/>
        <v>455.44</v>
      </c>
      <c r="G147" s="219">
        <f ca="1"/>
        <v>0</v>
      </c>
      <c r="H147" s="219">
        <f ca="1"/>
        <v>0</v>
      </c>
      <c r="I147" s="219">
        <f ca="1"/>
        <v>0</v>
      </c>
      <c r="J147" s="219">
        <f ca="1"/>
        <v>36.44</v>
      </c>
      <c r="K147" s="219">
        <f ca="1"/>
        <v>36.44</v>
      </c>
      <c r="L147" s="219">
        <f ca="1"/>
        <v>419</v>
      </c>
      <c r="M147" s="219">
        <f ca="1"/>
        <v>2</v>
      </c>
      <c r="N147" s="212" t="str">
        <f ca="1"/>
        <v>DAY</v>
      </c>
      <c r="O147" s="220">
        <f ca="1"/>
        <v>0.9199894607412612</v>
      </c>
      <c r="P147" s="221">
        <f ca="1"/>
        <v>455.44</v>
      </c>
      <c r="Q147" s="221">
        <f ca="1"/>
        <v>0</v>
      </c>
    </row>
    <row r="148" spans="1:17" ht="18" customHeight="1">
      <c r="A148" s="212" t="str">
        <f ca="1"/>
        <v xml:space="preserve"> C39 JAN-FEB</v>
      </c>
      <c r="B148" s="218">
        <f ca="1"/>
        <v>46044</v>
      </c>
      <c r="C148" s="212" t="str">
        <f ca="1"/>
        <v>3&amp;4</v>
      </c>
      <c r="D148" s="212" t="str">
        <f ca="1"/>
        <v>C39</v>
      </c>
      <c r="E148" s="212" t="str">
        <f ca="1"/>
        <v>Khapli</v>
      </c>
      <c r="F148" s="219">
        <f ca="1"/>
        <v>5000</v>
      </c>
      <c r="G148" s="219">
        <f ca="1"/>
        <v>91</v>
      </c>
      <c r="H148" s="219">
        <f ca="1"/>
        <v>66</v>
      </c>
      <c r="I148" s="219">
        <f ca="1"/>
        <v>9</v>
      </c>
      <c r="J148" s="219">
        <f ca="1"/>
        <v>116</v>
      </c>
      <c r="K148" s="219">
        <f ca="1"/>
        <v>282</v>
      </c>
      <c r="L148" s="219">
        <f ca="1"/>
        <v>4718</v>
      </c>
      <c r="M148" s="219">
        <f ca="1"/>
        <v>9</v>
      </c>
      <c r="N148" s="212" t="str">
        <f ca="1"/>
        <v>Day</v>
      </c>
      <c r="O148" s="220">
        <f ca="1"/>
        <v>0.94359999999999999</v>
      </c>
      <c r="P148" s="221">
        <f ca="1"/>
        <v>5000</v>
      </c>
      <c r="Q148" s="221">
        <f ca="1"/>
        <v>0</v>
      </c>
    </row>
    <row r="149" spans="1:17" ht="18" customHeight="1">
      <c r="A149" s="212" t="str">
        <f ca="1"/>
        <v xml:space="preserve"> C39 JAN-FEB</v>
      </c>
      <c r="B149" s="218">
        <f ca="1"/>
        <v>46044</v>
      </c>
      <c r="C149" s="212" t="str">
        <f ca="1"/>
        <v>3&amp;4</v>
      </c>
      <c r="D149" s="212" t="str">
        <f ca="1"/>
        <v>C39</v>
      </c>
      <c r="E149" s="212" t="str">
        <f ca="1"/>
        <v>Khapli</v>
      </c>
      <c r="F149" s="219">
        <f ca="1"/>
        <v>6150</v>
      </c>
      <c r="G149" s="219">
        <f ca="1"/>
        <v>87</v>
      </c>
      <c r="H149" s="219">
        <f ca="1"/>
        <v>75</v>
      </c>
      <c r="I149" s="219">
        <f ca="1"/>
        <v>18</v>
      </c>
      <c r="J149" s="219">
        <f ca="1"/>
        <v>190</v>
      </c>
      <c r="K149" s="219">
        <f ca="1"/>
        <v>370</v>
      </c>
      <c r="L149" s="219">
        <f ca="1"/>
        <v>5780</v>
      </c>
      <c r="M149" s="219">
        <f ca="1"/>
        <v>9</v>
      </c>
      <c r="N149" s="212" t="str">
        <f ca="1"/>
        <v>night</v>
      </c>
      <c r="O149" s="220">
        <f ca="1"/>
        <v>0.93983739837398372</v>
      </c>
      <c r="P149" s="221">
        <f ca="1"/>
        <v>6150</v>
      </c>
      <c r="Q149" s="221">
        <f ca="1"/>
        <v>0</v>
      </c>
    </row>
    <row r="150" spans="1:17" ht="18" customHeight="1">
      <c r="A150" s="212" t="str">
        <f ca="1"/>
        <v xml:space="preserve"> C39 JAN-FEB</v>
      </c>
      <c r="B150" s="218">
        <f ca="1"/>
        <v>46045</v>
      </c>
      <c r="C150" s="212" t="str">
        <f ca="1"/>
        <v>3&amp;4</v>
      </c>
      <c r="D150" s="212" t="str">
        <f ca="1"/>
        <v>C39</v>
      </c>
      <c r="E150" s="212" t="str">
        <f ca="1"/>
        <v>Khapli</v>
      </c>
      <c r="F150" s="219">
        <f ca="1"/>
        <v>6000</v>
      </c>
      <c r="G150" s="219">
        <f ca="1"/>
        <v>103</v>
      </c>
      <c r="H150" s="219">
        <f ca="1"/>
        <v>79</v>
      </c>
      <c r="I150" s="219">
        <f ca="1"/>
        <v>23</v>
      </c>
      <c r="J150" s="219">
        <f ca="1"/>
        <v>164</v>
      </c>
      <c r="K150" s="219">
        <f ca="1"/>
        <v>369</v>
      </c>
      <c r="L150" s="219">
        <f ca="1"/>
        <v>5631</v>
      </c>
      <c r="M150" s="219">
        <f ca="1"/>
        <v>9</v>
      </c>
      <c r="N150" s="212" t="str">
        <f ca="1"/>
        <v>day</v>
      </c>
      <c r="O150" s="220">
        <f ca="1"/>
        <v>0.93849999999999989</v>
      </c>
      <c r="P150" s="221">
        <f ca="1"/>
        <v>6000</v>
      </c>
      <c r="Q150" s="221">
        <f ca="1"/>
        <v>0</v>
      </c>
    </row>
    <row r="151" spans="1:17" ht="18" customHeight="1">
      <c r="A151" s="212" t="str">
        <f ca="1"/>
        <v xml:space="preserve"> C39 JAN-FEB</v>
      </c>
      <c r="B151" s="218">
        <f ca="1"/>
        <v>46046</v>
      </c>
      <c r="C151" s="212" t="str">
        <f ca="1"/>
        <v>3&amp;4</v>
      </c>
      <c r="D151" s="212" t="str">
        <f ca="1"/>
        <v>C39</v>
      </c>
      <c r="E151" s="212" t="str">
        <f ca="1"/>
        <v>Khapli</v>
      </c>
      <c r="F151" s="219">
        <f ca="1"/>
        <v>2600</v>
      </c>
      <c r="G151" s="219">
        <f ca="1"/>
        <v>64</v>
      </c>
      <c r="H151" s="219">
        <f ca="1"/>
        <v>21</v>
      </c>
      <c r="I151" s="219">
        <f ca="1"/>
        <v>9</v>
      </c>
      <c r="J151" s="219">
        <f ca="1"/>
        <v>66</v>
      </c>
      <c r="K151" s="219">
        <f ca="1"/>
        <v>160</v>
      </c>
      <c r="L151" s="219">
        <f ca="1"/>
        <v>2440</v>
      </c>
      <c r="M151" s="219">
        <f ca="1"/>
        <v>9</v>
      </c>
      <c r="N151" s="212" t="str">
        <f ca="1"/>
        <v>night</v>
      </c>
      <c r="O151" s="220">
        <f ca="1"/>
        <v>0.93846153846153835</v>
      </c>
      <c r="P151" s="221">
        <f ca="1"/>
        <v>2600</v>
      </c>
      <c r="Q151" s="221">
        <f ca="1"/>
        <v>0</v>
      </c>
    </row>
    <row r="152" spans="1:17" ht="18" customHeight="1">
      <c r="A152" s="212" t="str">
        <f ca="1"/>
        <v xml:space="preserve"> C39 JAN-FEB</v>
      </c>
      <c r="B152" s="218">
        <f ca="1"/>
        <v>46046</v>
      </c>
      <c r="C152" s="212" t="str">
        <f ca="1"/>
        <v>3&amp;4</v>
      </c>
      <c r="D152" s="212" t="str">
        <f ca="1"/>
        <v>C39</v>
      </c>
      <c r="E152" s="212" t="str">
        <f ca="1"/>
        <v>Khapli</v>
      </c>
      <c r="F152" s="219">
        <f ca="1"/>
        <v>5600</v>
      </c>
      <c r="G152" s="219">
        <f ca="1"/>
        <v>123</v>
      </c>
      <c r="H152" s="219">
        <f ca="1"/>
        <v>89</v>
      </c>
      <c r="I152" s="219">
        <f ca="1"/>
        <v>17</v>
      </c>
      <c r="J152" s="219">
        <f ca="1"/>
        <v>127</v>
      </c>
      <c r="K152" s="219">
        <f ca="1"/>
        <v>356</v>
      </c>
      <c r="L152" s="219">
        <f ca="1"/>
        <v>5244</v>
      </c>
      <c r="M152" s="219">
        <f ca="1"/>
        <v>9</v>
      </c>
      <c r="N152" s="212" t="str">
        <f ca="1"/>
        <v>Day</v>
      </c>
      <c r="O152" s="220">
        <f ca="1"/>
        <v>0.93642857142857139</v>
      </c>
      <c r="P152" s="221">
        <f ca="1"/>
        <v>5600</v>
      </c>
      <c r="Q152" s="221">
        <f ca="1"/>
        <v>0</v>
      </c>
    </row>
    <row r="153" spans="1:17" ht="18" customHeight="1">
      <c r="A153" s="212" t="str">
        <f ca="1"/>
        <v xml:space="preserve"> C39 JAN-FEB</v>
      </c>
      <c r="B153" s="218">
        <f ca="1"/>
        <v>46046</v>
      </c>
      <c r="C153" s="212" t="str">
        <f ca="1"/>
        <v>3&amp;4</v>
      </c>
      <c r="D153" s="212" t="str">
        <f ca="1"/>
        <v>C39</v>
      </c>
      <c r="E153" s="212" t="str">
        <f ca="1"/>
        <v>Khapli</v>
      </c>
      <c r="F153" s="219">
        <f ca="1"/>
        <v>5000</v>
      </c>
      <c r="G153" s="219">
        <f ca="1"/>
        <v>102</v>
      </c>
      <c r="H153" s="219">
        <f ca="1"/>
        <v>69</v>
      </c>
      <c r="I153" s="219">
        <f ca="1"/>
        <v>14</v>
      </c>
      <c r="J153" s="219">
        <f ca="1"/>
        <v>120</v>
      </c>
      <c r="K153" s="219">
        <f ca="1"/>
        <v>305</v>
      </c>
      <c r="L153" s="219">
        <f ca="1"/>
        <v>4695</v>
      </c>
      <c r="M153" s="219">
        <f ca="1"/>
        <v>9</v>
      </c>
      <c r="N153" s="212" t="str">
        <f ca="1"/>
        <v>night</v>
      </c>
      <c r="O153" s="220">
        <f ca="1"/>
        <v>0.93899999999999995</v>
      </c>
      <c r="P153" s="221">
        <f ca="1"/>
        <v>5000</v>
      </c>
      <c r="Q153" s="221">
        <f ca="1"/>
        <v>0</v>
      </c>
    </row>
    <row r="154" spans="1:17" ht="18" customHeight="1">
      <c r="A154" s="212" t="str">
        <f ca="1"/>
        <v xml:space="preserve"> C39 JAN-FEB</v>
      </c>
      <c r="B154" s="218">
        <f ca="1"/>
        <v>46047</v>
      </c>
      <c r="C154" s="212" t="str">
        <f ca="1"/>
        <v>3&amp;4</v>
      </c>
      <c r="D154" s="212" t="str">
        <f ca="1"/>
        <v>C39</v>
      </c>
      <c r="E154" s="212" t="str">
        <f ca="1"/>
        <v>Khapli</v>
      </c>
      <c r="F154" s="219">
        <f ca="1"/>
        <v>3000</v>
      </c>
      <c r="G154" s="219">
        <f ca="1"/>
        <v>79</v>
      </c>
      <c r="H154" s="219">
        <f ca="1"/>
        <v>33</v>
      </c>
      <c r="I154" s="219">
        <f ca="1"/>
        <v>7</v>
      </c>
      <c r="J154" s="219">
        <f ca="1"/>
        <v>68</v>
      </c>
      <c r="K154" s="219">
        <f ca="1"/>
        <v>187</v>
      </c>
      <c r="L154" s="219">
        <f ca="1"/>
        <v>2813</v>
      </c>
      <c r="M154" s="219">
        <f ca="1"/>
        <v>9</v>
      </c>
      <c r="N154" s="212" t="str">
        <f ca="1"/>
        <v>day</v>
      </c>
      <c r="O154" s="220">
        <f ca="1"/>
        <v>0.93766666666666665</v>
      </c>
      <c r="P154" s="221">
        <f ca="1"/>
        <v>3000</v>
      </c>
      <c r="Q154" s="221">
        <f ca="1"/>
        <v>0</v>
      </c>
    </row>
    <row r="155" spans="1:17" ht="18" customHeight="1">
      <c r="A155" s="212" t="str">
        <f ca="1"/>
        <v xml:space="preserve"> C39 JAN-FEB</v>
      </c>
      <c r="B155" s="218">
        <f ca="1"/>
        <v>46049</v>
      </c>
      <c r="C155" s="212" t="str">
        <f ca="1"/>
        <v>3&amp;4</v>
      </c>
      <c r="D155" s="212" t="str">
        <f ca="1"/>
        <v>C39</v>
      </c>
      <c r="E155" s="212" t="str">
        <f ca="1"/>
        <v>Khapli</v>
      </c>
      <c r="F155" s="219">
        <f ca="1"/>
        <v>4600</v>
      </c>
      <c r="G155" s="219">
        <f ca="1"/>
        <v>97</v>
      </c>
      <c r="H155" s="219">
        <f ca="1"/>
        <v>63</v>
      </c>
      <c r="I155" s="219">
        <f ca="1"/>
        <v>14</v>
      </c>
      <c r="J155" s="219">
        <f ca="1"/>
        <v>138</v>
      </c>
      <c r="K155" s="219">
        <f ca="1"/>
        <v>312</v>
      </c>
      <c r="L155" s="219">
        <f ca="1"/>
        <v>4288</v>
      </c>
      <c r="M155" s="219">
        <f ca="1"/>
        <v>9</v>
      </c>
      <c r="N155" s="212" t="str">
        <f ca="1"/>
        <v>day</v>
      </c>
      <c r="O155" s="220">
        <f ca="1"/>
        <v>0.9321739130434783</v>
      </c>
      <c r="P155" s="221">
        <f ca="1"/>
        <v>4600</v>
      </c>
      <c r="Q155" s="221">
        <f ca="1"/>
        <v>0</v>
      </c>
    </row>
    <row r="156" spans="1:17" ht="18" customHeight="1">
      <c r="A156" s="212" t="str">
        <f ca="1"/>
        <v xml:space="preserve"> C39 JAN-FEB</v>
      </c>
      <c r="B156" s="218">
        <f ca="1"/>
        <v>46049</v>
      </c>
      <c r="C156" s="212" t="str">
        <f ca="1"/>
        <v>3&amp;4</v>
      </c>
      <c r="D156" s="212" t="str">
        <f ca="1"/>
        <v>C39</v>
      </c>
      <c r="E156" s="212" t="str">
        <f ca="1"/>
        <v>Khapli</v>
      </c>
      <c r="F156" s="219">
        <f ca="1"/>
        <v>3000</v>
      </c>
      <c r="G156" s="219">
        <f ca="1"/>
        <v>67</v>
      </c>
      <c r="H156" s="219">
        <f ca="1"/>
        <v>45</v>
      </c>
      <c r="I156" s="219">
        <f ca="1"/>
        <v>8</v>
      </c>
      <c r="J156" s="219">
        <f ca="1"/>
        <v>120</v>
      </c>
      <c r="K156" s="219">
        <f ca="1"/>
        <v>240</v>
      </c>
      <c r="L156" s="219">
        <f ca="1"/>
        <v>2760</v>
      </c>
      <c r="M156" s="219">
        <f ca="1"/>
        <v>9</v>
      </c>
      <c r="N156" s="212" t="str">
        <f ca="1"/>
        <v>NIGHT</v>
      </c>
      <c r="O156" s="220">
        <f ca="1"/>
        <v>0.92</v>
      </c>
      <c r="P156" s="221">
        <f ca="1"/>
        <v>3000</v>
      </c>
      <c r="Q156" s="221">
        <f ca="1"/>
        <v>0</v>
      </c>
    </row>
    <row r="157" spans="1:17" ht="18" customHeight="1">
      <c r="A157" s="212" t="str">
        <f ca="1"/>
        <v xml:space="preserve"> C39 JAN-FEB</v>
      </c>
      <c r="B157" s="218">
        <f ca="1"/>
        <v>46024</v>
      </c>
      <c r="C157" s="212" t="str">
        <f ca="1"/>
        <v>3&amp;4</v>
      </c>
      <c r="D157" s="212" t="str">
        <f ca="1"/>
        <v>C39</v>
      </c>
      <c r="E157" s="212" t="str">
        <f ca="1"/>
        <v>Khapli</v>
      </c>
      <c r="F157" s="219">
        <f ca="1"/>
        <v>3500</v>
      </c>
      <c r="G157" s="219">
        <f ca="1"/>
        <v>90</v>
      </c>
      <c r="H157" s="219">
        <f ca="1"/>
        <v>43</v>
      </c>
      <c r="I157" s="219">
        <f ca="1"/>
        <v>4</v>
      </c>
      <c r="J157" s="219">
        <f ca="1"/>
        <v>103</v>
      </c>
      <c r="K157" s="219">
        <f ca="1"/>
        <v>240</v>
      </c>
      <c r="L157" s="219">
        <f ca="1"/>
        <v>3260</v>
      </c>
      <c r="M157" s="219">
        <f ca="1"/>
        <v>9</v>
      </c>
      <c r="N157" s="212" t="str">
        <f ca="1"/>
        <v>DAY</v>
      </c>
      <c r="O157" s="220">
        <f ca="1"/>
        <v>0.93142857142857138</v>
      </c>
      <c r="P157" s="221">
        <f ca="1"/>
        <v>3500</v>
      </c>
      <c r="Q157" s="221">
        <f ca="1"/>
        <v>0</v>
      </c>
    </row>
    <row r="158" spans="1:17" ht="18" customHeight="1">
      <c r="A158" s="212" t="str">
        <f ca="1"/>
        <v xml:space="preserve"> C39 JAN-FEB</v>
      </c>
      <c r="B158" s="218">
        <f ca="1"/>
        <v>46024</v>
      </c>
      <c r="C158" s="212" t="str">
        <f ca="1"/>
        <v>3&amp;4</v>
      </c>
      <c r="D158" s="212" t="str">
        <f ca="1"/>
        <v>C39</v>
      </c>
      <c r="E158" s="212" t="str">
        <f ca="1"/>
        <v>Khapli</v>
      </c>
      <c r="F158" s="219">
        <f ca="1"/>
        <v>1500</v>
      </c>
      <c r="G158" s="219">
        <f ca="1"/>
        <v>29</v>
      </c>
      <c r="H158" s="219">
        <f ca="1"/>
        <v>15</v>
      </c>
      <c r="I158" s="219">
        <f ca="1"/>
        <v>2</v>
      </c>
      <c r="J158" s="219">
        <f ca="1"/>
        <v>45</v>
      </c>
      <c r="K158" s="219">
        <f ca="1"/>
        <v>91</v>
      </c>
      <c r="L158" s="219">
        <f ca="1"/>
        <v>1409</v>
      </c>
      <c r="M158" s="219">
        <f ca="1"/>
        <v>3</v>
      </c>
      <c r="N158" s="212" t="str">
        <f ca="1"/>
        <v>Night</v>
      </c>
      <c r="O158" s="220">
        <f ca="1"/>
        <v>0.93933333333333335</v>
      </c>
      <c r="P158" s="221">
        <f ca="1"/>
        <v>1500</v>
      </c>
      <c r="Q158" s="221">
        <f ca="1"/>
        <v>0</v>
      </c>
    </row>
    <row r="159" spans="1:17" ht="18" customHeight="1">
      <c r="A159" s="212" t="str">
        <f ca="1"/>
        <v xml:space="preserve"> C39 JAN-FEB</v>
      </c>
      <c r="B159" s="218">
        <f ca="1"/>
        <v>46055</v>
      </c>
      <c r="C159" s="212" t="str">
        <f ca="1"/>
        <v>3&amp;4</v>
      </c>
      <c r="D159" s="212" t="str">
        <f ca="1"/>
        <v>C39</v>
      </c>
      <c r="E159" s="212" t="str">
        <f ca="1"/>
        <v xml:space="preserve">Khapli  </v>
      </c>
      <c r="F159" s="219">
        <f ca="1"/>
        <v>6000</v>
      </c>
      <c r="G159" s="219">
        <f ca="1"/>
        <v>138</v>
      </c>
      <c r="H159" s="219">
        <f ca="1"/>
        <v>83</v>
      </c>
      <c r="I159" s="219">
        <f ca="1"/>
        <v>16</v>
      </c>
      <c r="J159" s="219">
        <f ca="1"/>
        <v>172</v>
      </c>
      <c r="K159" s="219">
        <f ca="1"/>
        <v>409</v>
      </c>
      <c r="L159" s="219">
        <f ca="1"/>
        <v>5591</v>
      </c>
      <c r="M159" s="219">
        <f ca="1"/>
        <v>9</v>
      </c>
      <c r="N159" s="212" t="str">
        <f ca="1"/>
        <v>Day</v>
      </c>
      <c r="O159" s="220">
        <f ca="1"/>
        <v>0.93183333333333318</v>
      </c>
      <c r="P159" s="221">
        <f ca="1"/>
        <v>6000</v>
      </c>
      <c r="Q159" s="221">
        <f ca="1"/>
        <v>0</v>
      </c>
    </row>
    <row r="160" spans="1:17" ht="18" customHeight="1">
      <c r="A160" s="212" t="str">
        <f ca="1"/>
        <v xml:space="preserve"> C39 JAN-FEB</v>
      </c>
      <c r="B160" s="218">
        <f ca="1"/>
        <v>46055</v>
      </c>
      <c r="C160" s="212" t="str">
        <f ca="1"/>
        <v>3&amp;4</v>
      </c>
      <c r="D160" s="212" t="str">
        <f ca="1"/>
        <v>C39</v>
      </c>
      <c r="E160" s="212" t="str">
        <f ca="1"/>
        <v xml:space="preserve">Khapli  </v>
      </c>
      <c r="F160" s="219">
        <f ca="1"/>
        <v>5000</v>
      </c>
      <c r="G160" s="219">
        <f ca="1"/>
        <v>96</v>
      </c>
      <c r="H160" s="219">
        <f ca="1"/>
        <v>79</v>
      </c>
      <c r="I160" s="219">
        <f ca="1"/>
        <v>15</v>
      </c>
      <c r="J160" s="219">
        <f ca="1"/>
        <v>124</v>
      </c>
      <c r="K160" s="219">
        <f ca="1"/>
        <v>314</v>
      </c>
      <c r="L160" s="219">
        <f ca="1"/>
        <v>4686</v>
      </c>
      <c r="M160" s="219">
        <f ca="1"/>
        <v>9</v>
      </c>
      <c r="N160" s="212" t="str">
        <f ca="1"/>
        <v>Night</v>
      </c>
      <c r="O160" s="220">
        <f ca="1"/>
        <v>0.93720000000000003</v>
      </c>
      <c r="P160" s="221">
        <f ca="1"/>
        <v>5000</v>
      </c>
      <c r="Q160" s="221">
        <f ca="1"/>
        <v>0</v>
      </c>
    </row>
    <row r="161" spans="1:17" ht="18" customHeight="1">
      <c r="A161" s="212" t="str">
        <f ca="1"/>
        <v xml:space="preserve"> C39 JAN-FEB</v>
      </c>
      <c r="B161" s="218">
        <f ca="1"/>
        <v>46057</v>
      </c>
      <c r="C161" s="212" t="str">
        <f ca="1"/>
        <v>3&amp;4</v>
      </c>
      <c r="D161" s="212" t="str">
        <f ca="1"/>
        <v>C39</v>
      </c>
      <c r="E161" s="212" t="str">
        <f ca="1"/>
        <v xml:space="preserve">Khapli  </v>
      </c>
      <c r="F161" s="219">
        <f ca="1"/>
        <v>3850</v>
      </c>
      <c r="G161" s="219">
        <f ca="1"/>
        <v>85</v>
      </c>
      <c r="H161" s="219">
        <f ca="1"/>
        <v>53</v>
      </c>
      <c r="I161" s="219">
        <f ca="1"/>
        <v>7</v>
      </c>
      <c r="J161" s="219">
        <f ca="1"/>
        <v>96</v>
      </c>
      <c r="K161" s="219">
        <f ca="1"/>
        <v>241</v>
      </c>
      <c r="L161" s="219">
        <f ca="1"/>
        <v>3609</v>
      </c>
      <c r="M161" s="219">
        <f ca="1"/>
        <v>9</v>
      </c>
      <c r="N161" s="212" t="str">
        <f ca="1"/>
        <v>Day</v>
      </c>
      <c r="O161" s="220">
        <f ca="1"/>
        <v>0.93740259740259735</v>
      </c>
      <c r="P161" s="221">
        <f ca="1"/>
        <v>3850</v>
      </c>
      <c r="Q161" s="221">
        <f ca="1"/>
        <v>0</v>
      </c>
    </row>
    <row r="162" spans="1:17" ht="18" customHeight="1">
      <c r="A162" s="212" t="str">
        <f ca="1"/>
        <v xml:space="preserve"> C39 JAN-FEB</v>
      </c>
      <c r="B162" s="218">
        <f ca="1"/>
        <v>46057</v>
      </c>
      <c r="C162" s="212" t="str">
        <f ca="1"/>
        <v>3&amp;4</v>
      </c>
      <c r="D162" s="212" t="str">
        <f ca="1"/>
        <v>C39</v>
      </c>
      <c r="E162" s="212" t="str">
        <f ca="1"/>
        <v xml:space="preserve">Khapli  </v>
      </c>
      <c r="F162" s="219">
        <f ca="1"/>
        <v>6400</v>
      </c>
      <c r="G162" s="219">
        <f ca="1"/>
        <v>105</v>
      </c>
      <c r="H162" s="219">
        <f ca="1"/>
        <v>89</v>
      </c>
      <c r="I162" s="219">
        <f ca="1"/>
        <v>24</v>
      </c>
      <c r="J162" s="219">
        <f ca="1"/>
        <v>222</v>
      </c>
      <c r="K162" s="219">
        <f ca="1"/>
        <v>440</v>
      </c>
      <c r="L162" s="219">
        <f ca="1"/>
        <v>5960</v>
      </c>
      <c r="M162" s="219">
        <f ca="1"/>
        <v>9</v>
      </c>
      <c r="N162" s="212" t="str">
        <f ca="1"/>
        <v>Night</v>
      </c>
      <c r="O162" s="220">
        <f ca="1"/>
        <v>0.93125000000000002</v>
      </c>
      <c r="P162" s="221">
        <f ca="1"/>
        <v>6400</v>
      </c>
      <c r="Q162" s="221">
        <f ca="1"/>
        <v>0</v>
      </c>
    </row>
    <row r="163" spans="1:17" ht="18" customHeight="1">
      <c r="A163" s="212" t="str">
        <f ca="1"/>
        <v xml:space="preserve"> C39 JAN-FEB</v>
      </c>
      <c r="B163" s="218">
        <f ca="1"/>
        <v>46058</v>
      </c>
      <c r="C163" s="212" t="str">
        <f ca="1"/>
        <v>3&amp;4</v>
      </c>
      <c r="D163" s="212" t="str">
        <f ca="1"/>
        <v>C39</v>
      </c>
      <c r="E163" s="212" t="str">
        <f ca="1"/>
        <v xml:space="preserve">Khapli </v>
      </c>
      <c r="F163" s="219">
        <f ca="1"/>
        <v>2650</v>
      </c>
      <c r="G163" s="219">
        <f ca="1"/>
        <v>56</v>
      </c>
      <c r="H163" s="219">
        <f ca="1"/>
        <v>42</v>
      </c>
      <c r="I163" s="219">
        <f ca="1"/>
        <v>6</v>
      </c>
      <c r="J163" s="219">
        <f ca="1"/>
        <v>96</v>
      </c>
      <c r="K163" s="219">
        <f ca="1"/>
        <v>200</v>
      </c>
      <c r="L163" s="219">
        <f ca="1"/>
        <v>2450</v>
      </c>
      <c r="M163" s="219">
        <f ca="1"/>
        <v>5</v>
      </c>
      <c r="N163" s="212" t="str">
        <f ca="1"/>
        <v>Day</v>
      </c>
      <c r="O163" s="220">
        <f ca="1"/>
        <v>0.92452830188679247</v>
      </c>
      <c r="P163" s="221">
        <f ca="1"/>
        <v>2650</v>
      </c>
      <c r="Q163" s="221">
        <f ca="1"/>
        <v>0</v>
      </c>
    </row>
    <row r="164" spans="1:17" ht="18" customHeight="1">
      <c r="A164" s="212" t="str">
        <f ca="1"/>
        <v xml:space="preserve"> C39 JAN-FEB</v>
      </c>
      <c r="B164" s="218">
        <f ca="1"/>
        <v>46059</v>
      </c>
      <c r="C164" s="212" t="str">
        <f ca="1"/>
        <v>3&amp;4</v>
      </c>
      <c r="D164" s="212" t="str">
        <f ca="1"/>
        <v>C39</v>
      </c>
      <c r="E164" s="212" t="str">
        <f ca="1"/>
        <v xml:space="preserve">Khapli </v>
      </c>
      <c r="F164" s="219">
        <f ca="1"/>
        <v>5460</v>
      </c>
      <c r="G164" s="219">
        <f ca="1"/>
        <v>90</v>
      </c>
      <c r="H164" s="219">
        <f ca="1"/>
        <v>60</v>
      </c>
      <c r="I164" s="219">
        <f ca="1"/>
        <v>9</v>
      </c>
      <c r="J164" s="219">
        <f ca="1"/>
        <v>181</v>
      </c>
      <c r="K164" s="219">
        <f ca="1"/>
        <v>340</v>
      </c>
      <c r="L164" s="219">
        <f ca="1"/>
        <v>5120</v>
      </c>
      <c r="M164" s="219">
        <f ca="1"/>
        <v>9</v>
      </c>
      <c r="N164" s="212" t="str">
        <f ca="1"/>
        <v>Day</v>
      </c>
      <c r="O164" s="220">
        <f ca="1"/>
        <v>0.93772893772893762</v>
      </c>
      <c r="P164" s="221">
        <f ca="1"/>
        <v>5460</v>
      </c>
      <c r="Q164" s="221">
        <f ca="1"/>
        <v>0</v>
      </c>
    </row>
    <row r="165" spans="1:17" ht="18" customHeight="1">
      <c r="A165" s="212" t="str">
        <f ca="1"/>
        <v xml:space="preserve"> C39 JAN-FEB</v>
      </c>
      <c r="B165" s="218">
        <f ca="1"/>
        <v>46062</v>
      </c>
      <c r="C165" s="212" t="str">
        <f ca="1"/>
        <v>3&amp;4</v>
      </c>
      <c r="D165" s="212" t="str">
        <f ca="1"/>
        <v>C39</v>
      </c>
      <c r="E165" s="212" t="str">
        <f ca="1"/>
        <v xml:space="preserve">Khapli </v>
      </c>
      <c r="F165" s="219">
        <f ca="1"/>
        <v>8000</v>
      </c>
      <c r="G165" s="219">
        <f ca="1"/>
        <v>165</v>
      </c>
      <c r="H165" s="219">
        <f ca="1"/>
        <v>128</v>
      </c>
      <c r="I165" s="219">
        <f ca="1"/>
        <v>12</v>
      </c>
      <c r="J165" s="219">
        <f ca="1"/>
        <v>210</v>
      </c>
      <c r="K165" s="219">
        <f ca="1"/>
        <v>515</v>
      </c>
      <c r="L165" s="219">
        <f ca="1"/>
        <v>7485</v>
      </c>
      <c r="M165" s="219">
        <f ca="1"/>
        <v>9</v>
      </c>
      <c r="N165" s="212" t="str">
        <f ca="1"/>
        <v>Day</v>
      </c>
      <c r="O165" s="220">
        <f ca="1"/>
        <v>0.93562500000000004</v>
      </c>
      <c r="P165" s="221">
        <f ca="1"/>
        <v>8000</v>
      </c>
      <c r="Q165" s="221">
        <f ca="1"/>
        <v>0</v>
      </c>
    </row>
    <row r="166" spans="1:17" ht="18" customHeight="1">
      <c r="A166" s="212" t="str">
        <f ca="1"/>
        <v xml:space="preserve"> C39 JAN-FEB</v>
      </c>
      <c r="B166" s="218">
        <f ca="1"/>
        <v>46062</v>
      </c>
      <c r="C166" s="212" t="str">
        <f ca="1"/>
        <v>Pulveriser</v>
      </c>
      <c r="D166" s="212" t="str">
        <f ca="1"/>
        <v>C39</v>
      </c>
      <c r="E166" s="212" t="str">
        <f ca="1"/>
        <v>Besan</v>
      </c>
      <c r="F166" s="219">
        <f ca="1"/>
        <v>1000</v>
      </c>
      <c r="G166" s="219">
        <f ca="1"/>
        <v>7</v>
      </c>
      <c r="H166" s="219">
        <f ca="1"/>
        <v>7</v>
      </c>
      <c r="I166" s="219">
        <f ca="1"/>
        <v>4</v>
      </c>
      <c r="J166" s="219">
        <f ca="1"/>
        <v>42</v>
      </c>
      <c r="K166" s="219">
        <f ca="1"/>
        <v>60</v>
      </c>
      <c r="L166" s="219">
        <f ca="1"/>
        <v>940</v>
      </c>
      <c r="M166" s="219">
        <f ca="1"/>
        <v>2</v>
      </c>
      <c r="N166" s="212" t="str">
        <f ca="1"/>
        <v>Night</v>
      </c>
      <c r="O166" s="220">
        <f ca="1"/>
        <v>0.94</v>
      </c>
      <c r="P166" s="221">
        <f ca="1"/>
        <v>1000</v>
      </c>
      <c r="Q166" s="221">
        <f ca="1"/>
        <v>0</v>
      </c>
    </row>
    <row r="167" spans="1:17" ht="18" customHeight="1">
      <c r="A167" s="212" t="str">
        <f ca="1"/>
        <v xml:space="preserve"> C39 JAN-FEB</v>
      </c>
      <c r="B167" s="218">
        <f ca="1"/>
        <v>46065</v>
      </c>
      <c r="C167" s="212" t="str">
        <f ca="1"/>
        <v>3&amp;4</v>
      </c>
      <c r="D167" s="212" t="str">
        <f ca="1"/>
        <v>C39</v>
      </c>
      <c r="E167" s="212" t="str">
        <f ca="1"/>
        <v xml:space="preserve">Khapli </v>
      </c>
      <c r="F167" s="219">
        <f ca="1"/>
        <v>5300</v>
      </c>
      <c r="G167" s="219">
        <f ca="1"/>
        <v>89</v>
      </c>
      <c r="H167" s="219">
        <f ca="1"/>
        <v>81</v>
      </c>
      <c r="I167" s="219">
        <f ca="1"/>
        <v>11</v>
      </c>
      <c r="J167" s="219">
        <f ca="1"/>
        <v>159</v>
      </c>
      <c r="K167" s="219">
        <f ca="1"/>
        <v>340</v>
      </c>
      <c r="L167" s="219">
        <f ca="1"/>
        <v>4960</v>
      </c>
      <c r="M167" s="219">
        <f ca="1"/>
        <v>9</v>
      </c>
      <c r="N167" s="212" t="str">
        <f ca="1"/>
        <v>Night</v>
      </c>
      <c r="O167" s="220">
        <f ca="1"/>
        <v>0.9358490566037736</v>
      </c>
      <c r="P167" s="221">
        <f ca="1"/>
        <v>5300</v>
      </c>
      <c r="Q167" s="221">
        <f ca="1"/>
        <v>0</v>
      </c>
    </row>
    <row r="168" spans="1:17" ht="18" customHeight="1">
      <c r="A168" s="212" t="str">
        <f ca="1"/>
        <v xml:space="preserve"> C39 JAN-FEB</v>
      </c>
      <c r="B168" s="218">
        <f ca="1"/>
        <v>46066</v>
      </c>
      <c r="C168" s="212" t="str">
        <f ca="1"/>
        <v>3&amp;4</v>
      </c>
      <c r="D168" s="212" t="str">
        <f ca="1"/>
        <v>C39</v>
      </c>
      <c r="E168" s="212" t="str">
        <f ca="1"/>
        <v xml:space="preserve">Khapli </v>
      </c>
      <c r="F168" s="219">
        <f ca="1"/>
        <v>7000</v>
      </c>
      <c r="G168" s="219">
        <f ca="1"/>
        <v>62</v>
      </c>
      <c r="H168" s="219">
        <f ca="1"/>
        <v>135</v>
      </c>
      <c r="I168" s="219">
        <f ca="1"/>
        <v>11.5</v>
      </c>
      <c r="J168" s="219">
        <f ca="1"/>
        <v>181.5</v>
      </c>
      <c r="K168" s="219">
        <f ca="1"/>
        <v>390</v>
      </c>
      <c r="L168" s="219">
        <f ca="1"/>
        <v>6610</v>
      </c>
      <c r="M168" s="219">
        <f ca="1"/>
        <v>9</v>
      </c>
      <c r="N168" s="212" t="str">
        <f ca="1"/>
        <v>Day</v>
      </c>
      <c r="O168" s="220">
        <f ca="1"/>
        <v>0.94428571428571428</v>
      </c>
      <c r="P168" s="221">
        <f ca="1"/>
        <v>7000</v>
      </c>
      <c r="Q168" s="221">
        <f ca="1"/>
        <v>0</v>
      </c>
    </row>
    <row r="169" spans="1:17" ht="18" customHeight="1">
      <c r="A169" s="212" t="str">
        <f ca="1"/>
        <v xml:space="preserve"> C39 JAN-FEB</v>
      </c>
      <c r="B169" s="218">
        <f ca="1"/>
        <v>46067</v>
      </c>
      <c r="C169" s="212" t="str">
        <f ca="1"/>
        <v>3&amp;4</v>
      </c>
      <c r="D169" s="212" t="str">
        <f ca="1"/>
        <v>C39</v>
      </c>
      <c r="E169" s="212" t="str">
        <f ca="1"/>
        <v xml:space="preserve">Khapli </v>
      </c>
      <c r="F169" s="219">
        <f ca="1"/>
        <v>7000</v>
      </c>
      <c r="G169" s="219">
        <f ca="1"/>
        <v>80</v>
      </c>
      <c r="H169" s="219">
        <f ca="1"/>
        <v>115</v>
      </c>
      <c r="I169" s="219">
        <f ca="1"/>
        <v>9</v>
      </c>
      <c r="J169" s="219">
        <f ca="1"/>
        <v>236</v>
      </c>
      <c r="K169" s="219">
        <f ca="1"/>
        <v>440</v>
      </c>
      <c r="L169" s="219">
        <f ca="1"/>
        <v>6560</v>
      </c>
      <c r="M169" s="219">
        <f ca="1"/>
        <v>9</v>
      </c>
      <c r="N169" s="212" t="str">
        <f ca="1"/>
        <v>Day</v>
      </c>
      <c r="O169" s="220">
        <f ca="1"/>
        <v>0.93714285714285728</v>
      </c>
      <c r="P169" s="221">
        <f ca="1"/>
        <v>7000</v>
      </c>
      <c r="Q169" s="221">
        <f ca="1"/>
        <v>0</v>
      </c>
    </row>
    <row r="170" spans="1:17" ht="18" customHeight="1">
      <c r="A170" s="212" t="str">
        <f ca="1"/>
        <v xml:space="preserve"> C39 JAN-FEB</v>
      </c>
      <c r="B170" s="218">
        <f ca="1"/>
        <v>46070</v>
      </c>
      <c r="C170" s="212" t="str">
        <f ca="1"/>
        <v>3&amp;4</v>
      </c>
      <c r="D170" s="212" t="str">
        <f ca="1"/>
        <v>C39</v>
      </c>
      <c r="E170" s="212" t="str">
        <f ca="1"/>
        <v xml:space="preserve">Khapli </v>
      </c>
      <c r="F170" s="219">
        <f ca="1"/>
        <v>1350</v>
      </c>
      <c r="G170" s="219">
        <f ca="1"/>
        <v>18</v>
      </c>
      <c r="H170" s="219">
        <f ca="1"/>
        <v>32</v>
      </c>
      <c r="I170" s="219">
        <f ca="1"/>
        <v>6</v>
      </c>
      <c r="J170" s="219">
        <f ca="1"/>
        <v>24</v>
      </c>
      <c r="K170" s="219">
        <f ca="1"/>
        <v>80</v>
      </c>
      <c r="L170" s="219">
        <f ca="1"/>
        <v>1270</v>
      </c>
      <c r="M170" s="219">
        <f ca="1"/>
        <v>4</v>
      </c>
      <c r="N170" s="212" t="str">
        <f ca="1"/>
        <v>DAY</v>
      </c>
      <c r="O170" s="220">
        <f ca="1"/>
        <v>0.94074074074074077</v>
      </c>
      <c r="P170" s="221">
        <f ca="1"/>
        <v>1350</v>
      </c>
      <c r="Q170" s="221">
        <f ca="1"/>
        <v>0</v>
      </c>
    </row>
    <row r="171" spans="1:17" ht="18" customHeight="1">
      <c r="A171" s="212" t="str">
        <f ca="1"/>
        <v xml:space="preserve"> C39 JAN-FEB</v>
      </c>
      <c r="B171" s="218">
        <f ca="1"/>
        <v>46070</v>
      </c>
      <c r="C171" s="212" t="str">
        <f ca="1"/>
        <v>3&amp;4</v>
      </c>
      <c r="D171" s="212" t="str">
        <f ca="1"/>
        <v>C39</v>
      </c>
      <c r="E171" s="212" t="str">
        <f ca="1"/>
        <v xml:space="preserve">Khapli </v>
      </c>
      <c r="F171" s="219">
        <f ca="1"/>
        <v>3143.36</v>
      </c>
      <c r="G171" s="219">
        <f ca="1"/>
        <v>40</v>
      </c>
      <c r="H171" s="219">
        <f ca="1"/>
        <v>32</v>
      </c>
      <c r="I171" s="219">
        <f ca="1"/>
        <v>5</v>
      </c>
      <c r="J171" s="219">
        <f ca="1"/>
        <v>116.36</v>
      </c>
      <c r="K171" s="219">
        <f ca="1"/>
        <v>193.36</v>
      </c>
      <c r="L171" s="219">
        <f ca="1"/>
        <v>2950</v>
      </c>
      <c r="M171" s="219">
        <f ca="1"/>
        <v>9</v>
      </c>
      <c r="N171" s="212" t="str">
        <f ca="1"/>
        <v>Night</v>
      </c>
      <c r="O171" s="220">
        <f ca="1"/>
        <v>0.93848620584342868</v>
      </c>
      <c r="P171" s="221">
        <f ca="1"/>
        <v>3143.36</v>
      </c>
      <c r="Q171" s="221">
        <f ca="1"/>
        <v>0</v>
      </c>
    </row>
    <row r="172" spans="1:17" ht="18" customHeight="1">
      <c r="A172" s="212" t="str">
        <f ca="1"/>
        <v xml:space="preserve"> C39 JAN-FEB</v>
      </c>
      <c r="B172" s="218">
        <f ca="1"/>
        <v>46072</v>
      </c>
      <c r="C172" s="212" t="str">
        <f ca="1"/>
        <v>3&amp;4</v>
      </c>
      <c r="D172" s="212" t="str">
        <f ca="1"/>
        <v>C39</v>
      </c>
      <c r="E172" s="212" t="str">
        <f ca="1"/>
        <v xml:space="preserve">Khapli </v>
      </c>
      <c r="F172" s="219">
        <f ca="1"/>
        <v>1100</v>
      </c>
      <c r="G172" s="219">
        <f ca="1"/>
        <v>10</v>
      </c>
      <c r="H172" s="219">
        <f ca="1"/>
        <v>44</v>
      </c>
      <c r="I172" s="219">
        <f ca="1"/>
        <v>2</v>
      </c>
      <c r="J172" s="219">
        <f ca="1"/>
        <v>4</v>
      </c>
      <c r="K172" s="219">
        <f ca="1"/>
        <v>60</v>
      </c>
      <c r="L172" s="219">
        <f ca="1"/>
        <v>1040</v>
      </c>
      <c r="M172" s="219">
        <f ca="1"/>
        <v>4</v>
      </c>
      <c r="N172" s="212" t="str">
        <f ca="1"/>
        <v>Night</v>
      </c>
      <c r="O172" s="220">
        <f ca="1"/>
        <v>0.94545454545454544</v>
      </c>
      <c r="P172" s="221">
        <f ca="1"/>
        <v>1100</v>
      </c>
      <c r="Q172" s="221">
        <f ca="1"/>
        <v>0</v>
      </c>
    </row>
    <row r="173" spans="1:17" ht="18" customHeight="1">
      <c r="A173" s="212" t="str">
        <f ca="1"/>
        <v xml:space="preserve"> C39 JAN-FEB</v>
      </c>
      <c r="B173" s="218">
        <f ca="1"/>
        <v>46073</v>
      </c>
      <c r="C173" s="212" t="str">
        <f ca="1"/>
        <v>3&amp;4</v>
      </c>
      <c r="D173" s="212" t="str">
        <f ca="1"/>
        <v>C39</v>
      </c>
      <c r="E173" s="212" t="str">
        <f ca="1"/>
        <v xml:space="preserve">Khapli </v>
      </c>
      <c r="F173" s="219">
        <f ca="1"/>
        <v>5100</v>
      </c>
      <c r="G173" s="219">
        <f ca="1"/>
        <v>50</v>
      </c>
      <c r="H173" s="219">
        <f ca="1"/>
        <v>183</v>
      </c>
      <c r="I173" s="219">
        <f ca="1"/>
        <v>6</v>
      </c>
      <c r="J173" s="219">
        <f ca="1"/>
        <v>101</v>
      </c>
      <c r="K173" s="219">
        <f ca="1"/>
        <v>340</v>
      </c>
      <c r="L173" s="219">
        <f ca="1"/>
        <v>4760</v>
      </c>
      <c r="M173" s="219">
        <f ca="1"/>
        <v>9</v>
      </c>
      <c r="N173" s="212" t="str">
        <f ca="1"/>
        <v xml:space="preserve">Day </v>
      </c>
      <c r="O173" s="220">
        <f ca="1"/>
        <v>0.93333333333333324</v>
      </c>
      <c r="P173" s="221">
        <f ca="1"/>
        <v>5100</v>
      </c>
      <c r="Q173" s="221">
        <f ca="1"/>
        <v>0</v>
      </c>
    </row>
    <row r="174" spans="1:17" ht="18" customHeight="1">
      <c r="A174" s="212" t="str">
        <f ca="1"/>
        <v xml:space="preserve"> C39 JAN-FEB</v>
      </c>
      <c r="B174" s="218">
        <f ca="1"/>
        <v>46074</v>
      </c>
      <c r="C174" s="212" t="str">
        <f ca="1"/>
        <v>3&amp;4</v>
      </c>
      <c r="D174" s="212" t="str">
        <f ca="1"/>
        <v>C39</v>
      </c>
      <c r="E174" s="212" t="str">
        <f ca="1"/>
        <v xml:space="preserve">Khapli </v>
      </c>
      <c r="F174" s="219">
        <f ca="1"/>
        <v>7173.92</v>
      </c>
      <c r="G174" s="219">
        <f ca="1"/>
        <v>87</v>
      </c>
      <c r="H174" s="219">
        <f ca="1"/>
        <v>215.22</v>
      </c>
      <c r="I174" s="219">
        <f ca="1"/>
        <v>10</v>
      </c>
      <c r="J174" s="219">
        <f ca="1"/>
        <v>261.7</v>
      </c>
      <c r="K174" s="219">
        <f ca="1"/>
        <v>573.92000000000007</v>
      </c>
      <c r="L174" s="219">
        <f ca="1"/>
        <v>6600</v>
      </c>
      <c r="M174" s="219">
        <f ca="1"/>
        <v>9</v>
      </c>
      <c r="N174" s="212" t="str">
        <f ca="1"/>
        <v>Day</v>
      </c>
      <c r="O174" s="220">
        <f ca="1"/>
        <v>0.919999107879653</v>
      </c>
      <c r="P174" s="221">
        <f ca="1"/>
        <v>7173.92</v>
      </c>
      <c r="Q174" s="221">
        <f ca="1"/>
        <v>0</v>
      </c>
    </row>
    <row r="175" spans="1:17" ht="18" customHeight="1">
      <c r="A175" s="212" t="str">
        <f ca="1"/>
        <v xml:space="preserve"> C39 JAN-FEB</v>
      </c>
      <c r="B175" s="218">
        <f ca="1"/>
        <v>46075</v>
      </c>
      <c r="C175" s="212" t="str">
        <f ca="1"/>
        <v>3&amp;4</v>
      </c>
      <c r="D175" s="212" t="str">
        <f ca="1"/>
        <v>C39</v>
      </c>
      <c r="E175" s="212" t="str">
        <f ca="1"/>
        <v xml:space="preserve">Khapli </v>
      </c>
      <c r="F175" s="219">
        <f ca="1"/>
        <v>5550</v>
      </c>
      <c r="G175" s="219">
        <f ca="1"/>
        <v>40</v>
      </c>
      <c r="H175" s="219">
        <f ca="1"/>
        <v>95</v>
      </c>
      <c r="I175" s="219">
        <f ca="1"/>
        <v>10</v>
      </c>
      <c r="J175" s="219">
        <f ca="1"/>
        <v>205</v>
      </c>
      <c r="K175" s="219">
        <f ca="1"/>
        <v>350</v>
      </c>
      <c r="L175" s="219">
        <f ca="1"/>
        <v>5200</v>
      </c>
      <c r="M175" s="219">
        <f ca="1"/>
        <v>9</v>
      </c>
      <c r="N175" s="212" t="str">
        <f ca="1"/>
        <v>Day</v>
      </c>
      <c r="O175" s="220">
        <f ca="1"/>
        <v>0.93693693693693691</v>
      </c>
      <c r="P175" s="221">
        <f ca="1"/>
        <v>5550</v>
      </c>
      <c r="Q175" s="221">
        <f ca="1"/>
        <v>0</v>
      </c>
    </row>
    <row r="176" spans="1:17" ht="18" customHeight="1">
      <c r="A176" s="212" t="str">
        <f ca="1"/>
        <v xml:space="preserve"> C39 JAN-FEB</v>
      </c>
      <c r="B176" s="218">
        <f ca="1"/>
        <v>46077</v>
      </c>
      <c r="C176" s="212" t="str">
        <f ca="1"/>
        <v>3&amp;4</v>
      </c>
      <c r="D176" s="212" t="str">
        <f ca="1"/>
        <v>C39</v>
      </c>
      <c r="E176" s="212" t="str">
        <f ca="1"/>
        <v>Multigrain</v>
      </c>
      <c r="F176" s="219">
        <f ca="1"/>
        <v>500</v>
      </c>
      <c r="G176" s="219">
        <f ca="1"/>
        <v>1</v>
      </c>
      <c r="H176" s="219">
        <f ca="1"/>
        <v>15</v>
      </c>
      <c r="I176" s="219">
        <f ca="1"/>
        <v>4.7</v>
      </c>
      <c r="J176" s="219">
        <f ca="1"/>
        <v>42.3</v>
      </c>
      <c r="K176" s="219">
        <f ca="1"/>
        <v>63</v>
      </c>
      <c r="L176" s="219">
        <f ca="1"/>
        <v>437</v>
      </c>
      <c r="M176" s="219">
        <f ca="1"/>
        <v>3</v>
      </c>
      <c r="N176" s="212" t="str">
        <f ca="1"/>
        <v>Day</v>
      </c>
      <c r="O176" s="220">
        <f ca="1"/>
        <v>0.87400000000000011</v>
      </c>
      <c r="P176" s="221">
        <f ca="1"/>
        <v>500</v>
      </c>
      <c r="Q176" s="221">
        <f ca="1"/>
        <v>0</v>
      </c>
    </row>
    <row r="177" spans="1:17" ht="18" customHeight="1">
      <c r="A177" s="212" t="str">
        <f ca="1"/>
        <v xml:space="preserve"> C39 JAN-FEB</v>
      </c>
      <c r="B177" s="218">
        <f ca="1"/>
        <v>46078</v>
      </c>
      <c r="C177" s="212" t="str">
        <f ca="1"/>
        <v>3&amp;4</v>
      </c>
      <c r="D177" s="212" t="str">
        <f ca="1"/>
        <v>C39</v>
      </c>
      <c r="E177" s="212" t="str">
        <f ca="1"/>
        <v>Multigrain</v>
      </c>
      <c r="F177" s="219">
        <f ca="1"/>
        <v>3000</v>
      </c>
      <c r="G177" s="219">
        <f ca="1"/>
        <v>3.2</v>
      </c>
      <c r="H177" s="219">
        <f ca="1"/>
        <v>50</v>
      </c>
      <c r="I177" s="219">
        <f ca="1"/>
        <v>8</v>
      </c>
      <c r="J177" s="219">
        <f ca="1"/>
        <v>62.8</v>
      </c>
      <c r="K177" s="219">
        <f ca="1"/>
        <v>124</v>
      </c>
      <c r="L177" s="219">
        <f ca="1"/>
        <v>2876</v>
      </c>
      <c r="M177" s="219">
        <f ca="1"/>
        <v>9</v>
      </c>
      <c r="N177" s="212" t="str">
        <f ca="1"/>
        <v>Day</v>
      </c>
      <c r="O177" s="220">
        <f ca="1"/>
        <v>0.95866666666666656</v>
      </c>
      <c r="P177" s="221">
        <f ca="1"/>
        <v>3000</v>
      </c>
      <c r="Q177" s="221">
        <f ca="1"/>
        <v>0</v>
      </c>
    </row>
    <row r="178" spans="1:17" ht="18" customHeight="1">
      <c r="A178" s="212" t="str">
        <f ca="1"/>
        <v xml:space="preserve"> C39 JAN-FEB</v>
      </c>
      <c r="B178" s="218">
        <f ca="1"/>
        <v>46080</v>
      </c>
      <c r="C178" s="212" t="str">
        <f ca="1"/>
        <v>3&amp;4</v>
      </c>
      <c r="D178" s="212" t="str">
        <f ca="1"/>
        <v>C39</v>
      </c>
      <c r="E178" s="212" t="str">
        <f ca="1"/>
        <v>Multigrain</v>
      </c>
      <c r="F178" s="219">
        <f ca="1"/>
        <v>4400</v>
      </c>
      <c r="G178" s="219">
        <f ca="1"/>
        <v>3.9</v>
      </c>
      <c r="H178" s="219">
        <f ca="1"/>
        <v>69</v>
      </c>
      <c r="I178" s="219">
        <f ca="1"/>
        <v>14</v>
      </c>
      <c r="J178" s="219">
        <f ca="1"/>
        <v>128.1</v>
      </c>
      <c r="K178" s="219">
        <f ca="1"/>
        <v>215</v>
      </c>
      <c r="L178" s="219">
        <f ca="1"/>
        <v>4185</v>
      </c>
      <c r="M178" s="219">
        <f ca="1"/>
        <v>9</v>
      </c>
      <c r="N178" s="212" t="str">
        <f ca="1"/>
        <v>Day</v>
      </c>
      <c r="O178" s="220">
        <f ca="1"/>
        <v>0.95113636363636378</v>
      </c>
      <c r="P178" s="221">
        <f ca="1"/>
        <v>4400</v>
      </c>
      <c r="Q178" s="221">
        <f ca="1"/>
        <v>0</v>
      </c>
    </row>
    <row r="179" spans="1:17" ht="18" customHeight="1">
      <c r="A179" s="212" t="str">
        <f ca="1"/>
        <v xml:space="preserve"> C39 JAN-FEB</v>
      </c>
      <c r="B179" s="218">
        <f ca="1"/>
        <v>46081</v>
      </c>
      <c r="C179" s="212" t="str">
        <f ca="1"/>
        <v>3&amp;4</v>
      </c>
      <c r="D179" s="212" t="str">
        <f ca="1"/>
        <v>C39</v>
      </c>
      <c r="E179" s="212" t="str">
        <f ca="1"/>
        <v>Multigrain</v>
      </c>
      <c r="F179" s="219">
        <f ca="1"/>
        <v>5100</v>
      </c>
      <c r="G179" s="219">
        <f ca="1"/>
        <v>2.4</v>
      </c>
      <c r="H179" s="219">
        <f ca="1"/>
        <v>80</v>
      </c>
      <c r="I179" s="219">
        <f ca="1"/>
        <v>13</v>
      </c>
      <c r="J179" s="219">
        <f ca="1"/>
        <v>130.6</v>
      </c>
      <c r="K179" s="219">
        <f ca="1"/>
        <v>226</v>
      </c>
      <c r="L179" s="219">
        <f ca="1"/>
        <v>4874</v>
      </c>
      <c r="M179" s="219">
        <f ca="1"/>
        <v>9</v>
      </c>
      <c r="N179" s="212" t="str">
        <f ca="1"/>
        <v>Night</v>
      </c>
      <c r="O179" s="220">
        <f ca="1"/>
        <v>0.95568627450980381</v>
      </c>
      <c r="P179" s="221">
        <f ca="1"/>
        <v>5100</v>
      </c>
      <c r="Q179" s="221">
        <f ca="1"/>
        <v>0</v>
      </c>
    </row>
    <row r="180" spans="1:17" ht="18" customHeight="1">
      <c r="A180" s="212" t="str">
        <f ca="1"/>
        <v xml:space="preserve"> C39 JAN-FEB</v>
      </c>
      <c r="B180" s="218">
        <f ca="1"/>
        <v>46025</v>
      </c>
      <c r="C180" s="212" t="str">
        <f ca="1"/>
        <v>3&amp;4</v>
      </c>
      <c r="D180" s="212" t="str">
        <f ca="1"/>
        <v>C39</v>
      </c>
      <c r="E180" s="212" t="str">
        <f ca="1"/>
        <v>Multigrain</v>
      </c>
      <c r="F180" s="219">
        <f ca="1"/>
        <v>5100</v>
      </c>
      <c r="G180" s="219">
        <f ca="1"/>
        <v>3.8</v>
      </c>
      <c r="H180" s="219">
        <f ca="1"/>
        <v>72</v>
      </c>
      <c r="I180" s="219">
        <f ca="1"/>
        <v>15</v>
      </c>
      <c r="J180" s="219">
        <f ca="1"/>
        <v>149.19999999999999</v>
      </c>
      <c r="K180" s="219">
        <f ca="1"/>
        <v>240</v>
      </c>
      <c r="L180" s="219">
        <f ca="1"/>
        <v>4860</v>
      </c>
      <c r="M180" s="219">
        <f ca="1"/>
        <v>9</v>
      </c>
      <c r="N180" s="212" t="str">
        <f ca="1"/>
        <v>Day</v>
      </c>
      <c r="O180" s="220">
        <f ca="1"/>
        <v>0.95294117647058807</v>
      </c>
      <c r="P180" s="221">
        <f ca="1"/>
        <v>5100</v>
      </c>
      <c r="Q180" s="221">
        <f ca="1"/>
        <v>0</v>
      </c>
    </row>
    <row r="181" spans="1:17" ht="18" customHeight="1">
      <c r="A181" s="212" t="str">
        <f ca="1"/>
        <v xml:space="preserve"> C39 JAN-FEB</v>
      </c>
      <c r="B181" s="218">
        <f ca="1"/>
        <v>46056</v>
      </c>
      <c r="C181" s="212" t="str">
        <f ca="1"/>
        <v>3&amp;4</v>
      </c>
      <c r="D181" s="212" t="str">
        <f ca="1"/>
        <v>C39</v>
      </c>
      <c r="E181" s="212" t="str">
        <f ca="1"/>
        <v>Multigrain</v>
      </c>
      <c r="F181" s="219">
        <f ca="1"/>
        <v>3050</v>
      </c>
      <c r="G181" s="219">
        <f ca="1"/>
        <v>4.5999999999999996</v>
      </c>
      <c r="H181" s="219">
        <f ca="1"/>
        <v>59</v>
      </c>
      <c r="I181" s="219">
        <f ca="1"/>
        <v>6</v>
      </c>
      <c r="J181" s="219">
        <f ca="1"/>
        <v>60.4</v>
      </c>
      <c r="K181" s="219">
        <f ca="1"/>
        <v>130</v>
      </c>
      <c r="L181" s="219">
        <f ca="1"/>
        <v>2920</v>
      </c>
      <c r="M181" s="219">
        <f ca="1"/>
        <v>5</v>
      </c>
      <c r="N181" s="212" t="str">
        <f ca="1"/>
        <v>Day</v>
      </c>
      <c r="O181" s="220">
        <f ca="1"/>
        <v>0.95737704918032795</v>
      </c>
      <c r="P181" s="221">
        <f ca="1"/>
        <v>3050</v>
      </c>
      <c r="Q181" s="221">
        <f ca="1"/>
        <v>0</v>
      </c>
    </row>
    <row r="182" spans="1:17" ht="18" customHeight="1">
      <c r="A182" s="212" t="str">
        <f ca="1"/>
        <v>C6 MARCH</v>
      </c>
      <c r="B182" s="218">
        <f ca="1"/>
        <v>46078</v>
      </c>
      <c r="C182" s="212" t="str">
        <f ca="1"/>
        <v>Pulvriser</v>
      </c>
      <c r="D182" s="212" t="str">
        <f ca="1"/>
        <v>C39</v>
      </c>
      <c r="E182" s="212" t="str">
        <f ca="1"/>
        <v>Besan</v>
      </c>
      <c r="F182" s="219">
        <f ca="1"/>
        <v>650</v>
      </c>
      <c r="G182" s="219">
        <f ca="1"/>
        <v>0</v>
      </c>
      <c r="H182" s="219">
        <f ca="1"/>
        <v>0</v>
      </c>
      <c r="I182" s="219">
        <f ca="1"/>
        <v>0</v>
      </c>
      <c r="J182" s="219">
        <f ca="1"/>
        <v>40</v>
      </c>
      <c r="K182" s="219">
        <f ca="1"/>
        <v>40</v>
      </c>
      <c r="L182" s="219">
        <f ca="1"/>
        <v>610</v>
      </c>
      <c r="M182" s="219">
        <f ca="1"/>
        <v>4</v>
      </c>
      <c r="N182" s="212">
        <f ca="1"/>
        <v>0</v>
      </c>
      <c r="O182" s="220">
        <f ca="1"/>
        <v>0.93846153846153835</v>
      </c>
      <c r="P182" s="221">
        <f ca="1"/>
        <v>650</v>
      </c>
      <c r="Q182" s="221">
        <f ca="1"/>
        <v>0</v>
      </c>
    </row>
    <row r="183" spans="1:17" ht="18" customHeight="1">
      <c r="A183" s="212" t="str">
        <f ca="1"/>
        <v>C6 MARCH</v>
      </c>
      <c r="B183" s="218">
        <f ca="1"/>
        <v>46082</v>
      </c>
      <c r="C183" s="212" t="str">
        <f ca="1"/>
        <v>Chakki1,2,3</v>
      </c>
      <c r="D183" s="212" t="str">
        <f ca="1"/>
        <v>C6</v>
      </c>
      <c r="E183" s="212" t="str">
        <f ca="1"/>
        <v>Multigrain</v>
      </c>
      <c r="F183" s="219">
        <f ca="1"/>
        <v>2100</v>
      </c>
      <c r="G183" s="219">
        <f ca="1"/>
        <v>30</v>
      </c>
      <c r="H183" s="219">
        <f ca="1"/>
        <v>25</v>
      </c>
      <c r="I183" s="219">
        <f ca="1"/>
        <v>2</v>
      </c>
      <c r="J183" s="219">
        <f ca="1"/>
        <v>133</v>
      </c>
      <c r="K183" s="219">
        <f ca="1"/>
        <v>190</v>
      </c>
      <c r="L183" s="219">
        <f ca="1"/>
        <v>1910</v>
      </c>
      <c r="M183" s="219">
        <f ca="1"/>
        <v>4</v>
      </c>
      <c r="N183" s="212" t="str">
        <f ca="1"/>
        <v>DAY</v>
      </c>
      <c r="O183" s="220">
        <f ca="1"/>
        <v>0.90952380952380951</v>
      </c>
      <c r="P183" s="221">
        <f ca="1"/>
        <v>2100</v>
      </c>
      <c r="Q183" s="221">
        <f ca="1"/>
        <v>0</v>
      </c>
    </row>
    <row r="184" spans="1:17" ht="18" customHeight="1">
      <c r="A184" s="212" t="str">
        <f ca="1"/>
        <v>C6 MARCH</v>
      </c>
      <c r="B184" s="218">
        <f ca="1"/>
        <v>46082</v>
      </c>
      <c r="C184" s="212" t="str">
        <f ca="1"/>
        <v>Chakki1,2,3</v>
      </c>
      <c r="D184" s="212" t="str">
        <f ca="1"/>
        <v>C6</v>
      </c>
      <c r="E184" s="212" t="str">
        <f ca="1"/>
        <v>Pearl Millet</v>
      </c>
      <c r="F184" s="219">
        <f ca="1"/>
        <v>1750</v>
      </c>
      <c r="G184" s="219">
        <f ca="1"/>
        <v>28</v>
      </c>
      <c r="H184" s="219">
        <f ca="1"/>
        <v>42</v>
      </c>
      <c r="I184" s="219">
        <f ca="1"/>
        <v>2</v>
      </c>
      <c r="J184" s="219">
        <f ca="1"/>
        <v>82.4</v>
      </c>
      <c r="K184" s="219">
        <f ca="1"/>
        <v>154.4</v>
      </c>
      <c r="L184" s="219">
        <f ca="1"/>
        <v>1595.6</v>
      </c>
      <c r="M184" s="219">
        <f ca="1"/>
        <v>4</v>
      </c>
      <c r="N184" s="212" t="str">
        <f ca="1"/>
        <v>NIGHT</v>
      </c>
      <c r="O184" s="220">
        <f ca="1"/>
        <v>0.91177142857142857</v>
      </c>
      <c r="P184" s="221">
        <f ca="1"/>
        <v>1750</v>
      </c>
      <c r="Q184" s="221">
        <f ca="1"/>
        <v>0</v>
      </c>
    </row>
    <row r="185" spans="1:17" ht="18" customHeight="1">
      <c r="A185" s="212" t="str">
        <f ca="1"/>
        <v>C6 MARCH</v>
      </c>
      <c r="B185" s="218">
        <f ca="1"/>
        <v>46083</v>
      </c>
      <c r="C185" s="212" t="str">
        <f ca="1"/>
        <v>Chakki1,2,3</v>
      </c>
      <c r="D185" s="212" t="str">
        <f ca="1"/>
        <v>C6</v>
      </c>
      <c r="E185" s="212" t="str">
        <f ca="1"/>
        <v>Jowar</v>
      </c>
      <c r="F185" s="219">
        <f ca="1"/>
        <v>2400</v>
      </c>
      <c r="G185" s="219">
        <f ca="1"/>
        <v>30</v>
      </c>
      <c r="H185" s="219">
        <f ca="1"/>
        <v>56</v>
      </c>
      <c r="I185" s="219">
        <f ca="1"/>
        <v>3</v>
      </c>
      <c r="J185" s="219">
        <f ca="1"/>
        <v>132</v>
      </c>
      <c r="K185" s="219">
        <f ca="1"/>
        <v>221</v>
      </c>
      <c r="L185" s="219">
        <f ca="1"/>
        <v>2240</v>
      </c>
      <c r="M185" s="219">
        <f ca="1"/>
        <v>4</v>
      </c>
      <c r="N185" s="212" t="str">
        <f ca="1"/>
        <v>DAY</v>
      </c>
      <c r="O185" s="220">
        <f ca="1"/>
        <v>0.93333333333333324</v>
      </c>
      <c r="P185" s="221">
        <f ca="1"/>
        <v>2461</v>
      </c>
      <c r="Q185" s="221">
        <f ca="1"/>
        <v>-61</v>
      </c>
    </row>
    <row r="186" spans="1:17" ht="18" customHeight="1">
      <c r="A186" s="212" t="str">
        <f ca="1"/>
        <v>C6 MARCH</v>
      </c>
      <c r="B186" s="218">
        <f ca="1"/>
        <v>46085</v>
      </c>
      <c r="C186" s="212" t="str">
        <f ca="1"/>
        <v>Chakki1,2,3</v>
      </c>
      <c r="D186" s="212" t="str">
        <f ca="1"/>
        <v>C6</v>
      </c>
      <c r="E186" s="212" t="str">
        <f ca="1"/>
        <v>Multigrain</v>
      </c>
      <c r="F186" s="219">
        <f ca="1"/>
        <v>2100</v>
      </c>
      <c r="G186" s="219">
        <f ca="1"/>
        <v>31</v>
      </c>
      <c r="H186" s="219">
        <f ca="1"/>
        <v>30</v>
      </c>
      <c r="I186" s="219">
        <f ca="1"/>
        <v>2</v>
      </c>
      <c r="J186" s="219">
        <f ca="1"/>
        <v>110</v>
      </c>
      <c r="K186" s="219">
        <f ca="1"/>
        <v>173</v>
      </c>
      <c r="L186" s="219">
        <f ca="1"/>
        <v>1927</v>
      </c>
      <c r="M186" s="219">
        <f ca="1"/>
        <v>4</v>
      </c>
      <c r="N186" s="212" t="str">
        <f ca="1"/>
        <v>DAY</v>
      </c>
      <c r="O186" s="220">
        <f ca="1"/>
        <v>0.91761904761904778</v>
      </c>
      <c r="P186" s="221">
        <f ca="1"/>
        <v>2100</v>
      </c>
      <c r="Q186" s="221">
        <f ca="1"/>
        <v>0</v>
      </c>
    </row>
    <row r="187" spans="1:17" ht="18" customHeight="1">
      <c r="A187" s="212" t="str">
        <f ca="1"/>
        <v>C6 MARCH</v>
      </c>
      <c r="B187" s="218">
        <f ca="1"/>
        <v>46085</v>
      </c>
      <c r="C187" s="212" t="str">
        <f ca="1"/>
        <v>Chakki1,2,3</v>
      </c>
      <c r="D187" s="212" t="str">
        <f ca="1"/>
        <v>C6</v>
      </c>
      <c r="E187" s="212" t="str">
        <f ca="1"/>
        <v>Multigrain</v>
      </c>
      <c r="F187" s="219">
        <f ca="1"/>
        <v>2900</v>
      </c>
      <c r="G187" s="219">
        <f ca="1"/>
        <v>29</v>
      </c>
      <c r="H187" s="219">
        <f ca="1"/>
        <v>40</v>
      </c>
      <c r="I187" s="219">
        <f ca="1"/>
        <v>1</v>
      </c>
      <c r="J187" s="219">
        <f ca="1"/>
        <v>120</v>
      </c>
      <c r="K187" s="219">
        <f ca="1"/>
        <v>190</v>
      </c>
      <c r="L187" s="219">
        <f ca="1"/>
        <v>2660</v>
      </c>
      <c r="M187" s="219">
        <f ca="1"/>
        <v>4</v>
      </c>
      <c r="N187" s="212" t="str">
        <f ca="1"/>
        <v>NIGHT</v>
      </c>
      <c r="O187" s="220">
        <f ca="1"/>
        <v>0.91724137931034477</v>
      </c>
      <c r="P187" s="221">
        <f ca="1"/>
        <v>2850</v>
      </c>
      <c r="Q187" s="221">
        <f ca="1"/>
        <v>50</v>
      </c>
    </row>
    <row r="188" spans="1:17" ht="18" customHeight="1">
      <c r="A188" s="212" t="str">
        <f ca="1"/>
        <v>C6 MARCH</v>
      </c>
      <c r="B188" s="218">
        <f ca="1"/>
        <v>46086</v>
      </c>
      <c r="C188" s="212" t="str">
        <f ca="1"/>
        <v>Chakki1,2,3</v>
      </c>
      <c r="D188" s="212" t="str">
        <f ca="1"/>
        <v>C6</v>
      </c>
      <c r="E188" s="212" t="str">
        <f ca="1"/>
        <v>Multigrain</v>
      </c>
      <c r="F188" s="219">
        <f ca="1"/>
        <v>1750</v>
      </c>
      <c r="G188" s="219">
        <f ca="1"/>
        <v>30</v>
      </c>
      <c r="H188" s="219">
        <f ca="1"/>
        <v>14</v>
      </c>
      <c r="I188" s="219">
        <f ca="1"/>
        <v>1</v>
      </c>
      <c r="J188" s="219">
        <f ca="1"/>
        <v>105</v>
      </c>
      <c r="K188" s="219">
        <f ca="1"/>
        <v>150</v>
      </c>
      <c r="L188" s="219">
        <f ca="1"/>
        <v>1605</v>
      </c>
      <c r="M188" s="219">
        <f ca="1"/>
        <v>4</v>
      </c>
      <c r="N188" s="212" t="str">
        <f ca="1"/>
        <v>DAY</v>
      </c>
      <c r="O188" s="220">
        <f ca="1"/>
        <v>0.91714285714285704</v>
      </c>
      <c r="P188" s="221">
        <f ca="1"/>
        <v>1755</v>
      </c>
      <c r="Q188" s="221">
        <f ca="1"/>
        <v>-5</v>
      </c>
    </row>
    <row r="189" spans="1:17" ht="18" customHeight="1">
      <c r="A189" s="212" t="str">
        <f ca="1"/>
        <v>C6 MARCH</v>
      </c>
      <c r="B189" s="218">
        <f ca="1"/>
        <v>46086</v>
      </c>
      <c r="C189" s="212" t="str">
        <f ca="1"/>
        <v>Chakki1,2,3</v>
      </c>
      <c r="D189" s="212" t="str">
        <f ca="1"/>
        <v>C6</v>
      </c>
      <c r="E189" s="212" t="str">
        <f ca="1"/>
        <v>Multigrain</v>
      </c>
      <c r="F189" s="219">
        <f ca="1"/>
        <v>3250</v>
      </c>
      <c r="G189" s="219">
        <f ca="1"/>
        <v>45</v>
      </c>
      <c r="H189" s="219">
        <f ca="1"/>
        <v>68</v>
      </c>
      <c r="I189" s="219">
        <f ca="1"/>
        <v>2</v>
      </c>
      <c r="J189" s="219">
        <f ca="1"/>
        <v>130</v>
      </c>
      <c r="K189" s="219">
        <f ca="1"/>
        <v>245</v>
      </c>
      <c r="L189" s="219">
        <f ca="1"/>
        <v>3005</v>
      </c>
      <c r="M189" s="219">
        <f ca="1"/>
        <v>4</v>
      </c>
      <c r="N189" s="212" t="str">
        <f ca="1"/>
        <v>NIGHT</v>
      </c>
      <c r="O189" s="220">
        <f ca="1"/>
        <v>0.92461538461538462</v>
      </c>
      <c r="P189" s="221">
        <f ca="1"/>
        <v>3250</v>
      </c>
      <c r="Q189" s="221">
        <f ca="1"/>
        <v>0</v>
      </c>
    </row>
    <row r="190" spans="1:17" ht="18" customHeight="1">
      <c r="A190" s="212" t="str">
        <f ca="1"/>
        <v>C6 MARCH</v>
      </c>
      <c r="B190" s="218">
        <f ca="1"/>
        <v>46087</v>
      </c>
      <c r="C190" s="212" t="str">
        <f ca="1"/>
        <v>Chakki1,2,3</v>
      </c>
      <c r="D190" s="212" t="str">
        <f ca="1"/>
        <v>C6</v>
      </c>
      <c r="E190" s="212" t="str">
        <f ca="1"/>
        <v>Khapli wheat</v>
      </c>
      <c r="F190" s="219">
        <f ca="1"/>
        <v>175</v>
      </c>
      <c r="G190" s="219">
        <f ca="1"/>
        <v>10</v>
      </c>
      <c r="H190" s="219">
        <f ca="1"/>
        <v>0.4</v>
      </c>
      <c r="I190" s="219">
        <f ca="1"/>
        <v>0.2</v>
      </c>
      <c r="J190" s="219">
        <f ca="1"/>
        <v>3.4</v>
      </c>
      <c r="K190" s="219">
        <f ca="1"/>
        <v>14</v>
      </c>
      <c r="L190" s="219">
        <f ca="1"/>
        <v>161</v>
      </c>
      <c r="M190" s="219">
        <f ca="1"/>
        <v>4</v>
      </c>
      <c r="N190" s="212" t="str">
        <f ca="1"/>
        <v>DAY</v>
      </c>
      <c r="O190" s="220">
        <f ca="1"/>
        <v>0.92</v>
      </c>
      <c r="P190" s="221">
        <f ca="1"/>
        <v>175</v>
      </c>
      <c r="Q190" s="221">
        <f ca="1"/>
        <v>0</v>
      </c>
    </row>
    <row r="191" spans="1:17" ht="18" customHeight="1">
      <c r="A191" s="212" t="str">
        <f ca="1"/>
        <v>C6 MARCH</v>
      </c>
      <c r="B191" s="218">
        <f ca="1"/>
        <v>46087</v>
      </c>
      <c r="C191" s="212" t="str">
        <f ca="1"/>
        <v>Chakki1,2,3</v>
      </c>
      <c r="D191" s="212" t="str">
        <f ca="1"/>
        <v>C6</v>
      </c>
      <c r="E191" s="212" t="str">
        <f ca="1"/>
        <v>Khapli wheat</v>
      </c>
      <c r="F191" s="219">
        <f ca="1"/>
        <v>3350</v>
      </c>
      <c r="G191" s="219">
        <f ca="1"/>
        <v>42</v>
      </c>
      <c r="H191" s="219">
        <f ca="1"/>
        <v>35</v>
      </c>
      <c r="I191" s="219">
        <f ca="1"/>
        <v>4</v>
      </c>
      <c r="J191" s="219">
        <f ca="1"/>
        <v>233</v>
      </c>
      <c r="K191" s="219">
        <f ca="1"/>
        <v>314</v>
      </c>
      <c r="L191" s="219">
        <f ca="1"/>
        <v>3111</v>
      </c>
      <c r="M191" s="219">
        <f ca="1"/>
        <v>4</v>
      </c>
      <c r="N191" s="212" t="str">
        <f ca="1"/>
        <v>NIGHT</v>
      </c>
      <c r="O191" s="220">
        <f ca="1"/>
        <v>0.92865671641791048</v>
      </c>
      <c r="P191" s="221">
        <f ca="1"/>
        <v>3425</v>
      </c>
      <c r="Q191" s="221">
        <f ca="1"/>
        <v>-75</v>
      </c>
    </row>
    <row r="192" spans="1:17" ht="18" customHeight="1">
      <c r="A192" s="212" t="str">
        <f ca="1"/>
        <v>C6 MARCH</v>
      </c>
      <c r="B192" s="218">
        <f ca="1"/>
        <v>46088</v>
      </c>
      <c r="C192" s="212" t="str">
        <f ca="1"/>
        <v>Chakki 1,2,3</v>
      </c>
      <c r="D192" s="212" t="str">
        <f ca="1"/>
        <v>C6</v>
      </c>
      <c r="E192" s="212" t="str">
        <f ca="1"/>
        <v>Khapli wheat</v>
      </c>
      <c r="F192" s="219">
        <f ca="1"/>
        <v>2200</v>
      </c>
      <c r="G192" s="219">
        <f ca="1"/>
        <v>20</v>
      </c>
      <c r="H192" s="219">
        <f ca="1"/>
        <v>4</v>
      </c>
      <c r="I192" s="219">
        <f ca="1"/>
        <v>1</v>
      </c>
      <c r="J192" s="219">
        <f ca="1"/>
        <v>134</v>
      </c>
      <c r="K192" s="219">
        <f ca="1"/>
        <v>159</v>
      </c>
      <c r="L192" s="219">
        <f ca="1"/>
        <v>2041</v>
      </c>
      <c r="M192" s="219">
        <f ca="1"/>
        <v>4</v>
      </c>
      <c r="N192" s="212" t="str">
        <f ca="1"/>
        <v>DAY</v>
      </c>
      <c r="O192" s="220">
        <f ca="1"/>
        <v>0.92772727272727284</v>
      </c>
      <c r="P192" s="221">
        <f ca="1"/>
        <v>2200</v>
      </c>
      <c r="Q192" s="221">
        <f ca="1"/>
        <v>0</v>
      </c>
    </row>
    <row r="193" spans="1:17" ht="18" customHeight="1">
      <c r="A193" s="212" t="str">
        <f ca="1"/>
        <v>C39 MARCH</v>
      </c>
      <c r="B193" s="218">
        <f ca="1"/>
        <v>46082</v>
      </c>
      <c r="C193" s="212" t="str">
        <f ca="1"/>
        <v>3&amp;4</v>
      </c>
      <c r="D193" s="212" t="str">
        <f ca="1"/>
        <v>C39</v>
      </c>
      <c r="E193" s="212" t="str">
        <f ca="1"/>
        <v>Multigrain</v>
      </c>
      <c r="F193" s="219">
        <f ca="1"/>
        <v>5100</v>
      </c>
      <c r="G193" s="219">
        <f ca="1"/>
        <v>3.8</v>
      </c>
      <c r="H193" s="219">
        <f ca="1"/>
        <v>72</v>
      </c>
      <c r="I193" s="219">
        <f ca="1"/>
        <v>15</v>
      </c>
      <c r="J193" s="219">
        <f ca="1"/>
        <v>149.19999999999999</v>
      </c>
      <c r="K193" s="219">
        <f ca="1"/>
        <v>240</v>
      </c>
      <c r="L193" s="219">
        <f ca="1"/>
        <v>4860</v>
      </c>
      <c r="M193" s="219">
        <f ca="1"/>
        <v>9</v>
      </c>
      <c r="N193" s="212" t="str">
        <f ca="1"/>
        <v>Day</v>
      </c>
      <c r="O193" s="220">
        <f ca="1"/>
        <v>0.95294117647058807</v>
      </c>
      <c r="P193" s="221">
        <f ca="1"/>
        <v>5100</v>
      </c>
      <c r="Q193" s="221">
        <f ca="1"/>
        <v>0</v>
      </c>
    </row>
    <row r="194" spans="1:17" ht="18" customHeight="1">
      <c r="A194" s="212" t="str">
        <f ca="1"/>
        <v>C39 MARCH</v>
      </c>
      <c r="B194" s="218">
        <f ca="1"/>
        <v>46082</v>
      </c>
      <c r="C194" s="212" t="str">
        <f ca="1"/>
        <v>3&amp;4</v>
      </c>
      <c r="D194" s="212" t="str">
        <f ca="1"/>
        <v>C39</v>
      </c>
      <c r="E194" s="212" t="str">
        <f ca="1"/>
        <v>Multigrain</v>
      </c>
      <c r="F194" s="219">
        <f ca="1"/>
        <v>720</v>
      </c>
      <c r="G194" s="219">
        <f ca="1"/>
        <v>1.5</v>
      </c>
      <c r="H194" s="219">
        <f ca="1"/>
        <v>12</v>
      </c>
      <c r="I194" s="219">
        <f ca="1"/>
        <v>5</v>
      </c>
      <c r="J194" s="219">
        <f ca="1"/>
        <v>21.5</v>
      </c>
      <c r="K194" s="219">
        <f ca="1"/>
        <v>40</v>
      </c>
      <c r="L194" s="219">
        <f ca="1"/>
        <v>680</v>
      </c>
      <c r="M194" s="219">
        <f ca="1"/>
        <v>6</v>
      </c>
      <c r="N194" s="212" t="str">
        <f ca="1"/>
        <v>Night</v>
      </c>
      <c r="O194" s="220">
        <f ca="1"/>
        <v>0.94444444444444442</v>
      </c>
      <c r="P194" s="221">
        <f ca="1"/>
        <v>720</v>
      </c>
      <c r="Q194" s="221">
        <f ca="1"/>
        <v>0</v>
      </c>
    </row>
    <row r="195" spans="1:17" ht="18" customHeight="1">
      <c r="A195" s="212" t="str">
        <f ca="1"/>
        <v>C39 MARCH</v>
      </c>
      <c r="B195" s="218">
        <f ca="1"/>
        <v>46083</v>
      </c>
      <c r="C195" s="212" t="str">
        <f ca="1"/>
        <v>3&amp;4</v>
      </c>
      <c r="D195" s="212" t="str">
        <f ca="1"/>
        <v>C39</v>
      </c>
      <c r="E195" s="212" t="str">
        <f ca="1"/>
        <v>Multigrain</v>
      </c>
      <c r="F195" s="219">
        <f ca="1"/>
        <v>3050</v>
      </c>
      <c r="G195" s="219">
        <f ca="1"/>
        <v>4.5999999999999996</v>
      </c>
      <c r="H195" s="219">
        <f ca="1"/>
        <v>59</v>
      </c>
      <c r="I195" s="219">
        <f ca="1"/>
        <v>6</v>
      </c>
      <c r="J195" s="219">
        <f ca="1"/>
        <v>60.4</v>
      </c>
      <c r="K195" s="219">
        <f ca="1"/>
        <v>130</v>
      </c>
      <c r="L195" s="219">
        <f ca="1"/>
        <v>2920</v>
      </c>
      <c r="M195" s="219">
        <f ca="1"/>
        <v>5</v>
      </c>
      <c r="N195" s="212" t="str">
        <f ca="1"/>
        <v>Day</v>
      </c>
      <c r="O195" s="220">
        <f ca="1"/>
        <v>0.95737704918032795</v>
      </c>
      <c r="P195" s="221">
        <f ca="1"/>
        <v>3050</v>
      </c>
      <c r="Q195" s="221">
        <f ca="1"/>
        <v>0</v>
      </c>
    </row>
    <row r="196" spans="1:17" ht="18" customHeight="1">
      <c r="A196" s="212" t="str">
        <f ca="1"/>
        <v>C39 MARCH</v>
      </c>
      <c r="B196" s="218">
        <f ca="1"/>
        <v>46087</v>
      </c>
      <c r="C196" s="212" t="str">
        <f ca="1"/>
        <v>3&amp;4</v>
      </c>
      <c r="D196" s="212" t="str">
        <f ca="1"/>
        <v>C39</v>
      </c>
      <c r="E196" s="212" t="str">
        <f ca="1"/>
        <v>Multigrain</v>
      </c>
      <c r="F196" s="219">
        <f ca="1"/>
        <v>4800</v>
      </c>
      <c r="G196" s="219">
        <f ca="1"/>
        <v>2</v>
      </c>
      <c r="H196" s="219">
        <f ca="1"/>
        <v>97</v>
      </c>
      <c r="I196" s="219">
        <f ca="1"/>
        <v>6</v>
      </c>
      <c r="J196" s="219">
        <f ca="1"/>
        <v>105</v>
      </c>
      <c r="K196" s="219">
        <f ca="1"/>
        <v>210</v>
      </c>
      <c r="L196" s="219">
        <f ca="1"/>
        <v>4590</v>
      </c>
      <c r="M196" s="219">
        <f ca="1"/>
        <v>5</v>
      </c>
      <c r="N196" s="212" t="str">
        <f ca="1"/>
        <v>Day</v>
      </c>
      <c r="O196" s="220">
        <f ca="1"/>
        <v>0.95625000000000004</v>
      </c>
      <c r="P196" s="221">
        <f ca="1"/>
        <v>4800</v>
      </c>
      <c r="Q196" s="221">
        <f ca="1"/>
        <v>0</v>
      </c>
    </row>
    <row r="197" spans="1:17" ht="18" customHeight="1">
      <c r="A197" s="212" t="str">
        <f ca="1"/>
        <v>C39 MARCH</v>
      </c>
      <c r="B197" s="218">
        <f ca="1"/>
        <v>46089</v>
      </c>
      <c r="C197" s="212" t="str">
        <f ca="1"/>
        <v>3&amp;4</v>
      </c>
      <c r="D197" s="212" t="str">
        <f ca="1"/>
        <v>C39</v>
      </c>
      <c r="E197" s="212" t="str">
        <f ca="1"/>
        <v>Multigrain</v>
      </c>
      <c r="F197" s="219">
        <f ca="1"/>
        <v>5200</v>
      </c>
      <c r="G197" s="219">
        <f ca="1"/>
        <v>10</v>
      </c>
      <c r="H197" s="219">
        <f ca="1"/>
        <v>95</v>
      </c>
      <c r="I197" s="219">
        <f ca="1"/>
        <v>15</v>
      </c>
      <c r="J197" s="219">
        <f ca="1"/>
        <v>130</v>
      </c>
      <c r="K197" s="219">
        <f ca="1"/>
        <v>250</v>
      </c>
      <c r="L197" s="219">
        <f ca="1"/>
        <v>4950</v>
      </c>
      <c r="M197" s="219">
        <f ca="1"/>
        <v>6</v>
      </c>
      <c r="N197" s="212" t="str">
        <f ca="1"/>
        <v>DAY</v>
      </c>
      <c r="O197" s="220">
        <f ca="1"/>
        <v>0.95192307692307698</v>
      </c>
      <c r="P197" s="221">
        <f ca="1"/>
        <v>5200</v>
      </c>
      <c r="Q197" s="221">
        <f ca="1"/>
        <v>0</v>
      </c>
    </row>
    <row r="198" spans="1:17" ht="18" customHeight="1">
      <c r="A198" s="212" t="str">
        <f ca="1"/>
        <v>C39 MARCH</v>
      </c>
      <c r="B198" s="218">
        <f ca="1"/>
        <v>46091</v>
      </c>
      <c r="C198" s="212" t="str">
        <f ca="1"/>
        <v>3&amp;4</v>
      </c>
      <c r="D198" s="212" t="str">
        <f ca="1"/>
        <v>C39</v>
      </c>
      <c r="E198" s="212" t="str">
        <f ca="1"/>
        <v>Multigrain</v>
      </c>
      <c r="F198" s="219">
        <f ca="1"/>
        <v>2680</v>
      </c>
      <c r="G198" s="219">
        <f ca="1"/>
        <v>20</v>
      </c>
      <c r="H198" s="219">
        <f ca="1"/>
        <v>20</v>
      </c>
      <c r="I198" s="219">
        <f ca="1"/>
        <v>15.8</v>
      </c>
      <c r="J198" s="219">
        <f ca="1"/>
        <v>64.2</v>
      </c>
      <c r="K198" s="219">
        <f ca="1"/>
        <v>120</v>
      </c>
      <c r="L198" s="219">
        <f ca="1"/>
        <v>2560</v>
      </c>
      <c r="M198" s="219">
        <f ca="1"/>
        <v>7</v>
      </c>
      <c r="N198" s="212" t="str">
        <f ca="1"/>
        <v>DAY</v>
      </c>
      <c r="O198" s="220">
        <f ca="1"/>
        <v>0.9552238805970148</v>
      </c>
      <c r="P198" s="221">
        <f ca="1"/>
        <v>2680</v>
      </c>
      <c r="Q198" s="221">
        <f ca="1"/>
        <v>0</v>
      </c>
    </row>
    <row r="199" spans="1:17" ht="18" customHeight="1">
      <c r="A199" s="212" t="str">
        <f ca="1"/>
        <v>C39 MARCH</v>
      </c>
      <c r="B199" s="218">
        <f ca="1"/>
        <v>46091</v>
      </c>
      <c r="C199" s="212" t="str">
        <f ca="1"/>
        <v>3&amp;4</v>
      </c>
      <c r="D199" s="212" t="str">
        <f ca="1"/>
        <v>C39</v>
      </c>
      <c r="E199" s="212" t="str">
        <f ca="1"/>
        <v>Multigrain</v>
      </c>
      <c r="F199" s="219">
        <f ca="1"/>
        <v>1920</v>
      </c>
      <c r="G199" s="219">
        <f ca="1"/>
        <v>15</v>
      </c>
      <c r="H199" s="219">
        <f ca="1"/>
        <v>15</v>
      </c>
      <c r="I199" s="219">
        <f ca="1"/>
        <v>3</v>
      </c>
      <c r="J199" s="219">
        <f ca="1"/>
        <v>47</v>
      </c>
      <c r="K199" s="219">
        <f ca="1"/>
        <v>80</v>
      </c>
      <c r="L199" s="219">
        <f ca="1"/>
        <v>1840</v>
      </c>
      <c r="M199" s="219">
        <f ca="1"/>
        <v>4</v>
      </c>
      <c r="N199" s="212" t="str">
        <f ca="1"/>
        <v>Night</v>
      </c>
      <c r="O199" s="220">
        <f ca="1"/>
        <v>0.95833333333333348</v>
      </c>
      <c r="P199" s="221">
        <f ca="1"/>
        <v>1920</v>
      </c>
      <c r="Q199" s="221">
        <f ca="1"/>
        <v>0</v>
      </c>
    </row>
    <row r="200" spans="1:17" ht="18" customHeight="1">
      <c r="A200" s="212" t="str">
        <f ca="1"/>
        <v>C39 MARCH</v>
      </c>
      <c r="B200" s="218">
        <f ca="1"/>
        <v>46092</v>
      </c>
      <c r="C200" s="212" t="str">
        <f ca="1"/>
        <v>3&amp;4</v>
      </c>
      <c r="D200" s="212" t="str">
        <f ca="1"/>
        <v>C39</v>
      </c>
      <c r="E200" s="212" t="str">
        <f ca="1"/>
        <v>Multigrain</v>
      </c>
      <c r="F200" s="219">
        <f ca="1"/>
        <v>2830</v>
      </c>
      <c r="G200" s="219">
        <f ca="1"/>
        <v>12</v>
      </c>
      <c r="H200" s="219">
        <f ca="1"/>
        <v>55</v>
      </c>
      <c r="I200" s="219">
        <f ca="1"/>
        <v>7</v>
      </c>
      <c r="J200" s="219">
        <f ca="1"/>
        <v>56</v>
      </c>
      <c r="K200" s="219">
        <f ca="1"/>
        <v>130</v>
      </c>
      <c r="L200" s="219">
        <f ca="1"/>
        <v>2700</v>
      </c>
      <c r="M200" s="219">
        <f ca="1"/>
        <v>4</v>
      </c>
      <c r="N200" s="212" t="str">
        <f ca="1"/>
        <v>Day</v>
      </c>
      <c r="O200" s="220">
        <f ca="1"/>
        <v>0.95400000000000007</v>
      </c>
      <c r="P200" s="221">
        <f ca="1"/>
        <v>2830</v>
      </c>
      <c r="Q200" s="221">
        <f ca="1"/>
        <v>0</v>
      </c>
    </row>
    <row r="201" spans="1:17" ht="18" customHeight="1">
      <c r="A201" s="212" t="str">
        <f ca="1"/>
        <v>C39 MARCH</v>
      </c>
      <c r="B201" s="218">
        <f ca="1"/>
        <v>46094</v>
      </c>
      <c r="C201" s="212" t="str">
        <f ca="1"/>
        <v>Pulveriser</v>
      </c>
      <c r="D201" s="212" t="str">
        <f ca="1"/>
        <v>C39</v>
      </c>
      <c r="E201" s="212" t="str">
        <f ca="1"/>
        <v>Besan atta</v>
      </c>
      <c r="F201" s="219">
        <f ca="1"/>
        <v>255</v>
      </c>
      <c r="G201" s="219">
        <f ca="1"/>
        <v>0</v>
      </c>
      <c r="H201" s="219">
        <f ca="1"/>
        <v>0</v>
      </c>
      <c r="I201" s="219">
        <f ca="1"/>
        <v>1.2</v>
      </c>
      <c r="J201" s="219">
        <f ca="1"/>
        <v>4</v>
      </c>
      <c r="K201" s="219">
        <f ca="1"/>
        <v>5.2</v>
      </c>
      <c r="L201" s="219">
        <f ca="1"/>
        <v>250</v>
      </c>
      <c r="M201" s="219">
        <f ca="1"/>
        <v>1</v>
      </c>
      <c r="N201" s="212" t="str">
        <f ca="1"/>
        <v>DAY</v>
      </c>
      <c r="O201" s="220">
        <f ca="1"/>
        <v>0.98039215686274506</v>
      </c>
      <c r="P201" s="221">
        <f ca="1"/>
        <v>255.2</v>
      </c>
      <c r="Q201" s="221">
        <f ca="1"/>
        <v>-0.19999999999998863</v>
      </c>
    </row>
    <row r="202" spans="1:17" ht="18" customHeight="1">
      <c r="A202" s="212" t="str">
        <f ca="1"/>
        <v>C39 MARCH</v>
      </c>
      <c r="B202" s="218">
        <f ca="1"/>
        <v>46094</v>
      </c>
      <c r="C202" s="212" t="str">
        <f ca="1"/>
        <v>Pulveriser</v>
      </c>
      <c r="D202" s="212" t="str">
        <f ca="1"/>
        <v>C39</v>
      </c>
      <c r="E202" s="212" t="str">
        <f ca="1"/>
        <v>Besan</v>
      </c>
      <c r="F202" s="219">
        <f ca="1"/>
        <v>700</v>
      </c>
      <c r="G202" s="219">
        <f ca="1"/>
        <v>0</v>
      </c>
      <c r="H202" s="219">
        <f ca="1"/>
        <v>0</v>
      </c>
      <c r="I202" s="219">
        <f ca="1"/>
        <v>3.5</v>
      </c>
      <c r="J202" s="219">
        <f ca="1"/>
        <v>0</v>
      </c>
      <c r="K202" s="219">
        <f ca="1"/>
        <v>3.5</v>
      </c>
      <c r="L202" s="219">
        <f ca="1"/>
        <v>646</v>
      </c>
      <c r="M202" s="219">
        <f ca="1"/>
        <v>1</v>
      </c>
      <c r="N202" s="212" t="str">
        <f ca="1"/>
        <v>DAY</v>
      </c>
      <c r="O202" s="220">
        <f ca="1"/>
        <v>0.92</v>
      </c>
      <c r="P202" s="221">
        <f ca="1"/>
        <v>649.5</v>
      </c>
      <c r="Q202" s="221">
        <f ca="1"/>
        <v>50.5</v>
      </c>
    </row>
    <row r="203" spans="1:17" ht="18" customHeight="1">
      <c r="A203" s="212" t="str">
        <f ca="1"/>
        <v>C39 MARCH</v>
      </c>
      <c r="B203" s="218">
        <f ca="1"/>
        <v>46094</v>
      </c>
      <c r="C203" s="212" t="str">
        <f ca="1"/>
        <v>1,3&amp;4</v>
      </c>
      <c r="D203" s="212" t="str">
        <f ca="1"/>
        <v>C39</v>
      </c>
      <c r="E203" s="212" t="str">
        <f ca="1"/>
        <v>khapli</v>
      </c>
      <c r="F203" s="219">
        <f ca="1"/>
        <v>4150</v>
      </c>
      <c r="G203" s="219">
        <f ca="1"/>
        <v>42</v>
      </c>
      <c r="H203" s="219">
        <f ca="1"/>
        <v>56</v>
      </c>
      <c r="I203" s="219">
        <f ca="1"/>
        <v>12</v>
      </c>
      <c r="J203" s="219">
        <f ca="1"/>
        <v>120</v>
      </c>
      <c r="K203" s="219">
        <f ca="1"/>
        <v>230</v>
      </c>
      <c r="L203" s="219">
        <f ca="1"/>
        <v>3920</v>
      </c>
      <c r="M203" s="219">
        <f ca="1"/>
        <v>5</v>
      </c>
      <c r="N203" s="212" t="str">
        <f ca="1"/>
        <v>Day</v>
      </c>
      <c r="O203" s="220">
        <f ca="1"/>
        <v>0.944578313253012</v>
      </c>
      <c r="P203" s="221">
        <f ca="1"/>
        <v>4150</v>
      </c>
      <c r="Q203" s="221">
        <f ca="1"/>
        <v>0</v>
      </c>
    </row>
    <row r="204" spans="1:17" ht="18" customHeight="1">
      <c r="A204" s="212" t="str">
        <f ca="1"/>
        <v>C39 MARCH</v>
      </c>
      <c r="B204" s="218">
        <f ca="1"/>
        <v>46095</v>
      </c>
      <c r="C204" s="212" t="str">
        <f ca="1"/>
        <v>1,3&amp;4</v>
      </c>
      <c r="D204" s="212" t="str">
        <f ca="1"/>
        <v>C39</v>
      </c>
      <c r="E204" s="212" t="str">
        <f ca="1"/>
        <v>khapli</v>
      </c>
      <c r="F204" s="219">
        <f ca="1"/>
        <v>6600</v>
      </c>
      <c r="G204" s="219">
        <f ca="1"/>
        <v>43</v>
      </c>
      <c r="H204" s="219">
        <f ca="1"/>
        <v>89</v>
      </c>
      <c r="I204" s="219">
        <f ca="1"/>
        <v>16</v>
      </c>
      <c r="J204" s="219">
        <f ca="1"/>
        <v>196</v>
      </c>
      <c r="K204" s="219">
        <f ca="1"/>
        <v>344</v>
      </c>
      <c r="L204" s="219">
        <f ca="1"/>
        <v>6256</v>
      </c>
      <c r="M204" s="219">
        <f ca="1"/>
        <v>4</v>
      </c>
      <c r="N204" s="212" t="str">
        <f ca="1"/>
        <v>Day</v>
      </c>
      <c r="O204" s="220">
        <f ca="1"/>
        <v>0.94787878787878777</v>
      </c>
      <c r="P204" s="221">
        <f ca="1"/>
        <v>6600</v>
      </c>
      <c r="Q204" s="221">
        <f ca="1"/>
        <v>0</v>
      </c>
    </row>
    <row r="205" spans="1:17" ht="18" customHeight="1">
      <c r="A205" s="212" t="str">
        <f ca="1"/>
        <v>C39 MARCH</v>
      </c>
      <c r="B205" s="218">
        <f ca="1"/>
        <v>46096</v>
      </c>
      <c r="C205" s="212" t="str">
        <f ca="1"/>
        <v>1&amp;3&amp;4</v>
      </c>
      <c r="D205" s="212" t="str">
        <f ca="1"/>
        <v>C39</v>
      </c>
      <c r="E205" s="212" t="str">
        <f ca="1"/>
        <v>Khapli</v>
      </c>
      <c r="F205" s="219">
        <f ca="1"/>
        <v>6300</v>
      </c>
      <c r="G205" s="219">
        <f ca="1"/>
        <v>46</v>
      </c>
      <c r="H205" s="219">
        <f ca="1"/>
        <v>84</v>
      </c>
      <c r="I205" s="219">
        <f ca="1"/>
        <v>140</v>
      </c>
      <c r="J205" s="219">
        <f ca="1"/>
        <v>160</v>
      </c>
      <c r="K205" s="219">
        <f ca="1"/>
        <v>430</v>
      </c>
      <c r="L205" s="219">
        <f ca="1"/>
        <v>6000</v>
      </c>
      <c r="M205" s="219">
        <f ca="1"/>
        <v>4</v>
      </c>
      <c r="N205" s="212" t="str">
        <f ca="1"/>
        <v>DAY</v>
      </c>
      <c r="O205" s="220">
        <f ca="1"/>
        <v>0.95238095238095222</v>
      </c>
      <c r="P205" s="221">
        <f ca="1"/>
        <v>6430</v>
      </c>
      <c r="Q205" s="221">
        <f ca="1"/>
        <v>-130</v>
      </c>
    </row>
    <row r="206" spans="1:17" ht="18" customHeight="1">
      <c r="A206" s="212" t="str">
        <f ca="1"/>
        <v>C39 MARCH</v>
      </c>
      <c r="B206" s="218">
        <f ca="1"/>
        <v>46097</v>
      </c>
      <c r="C206" s="212" t="str">
        <f ca="1"/>
        <v>1&amp;3&amp;4</v>
      </c>
      <c r="D206" s="212" t="str">
        <f ca="1"/>
        <v>C39</v>
      </c>
      <c r="E206" s="212" t="str">
        <f ca="1"/>
        <v>khapli</v>
      </c>
      <c r="F206" s="219">
        <f ca="1"/>
        <v>4300</v>
      </c>
      <c r="G206" s="219">
        <f ca="1"/>
        <v>30</v>
      </c>
      <c r="H206" s="219">
        <f ca="1"/>
        <v>54</v>
      </c>
      <c r="I206" s="219">
        <f ca="1"/>
        <v>94</v>
      </c>
      <c r="J206" s="219">
        <f ca="1"/>
        <v>86</v>
      </c>
      <c r="K206" s="219">
        <f ca="1"/>
        <v>264</v>
      </c>
      <c r="L206" s="219">
        <f ca="1"/>
        <v>4120</v>
      </c>
      <c r="M206" s="219">
        <f ca="1"/>
        <v>4</v>
      </c>
      <c r="N206" s="212" t="str">
        <f ca="1"/>
        <v>DAY</v>
      </c>
      <c r="O206" s="220">
        <f ca="1"/>
        <v>0.95813953488372094</v>
      </c>
      <c r="P206" s="221">
        <f ca="1"/>
        <v>4384</v>
      </c>
      <c r="Q206" s="221">
        <f ca="1"/>
        <v>-84</v>
      </c>
    </row>
    <row r="207" spans="1:17" ht="18" customHeight="1">
      <c r="A207" s="212" t="str">
        <f ca="1"/>
        <v>C39 MARCH</v>
      </c>
      <c r="B207" s="218">
        <f ca="1"/>
        <v>46099</v>
      </c>
      <c r="C207" s="212" t="str">
        <f ca="1"/>
        <v>1,2,3&amp;4</v>
      </c>
      <c r="D207" s="212" t="str">
        <f ca="1"/>
        <v>C39</v>
      </c>
      <c r="E207" s="212" t="str">
        <f ca="1"/>
        <v>khapli</v>
      </c>
      <c r="F207" s="219">
        <f ca="1"/>
        <v>6400</v>
      </c>
      <c r="G207" s="219">
        <f ca="1"/>
        <v>32</v>
      </c>
      <c r="H207" s="219">
        <f ca="1"/>
        <v>58</v>
      </c>
      <c r="I207" s="219">
        <f ca="1"/>
        <v>16</v>
      </c>
      <c r="J207" s="219">
        <f ca="1"/>
        <v>94</v>
      </c>
      <c r="K207" s="219">
        <f ca="1"/>
        <v>200</v>
      </c>
      <c r="L207" s="219">
        <f ca="1"/>
        <v>6200</v>
      </c>
      <c r="M207" s="219">
        <f ca="1"/>
        <v>5</v>
      </c>
      <c r="N207" s="212" t="str">
        <f ca="1"/>
        <v>Day</v>
      </c>
      <c r="O207" s="220">
        <f ca="1"/>
        <v>0.96875</v>
      </c>
      <c r="P207" s="221">
        <f ca="1"/>
        <v>6400</v>
      </c>
      <c r="Q207" s="221">
        <f ca="1"/>
        <v>0</v>
      </c>
    </row>
    <row r="208" spans="1:17" ht="18" customHeight="1">
      <c r="A208" s="212" t="str">
        <f ca="1"/>
        <v>C39 MARCH</v>
      </c>
      <c r="B208" s="218">
        <f ca="1"/>
        <v>46101</v>
      </c>
      <c r="C208" s="212" t="str">
        <f ca="1"/>
        <v>1,2,3&amp;4</v>
      </c>
      <c r="D208" s="212" t="str">
        <f ca="1"/>
        <v>C39</v>
      </c>
      <c r="E208" s="212" t="str">
        <f ca="1"/>
        <v>multigrain</v>
      </c>
      <c r="F208" s="219">
        <f ca="1"/>
        <v>5500</v>
      </c>
      <c r="G208" s="219">
        <f ca="1"/>
        <v>4</v>
      </c>
      <c r="H208" s="219">
        <f ca="1"/>
        <v>110</v>
      </c>
      <c r="I208" s="219">
        <f ca="1"/>
        <v>15</v>
      </c>
      <c r="J208" s="219">
        <f ca="1"/>
        <v>179</v>
      </c>
      <c r="K208" s="219">
        <f ca="1"/>
        <v>308</v>
      </c>
      <c r="L208" s="219">
        <f ca="1"/>
        <v>5200</v>
      </c>
      <c r="M208" s="219">
        <f ca="1"/>
        <v>5</v>
      </c>
      <c r="N208" s="212" t="str">
        <f ca="1"/>
        <v>Day</v>
      </c>
      <c r="O208" s="220">
        <f ca="1"/>
        <v>0.94545454545454544</v>
      </c>
      <c r="P208" s="221">
        <f ca="1"/>
        <v>5508</v>
      </c>
      <c r="Q208" s="221">
        <f ca="1"/>
        <v>-8</v>
      </c>
    </row>
    <row r="209" spans="1:17" ht="18" customHeight="1">
      <c r="A209" s="212" t="str">
        <f ca="1"/>
        <v>C39 MARCH</v>
      </c>
      <c r="B209" s="218">
        <f ca="1"/>
        <v>46102</v>
      </c>
      <c r="C209" s="212" t="str">
        <f ca="1"/>
        <v>1,2,3&amp;4</v>
      </c>
      <c r="D209" s="212" t="str">
        <f ca="1"/>
        <v>C39</v>
      </c>
      <c r="E209" s="212" t="str">
        <f ca="1"/>
        <v>multigrain</v>
      </c>
      <c r="F209" s="219">
        <f ca="1"/>
        <v>6500</v>
      </c>
      <c r="G209" s="219">
        <f ca="1"/>
        <v>6</v>
      </c>
      <c r="H209" s="219">
        <f ca="1"/>
        <v>127</v>
      </c>
      <c r="I209" s="219">
        <f ca="1"/>
        <v>15</v>
      </c>
      <c r="J209" s="219">
        <f ca="1"/>
        <v>192</v>
      </c>
      <c r="K209" s="219">
        <f ca="1"/>
        <v>340</v>
      </c>
      <c r="L209" s="219">
        <f ca="1"/>
        <v>6160</v>
      </c>
      <c r="M209" s="219">
        <f ca="1"/>
        <v>5</v>
      </c>
      <c r="N209" s="212" t="str">
        <f ca="1"/>
        <v>Day</v>
      </c>
      <c r="O209" s="220">
        <f ca="1"/>
        <v>0.94769230769230772</v>
      </c>
      <c r="P209" s="221">
        <f ca="1"/>
        <v>6500</v>
      </c>
      <c r="Q209" s="221">
        <f ca="1"/>
        <v>0</v>
      </c>
    </row>
    <row r="210" spans="1:17" ht="18" customHeight="1">
      <c r="A210" s="212" t="str">
        <f ca="1"/>
        <v>C39 MARCH</v>
      </c>
      <c r="B210" s="218">
        <f ca="1"/>
        <v>46103</v>
      </c>
      <c r="C210" s="212" t="str">
        <f ca="1"/>
        <v>1,2,3&amp;4</v>
      </c>
      <c r="D210" s="212" t="str">
        <f ca="1"/>
        <v>C39</v>
      </c>
      <c r="E210" s="212" t="str">
        <f ca="1"/>
        <v>multigrain</v>
      </c>
      <c r="F210" s="219">
        <f ca="1"/>
        <v>3600</v>
      </c>
      <c r="G210" s="219">
        <f ca="1"/>
        <v>4.5</v>
      </c>
      <c r="H210" s="219">
        <f ca="1"/>
        <v>67</v>
      </c>
      <c r="I210" s="219">
        <f ca="1"/>
        <v>9</v>
      </c>
      <c r="J210" s="219">
        <f ca="1"/>
        <v>159.5</v>
      </c>
      <c r="K210" s="219">
        <f ca="1"/>
        <v>240</v>
      </c>
      <c r="L210" s="219">
        <f ca="1"/>
        <v>3360</v>
      </c>
      <c r="M210" s="219">
        <f ca="1"/>
        <v>4</v>
      </c>
      <c r="N210" s="212" t="str">
        <f ca="1"/>
        <v>day</v>
      </c>
      <c r="O210" s="220">
        <f ca="1"/>
        <v>0.93330000000000002</v>
      </c>
      <c r="P210" s="221">
        <f ca="1"/>
        <v>3600</v>
      </c>
      <c r="Q210" s="221">
        <f ca="1"/>
        <v>0</v>
      </c>
    </row>
    <row r="211" spans="1:17" ht="18" customHeight="1">
      <c r="A211" s="212" t="str">
        <f ca="1"/>
        <v>C39 MARCH</v>
      </c>
      <c r="B211" s="218">
        <f ca="1"/>
        <v>46105</v>
      </c>
      <c r="C211" s="212" t="str">
        <f ca="1"/>
        <v>1,2,3&amp;4</v>
      </c>
      <c r="D211" s="212" t="str">
        <f ca="1"/>
        <v>C39</v>
      </c>
      <c r="E211" s="212" t="str">
        <f ca="1"/>
        <v>multigrain</v>
      </c>
      <c r="F211" s="219">
        <f ca="1"/>
        <v>5900</v>
      </c>
      <c r="G211" s="219">
        <f ca="1"/>
        <v>6</v>
      </c>
      <c r="H211" s="219">
        <f ca="1"/>
        <v>135</v>
      </c>
      <c r="I211" s="219">
        <f ca="1"/>
        <v>15</v>
      </c>
      <c r="J211" s="219">
        <f ca="1"/>
        <v>144</v>
      </c>
      <c r="K211" s="219">
        <f ca="1"/>
        <v>300</v>
      </c>
      <c r="L211" s="219">
        <f ca="1"/>
        <v>5600</v>
      </c>
      <c r="M211" s="219">
        <f ca="1"/>
        <v>4</v>
      </c>
      <c r="N211" s="212" t="str">
        <f ca="1"/>
        <v>day</v>
      </c>
      <c r="O211" s="220">
        <f ca="1"/>
        <v>0.94915254237288138</v>
      </c>
      <c r="P211" s="221">
        <f ca="1"/>
        <v>5900</v>
      </c>
      <c r="Q211" s="221">
        <f ca="1"/>
        <v>0</v>
      </c>
    </row>
    <row r="212" spans="1:17" ht="18" customHeight="1">
      <c r="A212" s="212" t="str">
        <f ca="1"/>
        <v>C39 MARCH</v>
      </c>
      <c r="B212" s="218">
        <f ca="1"/>
        <v>46106</v>
      </c>
      <c r="C212" s="212" t="str">
        <f ca="1"/>
        <v>1,2,3&amp;4</v>
      </c>
      <c r="D212" s="212" t="str">
        <f ca="1"/>
        <v>C39</v>
      </c>
      <c r="E212" s="212" t="str">
        <f ca="1"/>
        <v>multigrain</v>
      </c>
      <c r="F212" s="219">
        <f ca="1"/>
        <v>5700</v>
      </c>
      <c r="G212" s="219">
        <f ca="1"/>
        <v>7</v>
      </c>
      <c r="H212" s="219">
        <f ca="1"/>
        <v>156</v>
      </c>
      <c r="I212" s="219">
        <f ca="1"/>
        <v>15</v>
      </c>
      <c r="J212" s="219">
        <f ca="1"/>
        <v>162</v>
      </c>
      <c r="K212" s="219">
        <f ca="1"/>
        <v>340</v>
      </c>
      <c r="L212" s="219">
        <f ca="1"/>
        <v>5360</v>
      </c>
      <c r="M212" s="219">
        <f ca="1"/>
        <v>4</v>
      </c>
      <c r="N212" s="212" t="str">
        <f ca="1"/>
        <v>day</v>
      </c>
      <c r="O212" s="220">
        <f ca="1"/>
        <v>0.94035087719298249</v>
      </c>
      <c r="P212" s="221">
        <f ca="1"/>
        <v>5700</v>
      </c>
      <c r="Q212" s="221">
        <f ca="1"/>
        <v>0</v>
      </c>
    </row>
    <row r="213" spans="1:17" ht="18" customHeight="1">
      <c r="A213" s="212" t="str">
        <f ca="1"/>
        <v>C39 MARCH</v>
      </c>
      <c r="B213" s="218">
        <f ca="1"/>
        <v>46108</v>
      </c>
      <c r="C213" s="212" t="str">
        <f ca="1"/>
        <v>1,2,3&amp;4</v>
      </c>
      <c r="D213" s="212" t="str">
        <f ca="1"/>
        <v>C39</v>
      </c>
      <c r="E213" s="212" t="str">
        <f ca="1"/>
        <v>multigrain</v>
      </c>
      <c r="F213" s="219">
        <f ca="1"/>
        <v>4850</v>
      </c>
      <c r="G213" s="219">
        <f ca="1"/>
        <v>6</v>
      </c>
      <c r="H213" s="219">
        <f ca="1"/>
        <v>104</v>
      </c>
      <c r="I213" s="219">
        <f ca="1"/>
        <v>12</v>
      </c>
      <c r="J213" s="219">
        <f ca="1"/>
        <v>128</v>
      </c>
      <c r="K213" s="219">
        <f ca="1"/>
        <v>250</v>
      </c>
      <c r="L213" s="219">
        <f ca="1"/>
        <v>4600</v>
      </c>
      <c r="M213" s="219">
        <f ca="1"/>
        <v>4</v>
      </c>
      <c r="N213" s="212" t="str">
        <f ca="1"/>
        <v>day</v>
      </c>
      <c r="O213" s="220">
        <f ca="1"/>
        <v>0.94845360824742253</v>
      </c>
      <c r="P213" s="221">
        <f ca="1"/>
        <v>4850</v>
      </c>
      <c r="Q213" s="221">
        <f ca="1"/>
        <v>0</v>
      </c>
    </row>
    <row r="214" spans="1:17" ht="18" customHeight="1">
      <c r="A214" s="212" t="str">
        <f ca="1"/>
        <v>C39 MARCH</v>
      </c>
      <c r="B214" s="218">
        <f ca="1"/>
        <v>46109</v>
      </c>
      <c r="C214" s="212" t="str">
        <f ca="1"/>
        <v>1,2,3&amp;4</v>
      </c>
      <c r="D214" s="212" t="str">
        <f ca="1"/>
        <v>C39</v>
      </c>
      <c r="E214" s="212" t="str">
        <f ca="1"/>
        <v>multigrain</v>
      </c>
      <c r="F214" s="219">
        <f ca="1"/>
        <v>4500</v>
      </c>
      <c r="G214" s="219">
        <f ca="1"/>
        <v>4</v>
      </c>
      <c r="H214" s="219">
        <f ca="1"/>
        <v>112</v>
      </c>
      <c r="I214" s="219">
        <f ca="1"/>
        <v>16</v>
      </c>
      <c r="J214" s="219">
        <f ca="1"/>
        <v>168</v>
      </c>
      <c r="K214" s="219">
        <f ca="1"/>
        <v>300</v>
      </c>
      <c r="L214" s="219">
        <f ca="1"/>
        <v>4200</v>
      </c>
      <c r="M214" s="219">
        <f ca="1"/>
        <v>4</v>
      </c>
      <c r="N214" s="212">
        <f ca="1"/>
        <v>0</v>
      </c>
      <c r="O214" s="220">
        <f ca="1"/>
        <v>0.93333333333333324</v>
      </c>
      <c r="P214" s="221">
        <f ca="1"/>
        <v>4500</v>
      </c>
      <c r="Q214" s="221">
        <f ca="1"/>
        <v>0</v>
      </c>
    </row>
    <row r="215" spans="1:17" ht="18" customHeight="1">
      <c r="A215" s="212" t="str">
        <f ca="1"/>
        <v>C39 MARCH</v>
      </c>
      <c r="B215" s="218">
        <f ca="1"/>
        <v>46110</v>
      </c>
      <c r="C215" s="212" t="str">
        <f ca="1"/>
        <v>1,2,3&amp;4</v>
      </c>
      <c r="D215" s="212" t="str">
        <f ca="1"/>
        <v>c39</v>
      </c>
      <c r="E215" s="212" t="str">
        <f ca="1"/>
        <v>multigrain</v>
      </c>
      <c r="F215" s="219">
        <f ca="1"/>
        <v>2050</v>
      </c>
      <c r="G215" s="219">
        <f ca="1"/>
        <v>4</v>
      </c>
      <c r="H215" s="219">
        <f ca="1"/>
        <v>45</v>
      </c>
      <c r="I215" s="219">
        <f ca="1"/>
        <v>11</v>
      </c>
      <c r="J215" s="219">
        <f ca="1"/>
        <v>72</v>
      </c>
      <c r="K215" s="219">
        <f ca="1"/>
        <v>132</v>
      </c>
      <c r="L215" s="219">
        <f ca="1"/>
        <v>1920</v>
      </c>
      <c r="M215" s="219">
        <f ca="1"/>
        <v>4</v>
      </c>
      <c r="N215" s="212" t="str">
        <f ca="1"/>
        <v>Day</v>
      </c>
      <c r="O215" s="220">
        <f ca="1"/>
        <v>0.9365853658536587</v>
      </c>
      <c r="P215" s="221">
        <f ca="1"/>
        <v>2052</v>
      </c>
      <c r="Q215" s="221">
        <f ca="1"/>
        <v>-2</v>
      </c>
    </row>
    <row r="216" spans="1:17" ht="18" customHeight="1">
      <c r="A216" s="212" t="str">
        <f ca="1"/>
        <v>C39 MARCH</v>
      </c>
      <c r="B216" s="218">
        <f ca="1"/>
        <v>46111</v>
      </c>
      <c r="C216" s="212" t="str">
        <f ca="1"/>
        <v>1,2,3&amp;4</v>
      </c>
      <c r="D216" s="212" t="str">
        <f ca="1"/>
        <v>c39</v>
      </c>
      <c r="E216" s="212" t="str">
        <f ca="1"/>
        <v>multigrain</v>
      </c>
      <c r="F216" s="219">
        <f ca="1"/>
        <v>4260</v>
      </c>
      <c r="G216" s="219">
        <f ca="1"/>
        <v>7</v>
      </c>
      <c r="H216" s="219">
        <f ca="1"/>
        <v>90</v>
      </c>
      <c r="I216" s="219">
        <f ca="1"/>
        <v>10</v>
      </c>
      <c r="J216" s="219">
        <f ca="1"/>
        <v>153</v>
      </c>
      <c r="K216" s="219">
        <f ca="1"/>
        <v>260</v>
      </c>
      <c r="L216" s="219">
        <f ca="1"/>
        <v>4000</v>
      </c>
      <c r="M216" s="219">
        <f ca="1"/>
        <v>4</v>
      </c>
      <c r="N216" s="212" t="str">
        <f ca="1"/>
        <v>DAY</v>
      </c>
      <c r="O216" s="220">
        <f ca="1"/>
        <v>0.93896713615023475</v>
      </c>
      <c r="P216" s="221">
        <f ca="1"/>
        <v>4260</v>
      </c>
      <c r="Q216" s="221">
        <f ca="1"/>
        <v>0</v>
      </c>
    </row>
    <row r="217" spans="1:17" ht="18" customHeight="1">
      <c r="A217" s="212" t="str">
        <f ca="1"/>
        <v>C39 MARCH</v>
      </c>
      <c r="B217" s="218">
        <f ca="1"/>
        <v>46112</v>
      </c>
      <c r="C217" s="212" t="str">
        <f ca="1"/>
        <v>1,2,3&amp;4</v>
      </c>
      <c r="D217" s="212" t="str">
        <f ca="1"/>
        <v>c39</v>
      </c>
      <c r="E217" s="212" t="str">
        <f ca="1"/>
        <v>multigrain</v>
      </c>
      <c r="F217" s="219">
        <f ca="1"/>
        <v>8000</v>
      </c>
      <c r="G217" s="219">
        <f ca="1"/>
        <v>8</v>
      </c>
      <c r="H217" s="219">
        <f ca="1"/>
        <v>470</v>
      </c>
      <c r="I217" s="219">
        <f ca="1"/>
        <v>16</v>
      </c>
      <c r="J217" s="219">
        <f ca="1"/>
        <v>226</v>
      </c>
      <c r="K217" s="219">
        <f ca="1"/>
        <v>720</v>
      </c>
      <c r="L217" s="219">
        <f ca="1"/>
        <v>7280</v>
      </c>
      <c r="M217" s="219">
        <f ca="1"/>
        <v>5</v>
      </c>
      <c r="N217" s="212" t="str">
        <f ca="1"/>
        <v>DAY</v>
      </c>
      <c r="O217" s="220">
        <f ca="1"/>
        <v>0.91</v>
      </c>
      <c r="P217" s="221">
        <f ca="1"/>
        <v>8000</v>
      </c>
      <c r="Q217" s="221">
        <f ca="1"/>
        <v>0</v>
      </c>
    </row>
    <row r="218" spans="1:17" ht="18" customHeight="1">
      <c r="A218" s="212" t="str">
        <f ca="1"/>
        <v>C6 APRIL</v>
      </c>
      <c r="B218" s="218">
        <f ca="1"/>
        <v>46113</v>
      </c>
      <c r="C218" s="212" t="str">
        <f ca="1"/>
        <v>Chakki1,2,3</v>
      </c>
      <c r="D218" s="212" t="str">
        <f ca="1"/>
        <v>C6</v>
      </c>
      <c r="E218" s="212" t="str">
        <f ca="1"/>
        <v>Khapli wheat</v>
      </c>
      <c r="F218" s="219">
        <f ca="1"/>
        <v>1000</v>
      </c>
      <c r="G218" s="219">
        <f ca="1"/>
        <v>6</v>
      </c>
      <c r="H218" s="219">
        <f ca="1"/>
        <v>1</v>
      </c>
      <c r="I218" s="219">
        <f ca="1"/>
        <v>1</v>
      </c>
      <c r="J218" s="219">
        <f ca="1"/>
        <v>42</v>
      </c>
      <c r="K218" s="219">
        <f ca="1"/>
        <v>50</v>
      </c>
      <c r="L218" s="219">
        <f ca="1"/>
        <v>950</v>
      </c>
      <c r="M218" s="219">
        <f ca="1"/>
        <v>3</v>
      </c>
      <c r="N218" s="212" t="str">
        <f ca="1"/>
        <v>Night</v>
      </c>
      <c r="O218" s="220">
        <f ca="1"/>
        <v>0.95</v>
      </c>
      <c r="P218" s="221">
        <f ca="1"/>
        <v>1000</v>
      </c>
      <c r="Q218" s="221">
        <f ca="1"/>
        <v>0</v>
      </c>
    </row>
    <row r="219" spans="1:17" ht="18" customHeight="1">
      <c r="A219" s="212" t="str">
        <f ca="1"/>
        <v>C6 APRIL</v>
      </c>
      <c r="B219" s="218">
        <f ca="1"/>
        <v>46114</v>
      </c>
      <c r="C219" s="212" t="str">
        <f ca="1"/>
        <v>Chakki1,2,3</v>
      </c>
      <c r="D219" s="212" t="str">
        <f ca="1"/>
        <v>C6</v>
      </c>
      <c r="E219" s="212" t="str">
        <f ca="1"/>
        <v>Khapli wheat</v>
      </c>
      <c r="F219" s="219">
        <f ca="1"/>
        <v>1050</v>
      </c>
      <c r="G219" s="219">
        <f ca="1"/>
        <v>0</v>
      </c>
      <c r="H219" s="219">
        <f ca="1"/>
        <v>6</v>
      </c>
      <c r="I219" s="219">
        <f ca="1"/>
        <v>1</v>
      </c>
      <c r="J219" s="219">
        <f ca="1"/>
        <v>66</v>
      </c>
      <c r="K219" s="219">
        <f ca="1"/>
        <v>73</v>
      </c>
      <c r="L219" s="219">
        <f ca="1"/>
        <v>977</v>
      </c>
      <c r="M219" s="219">
        <f ca="1"/>
        <v>3</v>
      </c>
      <c r="N219" s="212" t="str">
        <f ca="1"/>
        <v>Night</v>
      </c>
      <c r="O219" s="220">
        <f ca="1"/>
        <v>0.93047619047619046</v>
      </c>
      <c r="P219" s="221">
        <f ca="1"/>
        <v>1050</v>
      </c>
      <c r="Q219" s="221">
        <f ca="1"/>
        <v>0</v>
      </c>
    </row>
    <row r="220" spans="1:17" ht="18" customHeight="1">
      <c r="A220" s="212" t="str">
        <f ca="1"/>
        <v>C6 APRIL</v>
      </c>
      <c r="B220" s="218">
        <f ca="1"/>
        <v>46118</v>
      </c>
      <c r="C220" s="212" t="str">
        <f ca="1"/>
        <v>Chakki1,2,3</v>
      </c>
      <c r="D220" s="212" t="str">
        <f ca="1"/>
        <v>C6</v>
      </c>
      <c r="E220" s="212" t="str">
        <f ca="1"/>
        <v>Khapli wheat</v>
      </c>
      <c r="F220" s="219">
        <f ca="1"/>
        <v>1150</v>
      </c>
      <c r="G220" s="219">
        <f ca="1"/>
        <v>7</v>
      </c>
      <c r="H220" s="219">
        <f ca="1"/>
        <v>26</v>
      </c>
      <c r="I220" s="219">
        <f ca="1"/>
        <v>1.5</v>
      </c>
      <c r="J220" s="219">
        <f ca="1"/>
        <v>80.5</v>
      </c>
      <c r="K220" s="219">
        <f ca="1"/>
        <v>115</v>
      </c>
      <c r="L220" s="219">
        <f ca="1"/>
        <v>1035</v>
      </c>
      <c r="M220" s="219">
        <f ca="1"/>
        <v>4</v>
      </c>
      <c r="N220" s="212" t="str">
        <f ca="1"/>
        <v>Night</v>
      </c>
      <c r="O220" s="220">
        <f ca="1"/>
        <v>0.9</v>
      </c>
      <c r="P220" s="221">
        <f ca="1"/>
        <v>1150</v>
      </c>
      <c r="Q220" s="221">
        <f ca="1"/>
        <v>0</v>
      </c>
    </row>
    <row r="221" spans="1:17" ht="18" customHeight="1">
      <c r="A221" s="212" t="str">
        <f ca="1"/>
        <v>C6 APRIL</v>
      </c>
      <c r="B221" s="218">
        <f ca="1"/>
        <v>46116</v>
      </c>
      <c r="C221" s="212" t="str">
        <f ca="1"/>
        <v>Chakki 1</v>
      </c>
      <c r="D221" s="212" t="str">
        <f ca="1"/>
        <v>C6</v>
      </c>
      <c r="E221" s="212" t="str">
        <f ca="1"/>
        <v>Khapli wheat</v>
      </c>
      <c r="F221" s="219">
        <f ca="1"/>
        <v>720</v>
      </c>
      <c r="G221" s="219">
        <f ca="1"/>
        <v>3</v>
      </c>
      <c r="H221" s="219">
        <f ca="1"/>
        <v>10</v>
      </c>
      <c r="I221" s="219">
        <f ca="1"/>
        <v>1</v>
      </c>
      <c r="J221" s="219">
        <f ca="1"/>
        <v>45</v>
      </c>
      <c r="K221" s="219">
        <f ca="1"/>
        <v>59</v>
      </c>
      <c r="L221" s="219">
        <f ca="1"/>
        <v>661</v>
      </c>
      <c r="M221" s="219">
        <f ca="1"/>
        <v>3</v>
      </c>
      <c r="N221" s="212" t="str">
        <f ca="1"/>
        <v>Day</v>
      </c>
      <c r="O221" s="220">
        <f ca="1"/>
        <v>0.91805555555555562</v>
      </c>
      <c r="P221" s="221">
        <f ca="1"/>
        <v>720</v>
      </c>
      <c r="Q221" s="221">
        <f ca="1"/>
        <v>0</v>
      </c>
    </row>
    <row r="222" spans="1:17" ht="18" customHeight="1">
      <c r="A222" s="212" t="str">
        <f ca="1"/>
        <v>C6 APRIL</v>
      </c>
      <c r="B222" s="218">
        <f ca="1"/>
        <v>46119</v>
      </c>
      <c r="C222" s="212" t="str">
        <f ca="1"/>
        <v>Chakki1,2,3</v>
      </c>
      <c r="D222" s="212" t="str">
        <f ca="1"/>
        <v>C6</v>
      </c>
      <c r="E222" s="212" t="str">
        <f ca="1"/>
        <v>Khapli wheat</v>
      </c>
      <c r="F222" s="219">
        <f ca="1"/>
        <v>720</v>
      </c>
      <c r="G222" s="219">
        <f ca="1"/>
        <v>1</v>
      </c>
      <c r="H222" s="219">
        <f ca="1"/>
        <v>10</v>
      </c>
      <c r="I222" s="219">
        <f ca="1"/>
        <v>1</v>
      </c>
      <c r="J222" s="219">
        <f ca="1"/>
        <v>28</v>
      </c>
      <c r="K222" s="219">
        <f ca="1"/>
        <v>40</v>
      </c>
      <c r="L222" s="219">
        <f ca="1"/>
        <v>680</v>
      </c>
      <c r="M222" s="219">
        <f ca="1"/>
        <v>2</v>
      </c>
      <c r="N222" s="212" t="str">
        <f ca="1"/>
        <v>Day</v>
      </c>
      <c r="O222" s="220">
        <f ca="1"/>
        <v>0.94444444444444442</v>
      </c>
      <c r="P222" s="221">
        <f ca="1"/>
        <v>720</v>
      </c>
      <c r="Q222" s="221">
        <f ca="1"/>
        <v>0</v>
      </c>
    </row>
    <row r="223" spans="1:17" ht="18" customHeight="1">
      <c r="A223" s="212" t="str">
        <f ca="1"/>
        <v>C6 APRIL</v>
      </c>
      <c r="B223" s="218">
        <f ca="1"/>
        <v>46120</v>
      </c>
      <c r="C223" s="212" t="str">
        <f ca="1"/>
        <v>Chakki1,2,3</v>
      </c>
      <c r="D223" s="212" t="str">
        <f ca="1"/>
        <v>C6</v>
      </c>
      <c r="E223" s="212" t="str">
        <f ca="1"/>
        <v>Khapli wheat</v>
      </c>
      <c r="F223" s="219">
        <f ca="1"/>
        <v>850</v>
      </c>
      <c r="G223" s="219">
        <f ca="1"/>
        <v>2.5</v>
      </c>
      <c r="H223" s="219">
        <f ca="1"/>
        <v>15</v>
      </c>
      <c r="I223" s="219">
        <f ca="1"/>
        <v>2</v>
      </c>
      <c r="J223" s="219">
        <f ca="1"/>
        <v>40.5</v>
      </c>
      <c r="K223" s="219">
        <f ca="1"/>
        <v>60</v>
      </c>
      <c r="L223" s="219">
        <f ca="1"/>
        <v>790</v>
      </c>
      <c r="M223" s="219">
        <f ca="1"/>
        <v>3</v>
      </c>
      <c r="N223" s="212" t="str">
        <f ca="1"/>
        <v>Night</v>
      </c>
      <c r="O223" s="220">
        <f ca="1"/>
        <v>0.92941176470588227</v>
      </c>
      <c r="P223" s="221">
        <f ca="1"/>
        <v>850</v>
      </c>
      <c r="Q223" s="221">
        <f ca="1"/>
        <v>0</v>
      </c>
    </row>
    <row r="224" spans="1:17" ht="18" customHeight="1">
      <c r="A224" s="212" t="str">
        <f ca="1"/>
        <v>C6 APRIL</v>
      </c>
      <c r="B224" s="218">
        <f ca="1"/>
        <v>46120</v>
      </c>
      <c r="C224" s="212" t="str">
        <f ca="1"/>
        <v>Chakki1,2,3</v>
      </c>
      <c r="D224" s="212" t="str">
        <f ca="1"/>
        <v>C6</v>
      </c>
      <c r="E224" s="212" t="str">
        <f ca="1"/>
        <v>Khapli wheat</v>
      </c>
      <c r="F224" s="219">
        <f ca="1"/>
        <v>1200</v>
      </c>
      <c r="G224" s="219">
        <f ca="1"/>
        <v>3</v>
      </c>
      <c r="H224" s="219">
        <f ca="1"/>
        <v>30</v>
      </c>
      <c r="I224" s="219">
        <f ca="1"/>
        <v>2</v>
      </c>
      <c r="J224" s="219">
        <f ca="1"/>
        <v>65</v>
      </c>
      <c r="K224" s="219">
        <f ca="1"/>
        <v>100</v>
      </c>
      <c r="L224" s="219">
        <f ca="1"/>
        <v>1100</v>
      </c>
      <c r="M224" s="219">
        <f ca="1"/>
        <v>3</v>
      </c>
      <c r="N224" s="212" t="str">
        <f ca="1"/>
        <v>Day</v>
      </c>
      <c r="O224" s="220">
        <f ca="1"/>
        <v>0.91666666666666652</v>
      </c>
      <c r="P224" s="221">
        <f ca="1"/>
        <v>1200</v>
      </c>
      <c r="Q224" s="221">
        <f ca="1"/>
        <v>0</v>
      </c>
    </row>
    <row r="225" spans="1:17" ht="18" customHeight="1">
      <c r="A225" s="212" t="str">
        <f ca="1"/>
        <v>C6 APRIL</v>
      </c>
      <c r="B225" s="218">
        <f ca="1"/>
        <v>46121</v>
      </c>
      <c r="C225" s="212" t="str">
        <f ca="1"/>
        <v>Chakki1,2,3</v>
      </c>
      <c r="D225" s="212" t="str">
        <f ca="1"/>
        <v>C6</v>
      </c>
      <c r="E225" s="212" t="str">
        <f ca="1"/>
        <v>Khapli wheat</v>
      </c>
      <c r="F225" s="219">
        <f ca="1"/>
        <v>900</v>
      </c>
      <c r="G225" s="219">
        <f ca="1"/>
        <v>2.5</v>
      </c>
      <c r="H225" s="219">
        <f ca="1"/>
        <v>16</v>
      </c>
      <c r="I225" s="219">
        <f ca="1"/>
        <v>2</v>
      </c>
      <c r="J225" s="219">
        <f ca="1"/>
        <v>56.5</v>
      </c>
      <c r="K225" s="219">
        <f ca="1"/>
        <v>77</v>
      </c>
      <c r="L225" s="219">
        <f ca="1"/>
        <v>823</v>
      </c>
      <c r="M225" s="219">
        <f ca="1"/>
        <v>3</v>
      </c>
      <c r="N225" s="212" t="str">
        <f ca="1"/>
        <v>Day</v>
      </c>
      <c r="O225" s="220">
        <f ca="1"/>
        <v>0.91444444444444439</v>
      </c>
      <c r="P225" s="221">
        <f ca="1"/>
        <v>900</v>
      </c>
      <c r="Q225" s="221">
        <f ca="1"/>
        <v>0</v>
      </c>
    </row>
    <row r="226" spans="1:17" ht="18" customHeight="1">
      <c r="A226" s="212" t="str">
        <f ca="1"/>
        <v>C6 APRIL</v>
      </c>
      <c r="B226" s="218">
        <f ca="1"/>
        <v>46121</v>
      </c>
      <c r="C226" s="212" t="str">
        <f ca="1"/>
        <v>Chakki1,2,3</v>
      </c>
      <c r="D226" s="212" t="str">
        <f ca="1"/>
        <v>C6</v>
      </c>
      <c r="E226" s="212" t="str">
        <f ca="1"/>
        <v xml:space="preserve">Bajra </v>
      </c>
      <c r="F226" s="219">
        <f ca="1"/>
        <v>720</v>
      </c>
      <c r="G226" s="219">
        <f ca="1"/>
        <v>2</v>
      </c>
      <c r="H226" s="219">
        <f ca="1"/>
        <v>5</v>
      </c>
      <c r="I226" s="219">
        <f ca="1"/>
        <v>1</v>
      </c>
      <c r="J226" s="219">
        <f ca="1"/>
        <v>62</v>
      </c>
      <c r="K226" s="219">
        <f ca="1"/>
        <v>70</v>
      </c>
      <c r="L226" s="219">
        <f ca="1"/>
        <v>650</v>
      </c>
      <c r="M226" s="219">
        <f ca="1"/>
        <v>3</v>
      </c>
      <c r="N226" s="212" t="str">
        <f ca="1"/>
        <v>Night</v>
      </c>
      <c r="O226" s="220">
        <f ca="1"/>
        <v>0.9027777777777779</v>
      </c>
      <c r="P226" s="221">
        <f ca="1"/>
        <v>720</v>
      </c>
      <c r="Q226" s="221">
        <f ca="1"/>
        <v>0</v>
      </c>
    </row>
    <row r="227" spans="1:17" ht="18" customHeight="1">
      <c r="A227" s="212" t="str">
        <f ca="1"/>
        <v>C6 APRIL</v>
      </c>
      <c r="B227" s="218">
        <f ca="1"/>
        <v>46122</v>
      </c>
      <c r="C227" s="212" t="str">
        <f ca="1"/>
        <v>Chakki1,2,3</v>
      </c>
      <c r="D227" s="212" t="str">
        <f ca="1"/>
        <v>C6</v>
      </c>
      <c r="E227" s="212" t="str">
        <f ca="1"/>
        <v xml:space="preserve">Bajra </v>
      </c>
      <c r="F227" s="219">
        <f ca="1"/>
        <v>1500</v>
      </c>
      <c r="G227" s="219">
        <f ca="1"/>
        <v>4.5</v>
      </c>
      <c r="H227" s="219">
        <f ca="1"/>
        <v>15</v>
      </c>
      <c r="I227" s="219">
        <f ca="1"/>
        <v>2</v>
      </c>
      <c r="J227" s="219">
        <f ca="1"/>
        <v>108.5</v>
      </c>
      <c r="K227" s="219">
        <f ca="1"/>
        <v>130</v>
      </c>
      <c r="L227" s="219">
        <f ca="1"/>
        <v>1370</v>
      </c>
      <c r="M227" s="219">
        <f ca="1"/>
        <v>3</v>
      </c>
      <c r="N227" s="212" t="str">
        <f ca="1"/>
        <v>Night</v>
      </c>
      <c r="O227" s="220">
        <f ca="1"/>
        <v>0.91333333333333333</v>
      </c>
      <c r="P227" s="221">
        <f ca="1"/>
        <v>1500</v>
      </c>
      <c r="Q227" s="221">
        <f ca="1"/>
        <v>0</v>
      </c>
    </row>
    <row r="228" spans="1:17" ht="18" customHeight="1">
      <c r="A228" s="212" t="str">
        <f ca="1"/>
        <v>C6 APRIL</v>
      </c>
      <c r="B228" s="218">
        <f ca="1"/>
        <v>46123</v>
      </c>
      <c r="C228" s="212" t="str">
        <f ca="1"/>
        <v>Chakki1,2,3</v>
      </c>
      <c r="D228" s="212" t="str">
        <f ca="1"/>
        <v>C6</v>
      </c>
      <c r="E228" s="212" t="str">
        <f ca="1"/>
        <v xml:space="preserve">Bajra </v>
      </c>
      <c r="F228" s="219">
        <f ca="1"/>
        <v>1200</v>
      </c>
      <c r="G228" s="219">
        <f ca="1"/>
        <v>4</v>
      </c>
      <c r="H228" s="219">
        <f ca="1"/>
        <v>29</v>
      </c>
      <c r="I228" s="219">
        <f ca="1"/>
        <v>2</v>
      </c>
      <c r="J228" s="219">
        <f ca="1"/>
        <v>69</v>
      </c>
      <c r="K228" s="219">
        <f ca="1"/>
        <v>100</v>
      </c>
      <c r="L228" s="219">
        <f ca="1"/>
        <v>1100</v>
      </c>
      <c r="M228" s="219">
        <f ca="1"/>
        <v>2</v>
      </c>
      <c r="N228" s="212" t="str">
        <f ca="1"/>
        <v>Day</v>
      </c>
      <c r="O228" s="220">
        <f ca="1"/>
        <v>0.91666666666666652</v>
      </c>
      <c r="P228" s="221">
        <f ca="1"/>
        <v>1200</v>
      </c>
      <c r="Q228" s="221">
        <f ca="1"/>
        <v>0</v>
      </c>
    </row>
    <row r="229" spans="1:17" ht="18" customHeight="1">
      <c r="A229" s="212" t="str">
        <f ca="1"/>
        <v>C6 APRIL</v>
      </c>
      <c r="B229" s="218">
        <f ca="1"/>
        <v>46123</v>
      </c>
      <c r="C229" s="212" t="str">
        <f ca="1"/>
        <v>Chakki1,2,3</v>
      </c>
      <c r="D229" s="212" t="str">
        <f ca="1"/>
        <v>C6</v>
      </c>
      <c r="E229" s="212" t="str">
        <f ca="1"/>
        <v xml:space="preserve">Bajra </v>
      </c>
      <c r="F229" s="219">
        <f ca="1"/>
        <v>420</v>
      </c>
      <c r="G229" s="219">
        <f ca="1"/>
        <v>3</v>
      </c>
      <c r="H229" s="219">
        <f ca="1"/>
        <v>8</v>
      </c>
      <c r="I229" s="219">
        <f ca="1"/>
        <v>1</v>
      </c>
      <c r="J229" s="219">
        <f ca="1"/>
        <v>31</v>
      </c>
      <c r="K229" s="219">
        <f ca="1"/>
        <v>40</v>
      </c>
      <c r="L229" s="219">
        <f ca="1"/>
        <v>380</v>
      </c>
      <c r="M229" s="219">
        <f ca="1"/>
        <v>2</v>
      </c>
      <c r="N229" s="212" t="str">
        <f ca="1"/>
        <v>Night</v>
      </c>
      <c r="O229" s="220">
        <f ca="1"/>
        <v>0.90476190476190477</v>
      </c>
      <c r="P229" s="221">
        <f ca="1"/>
        <v>420</v>
      </c>
      <c r="Q229" s="221">
        <f ca="1"/>
        <v>0</v>
      </c>
    </row>
    <row r="230" spans="1:17" ht="18" customHeight="1">
      <c r="A230" s="212" t="str">
        <f ca="1"/>
        <v>C6 APRIL</v>
      </c>
      <c r="B230" s="218">
        <f ca="1"/>
        <v>46123</v>
      </c>
      <c r="C230" s="212" t="str">
        <f ca="1"/>
        <v>Chakki1,2,3</v>
      </c>
      <c r="D230" s="212" t="str">
        <f ca="1"/>
        <v>C6</v>
      </c>
      <c r="E230" s="212" t="str">
        <f ca="1"/>
        <v>jowar</v>
      </c>
      <c r="F230" s="219">
        <f ca="1"/>
        <v>944</v>
      </c>
      <c r="G230" s="219">
        <f ca="1"/>
        <v>0</v>
      </c>
      <c r="H230" s="219">
        <f ca="1"/>
        <v>20</v>
      </c>
      <c r="I230" s="219">
        <f ca="1"/>
        <v>1</v>
      </c>
      <c r="J230" s="219">
        <f ca="1"/>
        <v>56</v>
      </c>
      <c r="K230" s="219">
        <f ca="1"/>
        <v>77</v>
      </c>
      <c r="L230" s="219">
        <f ca="1"/>
        <v>867</v>
      </c>
      <c r="M230" s="219">
        <f ca="1"/>
        <v>2</v>
      </c>
      <c r="N230" s="212" t="str">
        <f ca="1"/>
        <v>Night</v>
      </c>
      <c r="O230" s="220">
        <f ca="1"/>
        <v>0.91843220338983056</v>
      </c>
      <c r="P230" s="221">
        <f ca="1"/>
        <v>944</v>
      </c>
      <c r="Q230" s="221">
        <f ca="1"/>
        <v>0</v>
      </c>
    </row>
    <row r="231" spans="1:17" ht="18" customHeight="1">
      <c r="A231" s="212" t="str">
        <f ca="1"/>
        <v>C6 APRIL</v>
      </c>
      <c r="B231" s="218">
        <f ca="1"/>
        <v>46125</v>
      </c>
      <c r="C231" s="212" t="str">
        <f ca="1"/>
        <v>Chakki1,2,3</v>
      </c>
      <c r="D231" s="212" t="str">
        <f ca="1"/>
        <v>C6</v>
      </c>
      <c r="E231" s="212" t="str">
        <f ca="1"/>
        <v>Jowar</v>
      </c>
      <c r="F231" s="219">
        <f ca="1"/>
        <v>1800</v>
      </c>
      <c r="G231" s="219">
        <f ca="1"/>
        <v>7</v>
      </c>
      <c r="H231" s="219">
        <f ca="1"/>
        <v>36</v>
      </c>
      <c r="I231" s="219">
        <f ca="1"/>
        <v>1</v>
      </c>
      <c r="J231" s="219">
        <f ca="1"/>
        <v>113</v>
      </c>
      <c r="K231" s="219">
        <f ca="1"/>
        <v>150</v>
      </c>
      <c r="L231" s="219">
        <f ca="1"/>
        <v>1650</v>
      </c>
      <c r="M231" s="219">
        <f ca="1"/>
        <v>2</v>
      </c>
      <c r="N231" s="212" t="str">
        <f ca="1"/>
        <v>Day</v>
      </c>
      <c r="O231" s="220">
        <f ca="1"/>
        <v>0.91666666666666652</v>
      </c>
      <c r="P231" s="221">
        <f ca="1"/>
        <v>1800</v>
      </c>
      <c r="Q231" s="221">
        <f ca="1"/>
        <v>0</v>
      </c>
    </row>
    <row r="232" spans="1:17" ht="18" customHeight="1">
      <c r="A232" s="212" t="str">
        <f ca="1"/>
        <v>C6 APRIL</v>
      </c>
      <c r="B232" s="218">
        <f ca="1"/>
        <v>46125</v>
      </c>
      <c r="C232" s="212" t="str">
        <f ca="1"/>
        <v>Chakki1,2,3</v>
      </c>
      <c r="D232" s="212" t="str">
        <f ca="1"/>
        <v>C6</v>
      </c>
      <c r="E232" s="212" t="str">
        <f ca="1"/>
        <v>Jowar</v>
      </c>
      <c r="F232" s="219">
        <f ca="1"/>
        <v>1420</v>
      </c>
      <c r="G232" s="219">
        <f ca="1"/>
        <v>5</v>
      </c>
      <c r="H232" s="219">
        <f ca="1"/>
        <v>15</v>
      </c>
      <c r="I232" s="219">
        <f ca="1"/>
        <v>1</v>
      </c>
      <c r="J232" s="219">
        <f ca="1"/>
        <v>84</v>
      </c>
      <c r="K232" s="219">
        <f ca="1"/>
        <v>100</v>
      </c>
      <c r="L232" s="219">
        <f ca="1"/>
        <v>1320</v>
      </c>
      <c r="M232" s="219">
        <f ca="1"/>
        <v>2</v>
      </c>
      <c r="N232" s="212" t="str">
        <f ca="1"/>
        <v>Night</v>
      </c>
      <c r="O232" s="220">
        <f ca="1"/>
        <v>0.92957746478873238</v>
      </c>
      <c r="P232" s="221">
        <f ca="1"/>
        <v>1420</v>
      </c>
      <c r="Q232" s="221">
        <f ca="1"/>
        <v>0</v>
      </c>
    </row>
    <row r="233" spans="1:17" ht="18" customHeight="1">
      <c r="A233" s="212" t="str">
        <f ca="1"/>
        <v>C6 APRIL</v>
      </c>
      <c r="B233" s="218">
        <f ca="1"/>
        <v>46126</v>
      </c>
      <c r="C233" s="212" t="str">
        <f ca="1"/>
        <v>Chakki1,2,3</v>
      </c>
      <c r="D233" s="212" t="str">
        <f ca="1"/>
        <v>C6</v>
      </c>
      <c r="E233" s="212" t="str">
        <f ca="1"/>
        <v>Jowar</v>
      </c>
      <c r="F233" s="219">
        <f ca="1"/>
        <v>1450</v>
      </c>
      <c r="G233" s="219">
        <f ca="1"/>
        <v>6</v>
      </c>
      <c r="H233" s="219">
        <f ca="1"/>
        <v>60</v>
      </c>
      <c r="I233" s="219">
        <f ca="1"/>
        <v>3</v>
      </c>
      <c r="J233" s="219">
        <f ca="1"/>
        <v>38</v>
      </c>
      <c r="K233" s="219">
        <f ca="1"/>
        <v>101</v>
      </c>
      <c r="L233" s="219">
        <f ca="1"/>
        <v>1349</v>
      </c>
      <c r="M233" s="219">
        <f ca="1"/>
        <v>2</v>
      </c>
      <c r="N233" s="212" t="str">
        <f ca="1"/>
        <v>Day</v>
      </c>
      <c r="O233" s="220">
        <f ca="1"/>
        <v>0.93034482758620685</v>
      </c>
      <c r="P233" s="221">
        <f ca="1"/>
        <v>1450</v>
      </c>
      <c r="Q233" s="221">
        <f ca="1"/>
        <v>0</v>
      </c>
    </row>
    <row r="234" spans="1:17" ht="18" customHeight="1">
      <c r="A234" s="212" t="str">
        <f ca="1"/>
        <v>C6 APRIL</v>
      </c>
      <c r="B234" s="218">
        <f ca="1"/>
        <v>46127</v>
      </c>
      <c r="C234" s="212" t="str">
        <f ca="1"/>
        <v>Chakki1,2,3</v>
      </c>
      <c r="D234" s="212" t="str">
        <f ca="1"/>
        <v>C6</v>
      </c>
      <c r="E234" s="212" t="str">
        <f ca="1"/>
        <v>Jowar</v>
      </c>
      <c r="F234" s="219">
        <f ca="1"/>
        <v>195</v>
      </c>
      <c r="G234" s="219">
        <f ca="1"/>
        <v>1</v>
      </c>
      <c r="H234" s="219">
        <f ca="1"/>
        <v>3</v>
      </c>
      <c r="I234" s="219">
        <f ca="1"/>
        <v>1</v>
      </c>
      <c r="J234" s="219">
        <f ca="1"/>
        <v>16</v>
      </c>
      <c r="K234" s="219">
        <f ca="1"/>
        <v>20</v>
      </c>
      <c r="L234" s="219">
        <f ca="1"/>
        <v>175</v>
      </c>
      <c r="M234" s="219">
        <f ca="1"/>
        <v>2</v>
      </c>
      <c r="N234" s="212" t="str">
        <f ca="1"/>
        <v>Day</v>
      </c>
      <c r="O234" s="220">
        <f ca="1"/>
        <v>0.89743589743589747</v>
      </c>
      <c r="P234" s="221">
        <f ca="1"/>
        <v>195</v>
      </c>
      <c r="Q234" s="221">
        <f ca="1"/>
        <v>0</v>
      </c>
    </row>
    <row r="235" spans="1:17" ht="18" customHeight="1">
      <c r="A235" s="212" t="str">
        <f ca="1"/>
        <v>C6 APRIL</v>
      </c>
      <c r="B235" s="218">
        <f ca="1"/>
        <v>46128</v>
      </c>
      <c r="C235" s="212" t="str">
        <f ca="1"/>
        <v>Chakki1,2,3</v>
      </c>
      <c r="D235" s="212" t="str">
        <f ca="1"/>
        <v>C6</v>
      </c>
      <c r="E235" s="212" t="str">
        <f ca="1"/>
        <v>Khapli wheat</v>
      </c>
      <c r="F235" s="219">
        <f ca="1"/>
        <v>1450</v>
      </c>
      <c r="G235" s="219">
        <f ca="1"/>
        <v>5</v>
      </c>
      <c r="H235" s="219">
        <f ca="1"/>
        <v>32</v>
      </c>
      <c r="I235" s="219">
        <f ca="1"/>
        <v>2</v>
      </c>
      <c r="J235" s="219">
        <f ca="1"/>
        <v>86</v>
      </c>
      <c r="K235" s="219">
        <f ca="1"/>
        <v>120</v>
      </c>
      <c r="L235" s="219">
        <f ca="1"/>
        <v>1330</v>
      </c>
      <c r="M235" s="219">
        <f ca="1"/>
        <v>2</v>
      </c>
      <c r="N235" s="212" t="str">
        <f ca="1"/>
        <v>Night</v>
      </c>
      <c r="O235" s="220">
        <f ca="1"/>
        <v>0.91724137931034477</v>
      </c>
      <c r="P235" s="221">
        <f ca="1"/>
        <v>1450</v>
      </c>
      <c r="Q235" s="221">
        <f ca="1"/>
        <v>0</v>
      </c>
    </row>
    <row r="236" spans="1:17" ht="18" customHeight="1">
      <c r="A236" s="212" t="str">
        <f ca="1"/>
        <v>C6 APRIL</v>
      </c>
      <c r="B236" s="218">
        <f ca="1"/>
        <v>46129</v>
      </c>
      <c r="C236" s="212" t="str">
        <f ca="1"/>
        <v>Chakki1,2,3</v>
      </c>
      <c r="D236" s="212" t="str">
        <f ca="1"/>
        <v>C6</v>
      </c>
      <c r="E236" s="212" t="str">
        <f ca="1"/>
        <v>Khapli wheat</v>
      </c>
      <c r="F236" s="219">
        <f ca="1"/>
        <v>2000</v>
      </c>
      <c r="G236" s="219">
        <f ca="1"/>
        <v>9</v>
      </c>
      <c r="H236" s="219">
        <f ca="1"/>
        <v>21</v>
      </c>
      <c r="I236" s="219">
        <f ca="1"/>
        <v>2</v>
      </c>
      <c r="J236" s="219">
        <f ca="1"/>
        <v>81</v>
      </c>
      <c r="K236" s="219">
        <f ca="1"/>
        <v>104</v>
      </c>
      <c r="L236" s="219">
        <f ca="1"/>
        <v>1896</v>
      </c>
      <c r="M236" s="219">
        <f ca="1"/>
        <v>2</v>
      </c>
      <c r="N236" s="212" t="str">
        <f ca="1"/>
        <v>Day</v>
      </c>
      <c r="O236" s="220">
        <f ca="1"/>
        <v>0.94799999999999995</v>
      </c>
      <c r="P236" s="221">
        <f ca="1"/>
        <v>2000</v>
      </c>
      <c r="Q236" s="221">
        <f ca="1"/>
        <v>0</v>
      </c>
    </row>
    <row r="237" spans="1:17" ht="18" customHeight="1">
      <c r="A237" s="212" t="str">
        <f ca="1"/>
        <v>C6 APRIL</v>
      </c>
      <c r="B237" s="218">
        <f ca="1"/>
        <v>46129</v>
      </c>
      <c r="C237" s="212" t="str">
        <f ca="1"/>
        <v>Chakki1,2,3</v>
      </c>
      <c r="D237" s="212" t="str">
        <f ca="1"/>
        <v>C6</v>
      </c>
      <c r="E237" s="212" t="str">
        <f ca="1"/>
        <v>Khapli wheat</v>
      </c>
      <c r="F237" s="219">
        <f ca="1"/>
        <v>1570</v>
      </c>
      <c r="G237" s="219">
        <f ca="1"/>
        <v>0</v>
      </c>
      <c r="H237" s="219">
        <f ca="1"/>
        <v>10</v>
      </c>
      <c r="I237" s="219">
        <f ca="1"/>
        <v>2</v>
      </c>
      <c r="J237" s="219">
        <f ca="1"/>
        <v>123</v>
      </c>
      <c r="K237" s="219">
        <f ca="1"/>
        <v>135</v>
      </c>
      <c r="L237" s="219">
        <f ca="1"/>
        <v>1435</v>
      </c>
      <c r="M237" s="219">
        <f ca="1"/>
        <v>3</v>
      </c>
      <c r="N237" s="212" t="str">
        <f ca="1"/>
        <v>Night</v>
      </c>
      <c r="O237" s="220">
        <f ca="1"/>
        <v>0.9140127388535032</v>
      </c>
      <c r="P237" s="221">
        <f ca="1"/>
        <v>1570</v>
      </c>
      <c r="Q237" s="221">
        <f ca="1"/>
        <v>0</v>
      </c>
    </row>
    <row r="238" spans="1:17" ht="18" customHeight="1">
      <c r="A238" s="212" t="str">
        <f ca="1"/>
        <v>C6 APRIL</v>
      </c>
      <c r="B238" s="218">
        <f ca="1"/>
        <v>46130</v>
      </c>
      <c r="C238" s="212" t="str">
        <f ca="1"/>
        <v>Chakki1,2,3</v>
      </c>
      <c r="D238" s="212" t="str">
        <f ca="1"/>
        <v>C6</v>
      </c>
      <c r="E238" s="212" t="str">
        <f ca="1"/>
        <v>Khapli wheat</v>
      </c>
      <c r="F238" s="219">
        <f ca="1"/>
        <v>2550</v>
      </c>
      <c r="G238" s="219">
        <f ca="1"/>
        <v>15</v>
      </c>
      <c r="H238" s="219">
        <f ca="1"/>
        <v>12</v>
      </c>
      <c r="I238" s="219">
        <f ca="1"/>
        <v>4</v>
      </c>
      <c r="J238" s="219">
        <f ca="1"/>
        <v>207</v>
      </c>
      <c r="K238" s="219">
        <f ca="1"/>
        <v>223</v>
      </c>
      <c r="L238" s="219">
        <f ca="1"/>
        <v>2327</v>
      </c>
      <c r="M238" s="219">
        <f ca="1"/>
        <v>2</v>
      </c>
      <c r="N238" s="212" t="str">
        <f ca="1"/>
        <v>Day</v>
      </c>
      <c r="O238" s="220">
        <f ca="1"/>
        <v>0.91254901960784318</v>
      </c>
      <c r="P238" s="221">
        <f ca="1"/>
        <v>2550</v>
      </c>
      <c r="Q238" s="221">
        <f ca="1"/>
        <v>0</v>
      </c>
    </row>
    <row r="239" spans="1:17" ht="18" customHeight="1">
      <c r="A239" s="212" t="str">
        <f ca="1"/>
        <v>C6 APRIL</v>
      </c>
      <c r="B239" s="218">
        <f ca="1"/>
        <v>46130</v>
      </c>
      <c r="C239" s="212" t="str">
        <f ca="1"/>
        <v>Chakki1,2,3</v>
      </c>
      <c r="D239" s="212" t="str">
        <f ca="1"/>
        <v>C6</v>
      </c>
      <c r="E239" s="212" t="str">
        <f ca="1"/>
        <v>Khapli wheat</v>
      </c>
      <c r="F239" s="219">
        <f ca="1"/>
        <v>2300</v>
      </c>
      <c r="G239" s="219">
        <f ca="1"/>
        <v>0</v>
      </c>
      <c r="H239" s="219">
        <f ca="1"/>
        <v>10</v>
      </c>
      <c r="I239" s="219">
        <f ca="1"/>
        <v>2</v>
      </c>
      <c r="J239" s="219">
        <f ca="1"/>
        <v>177</v>
      </c>
      <c r="K239" s="219">
        <f ca="1"/>
        <v>189</v>
      </c>
      <c r="L239" s="219">
        <f ca="1"/>
        <v>2111</v>
      </c>
      <c r="M239" s="219">
        <f ca="1"/>
        <v>3</v>
      </c>
      <c r="N239" s="212" t="str">
        <f ca="1"/>
        <v>Night</v>
      </c>
      <c r="O239" s="220">
        <f ca="1"/>
        <v>0.9178260869565219</v>
      </c>
      <c r="P239" s="221">
        <f ca="1"/>
        <v>2300</v>
      </c>
      <c r="Q239" s="221">
        <f ca="1"/>
        <v>0</v>
      </c>
    </row>
    <row r="240" spans="1:17" ht="18" customHeight="1">
      <c r="A240" s="212" t="str">
        <f ca="1"/>
        <v>C6 APRIL</v>
      </c>
      <c r="B240" s="218">
        <f ca="1"/>
        <v>46128</v>
      </c>
      <c r="C240" s="212" t="str">
        <f ca="1"/>
        <v>Chakki 1&amp;2</v>
      </c>
      <c r="D240" s="212" t="str">
        <f ca="1"/>
        <v>C6</v>
      </c>
      <c r="E240" s="212" t="str">
        <f ca="1"/>
        <v>Protein Atta</v>
      </c>
      <c r="F240" s="219">
        <f ca="1"/>
        <v>2425</v>
      </c>
      <c r="G240" s="219">
        <f ca="1"/>
        <v>15</v>
      </c>
      <c r="H240" s="219">
        <f ca="1"/>
        <v>18</v>
      </c>
      <c r="I240" s="219">
        <f ca="1"/>
        <v>3</v>
      </c>
      <c r="J240" s="219">
        <f ca="1"/>
        <v>124</v>
      </c>
      <c r="K240" s="219">
        <f ca="1"/>
        <v>145</v>
      </c>
      <c r="L240" s="219">
        <f ca="1"/>
        <v>2280</v>
      </c>
      <c r="M240" s="219">
        <f ca="1"/>
        <v>3</v>
      </c>
      <c r="N240" s="212" t="str">
        <f ca="1"/>
        <v>Day</v>
      </c>
      <c r="O240" s="220">
        <f ca="1"/>
        <v>0.94020618556701019</v>
      </c>
      <c r="P240" s="221">
        <f ca="1"/>
        <v>2425</v>
      </c>
      <c r="Q240" s="221">
        <f ca="1"/>
        <v>0</v>
      </c>
    </row>
    <row r="241" spans="1:17" ht="18" customHeight="1">
      <c r="A241" s="212" t="str">
        <f ca="1"/>
        <v>C6 APRIL</v>
      </c>
      <c r="B241" s="218">
        <f ca="1"/>
        <v>46132</v>
      </c>
      <c r="C241" s="212" t="str">
        <f ca="1"/>
        <v>Chakki 1&amp;2</v>
      </c>
      <c r="D241" s="212" t="str">
        <f ca="1"/>
        <v>C6</v>
      </c>
      <c r="E241" s="212" t="str">
        <f ca="1"/>
        <v>Protein Atta</v>
      </c>
      <c r="F241" s="219">
        <f ca="1"/>
        <v>970</v>
      </c>
      <c r="G241" s="219">
        <f ca="1"/>
        <v>6</v>
      </c>
      <c r="H241" s="219">
        <f ca="1"/>
        <v>3</v>
      </c>
      <c r="I241" s="219">
        <f ca="1"/>
        <v>1</v>
      </c>
      <c r="J241" s="219">
        <f ca="1"/>
        <v>66</v>
      </c>
      <c r="K241" s="219">
        <f ca="1"/>
        <v>70</v>
      </c>
      <c r="L241" s="219">
        <f ca="1"/>
        <v>900</v>
      </c>
      <c r="M241" s="219">
        <f ca="1"/>
        <v>3</v>
      </c>
      <c r="N241" s="212" t="str">
        <f ca="1"/>
        <v>Night</v>
      </c>
      <c r="O241" s="220">
        <f ca="1"/>
        <v>0.92783505154639168</v>
      </c>
      <c r="P241" s="221">
        <f ca="1"/>
        <v>970</v>
      </c>
      <c r="Q241" s="221">
        <f ca="1"/>
        <v>0</v>
      </c>
    </row>
    <row r="242" spans="1:17" ht="18" customHeight="1">
      <c r="A242" s="212" t="str">
        <f ca="1"/>
        <v>C6 APRIL</v>
      </c>
      <c r="B242" s="218">
        <f ca="1"/>
        <v>46133</v>
      </c>
      <c r="C242" s="212" t="str">
        <f ca="1"/>
        <v>Chakki1,2,3</v>
      </c>
      <c r="D242" s="212" t="str">
        <f ca="1"/>
        <v>C6</v>
      </c>
      <c r="E242" s="212" t="str">
        <f ca="1"/>
        <v>Multigrains</v>
      </c>
      <c r="F242" s="219">
        <f ca="1"/>
        <v>2550</v>
      </c>
      <c r="G242" s="219">
        <f ca="1"/>
        <v>24</v>
      </c>
      <c r="H242" s="219">
        <f ca="1"/>
        <v>18</v>
      </c>
      <c r="I242" s="219">
        <f ca="1"/>
        <v>2</v>
      </c>
      <c r="J242" s="219">
        <f ca="1"/>
        <v>180</v>
      </c>
      <c r="K242" s="219">
        <f ca="1"/>
        <v>200</v>
      </c>
      <c r="L242" s="219">
        <f ca="1"/>
        <v>2350</v>
      </c>
      <c r="M242" s="219">
        <f ca="1"/>
        <v>3</v>
      </c>
      <c r="N242" s="212" t="str">
        <f ca="1"/>
        <v>Night</v>
      </c>
      <c r="O242" s="220">
        <f ca="1"/>
        <v>0.92156862745098034</v>
      </c>
      <c r="P242" s="221">
        <f ca="1"/>
        <v>2550</v>
      </c>
      <c r="Q242" s="221">
        <f ca="1"/>
        <v>0</v>
      </c>
    </row>
    <row r="243" spans="1:17" ht="18" customHeight="1">
      <c r="A243" s="212" t="str">
        <f ca="1"/>
        <v>C6 APRIL</v>
      </c>
      <c r="B243" s="218">
        <f ca="1"/>
        <v>46133</v>
      </c>
      <c r="C243" s="212" t="str">
        <f ca="1"/>
        <v>Chakki1,2,3</v>
      </c>
      <c r="D243" s="212" t="str">
        <f ca="1"/>
        <v>C6</v>
      </c>
      <c r="E243" s="212" t="str">
        <f ca="1"/>
        <v>Multigrains</v>
      </c>
      <c r="F243" s="219">
        <f ca="1"/>
        <v>2100</v>
      </c>
      <c r="G243" s="219">
        <f ca="1"/>
        <v>17</v>
      </c>
      <c r="H243" s="219">
        <f ca="1"/>
        <v>18</v>
      </c>
      <c r="I243" s="219">
        <f ca="1"/>
        <v>3</v>
      </c>
      <c r="J243" s="219">
        <f ca="1"/>
        <v>149</v>
      </c>
      <c r="K243" s="219">
        <f ca="1"/>
        <v>170</v>
      </c>
      <c r="L243" s="219">
        <f ca="1"/>
        <v>1930</v>
      </c>
      <c r="M243" s="219">
        <f ca="1"/>
        <v>0</v>
      </c>
      <c r="N243" s="212">
        <f ca="1"/>
        <v>0</v>
      </c>
      <c r="O243" s="220">
        <f ca="1"/>
        <v>0.919047619047619</v>
      </c>
      <c r="P243" s="221">
        <f ca="1"/>
        <v>2100</v>
      </c>
      <c r="Q243" s="221">
        <f ca="1"/>
        <v>0</v>
      </c>
    </row>
    <row r="244" spans="1:17" ht="18" customHeight="1">
      <c r="A244" s="212" t="str">
        <f ca="1"/>
        <v>C6 APRIL</v>
      </c>
      <c r="B244" s="218">
        <f ca="1"/>
        <v>46134</v>
      </c>
      <c r="C244" s="212" t="str">
        <f ca="1"/>
        <v>Chakki1,2,3</v>
      </c>
      <c r="D244" s="212" t="str">
        <f ca="1"/>
        <v>C6</v>
      </c>
      <c r="E244" s="212" t="str">
        <f ca="1"/>
        <v>Multigrains</v>
      </c>
      <c r="F244" s="219">
        <f ca="1"/>
        <v>3200</v>
      </c>
      <c r="G244" s="219">
        <f ca="1"/>
        <v>27</v>
      </c>
      <c r="H244" s="219">
        <f ca="1"/>
        <v>51</v>
      </c>
      <c r="I244" s="219">
        <f ca="1"/>
        <v>3</v>
      </c>
      <c r="J244" s="219">
        <f ca="1"/>
        <v>196</v>
      </c>
      <c r="K244" s="219">
        <f ca="1"/>
        <v>250</v>
      </c>
      <c r="L244" s="219">
        <f ca="1"/>
        <v>2950</v>
      </c>
      <c r="M244" s="219">
        <f ca="1"/>
        <v>3</v>
      </c>
      <c r="N244" s="212" t="str">
        <f ca="1"/>
        <v>Day</v>
      </c>
      <c r="O244" s="220">
        <f ca="1"/>
        <v>0.921875</v>
      </c>
      <c r="P244" s="221">
        <f ca="1"/>
        <v>3200</v>
      </c>
      <c r="Q244" s="221">
        <f ca="1"/>
        <v>0</v>
      </c>
    </row>
    <row r="245" spans="1:17" ht="18" customHeight="1">
      <c r="A245" s="212" t="str">
        <f ca="1"/>
        <v>C6 APRIL</v>
      </c>
      <c r="B245" s="218">
        <f ca="1"/>
        <v>46134</v>
      </c>
      <c r="C245" s="212" t="str">
        <f ca="1"/>
        <v>Chakki1,2,3</v>
      </c>
      <c r="D245" s="212" t="str">
        <f ca="1"/>
        <v>C6</v>
      </c>
      <c r="E245" s="212" t="str">
        <f ca="1"/>
        <v>Multigrains</v>
      </c>
      <c r="F245" s="219">
        <f ca="1"/>
        <v>2250</v>
      </c>
      <c r="G245" s="219">
        <f ca="1"/>
        <v>13</v>
      </c>
      <c r="H245" s="219">
        <f ca="1"/>
        <v>12</v>
      </c>
      <c r="I245" s="219">
        <f ca="1"/>
        <v>2</v>
      </c>
      <c r="J245" s="219">
        <f ca="1"/>
        <v>156</v>
      </c>
      <c r="K245" s="219">
        <f ca="1"/>
        <v>170</v>
      </c>
      <c r="L245" s="219">
        <f ca="1"/>
        <v>2080</v>
      </c>
      <c r="M245" s="219">
        <f ca="1"/>
        <v>3</v>
      </c>
      <c r="N245" s="212" t="str">
        <f ca="1"/>
        <v>Night</v>
      </c>
      <c r="O245" s="220">
        <f ca="1"/>
        <v>0.9244444444444444</v>
      </c>
      <c r="P245" s="221">
        <f ca="1"/>
        <v>2250</v>
      </c>
      <c r="Q245" s="221">
        <f ca="1"/>
        <v>0</v>
      </c>
    </row>
    <row r="246" spans="1:17" ht="18" customHeight="1">
      <c r="A246" s="212" t="str">
        <f ca="1"/>
        <v>C6 APRIL</v>
      </c>
      <c r="B246" s="218">
        <f ca="1"/>
        <v>46135</v>
      </c>
      <c r="C246" s="212" t="str">
        <f ca="1"/>
        <v>Chakki1,2,3</v>
      </c>
      <c r="D246" s="212" t="str">
        <f ca="1"/>
        <v>C6</v>
      </c>
      <c r="E246" s="212" t="str">
        <f ca="1"/>
        <v>Multigrains</v>
      </c>
      <c r="F246" s="219">
        <f ca="1"/>
        <v>2000</v>
      </c>
      <c r="G246" s="219">
        <f ca="1"/>
        <v>11</v>
      </c>
      <c r="H246" s="219">
        <f ca="1"/>
        <v>10</v>
      </c>
      <c r="I246" s="219">
        <f ca="1"/>
        <v>2</v>
      </c>
      <c r="J246" s="219">
        <f ca="1"/>
        <v>160</v>
      </c>
      <c r="K246" s="219">
        <f ca="1"/>
        <v>172</v>
      </c>
      <c r="L246" s="219">
        <f ca="1"/>
        <v>1828</v>
      </c>
      <c r="M246" s="219">
        <f ca="1"/>
        <v>3</v>
      </c>
      <c r="N246" s="212" t="str">
        <f ca="1"/>
        <v>Day</v>
      </c>
      <c r="O246" s="220">
        <f ca="1"/>
        <v>0.91400000000000003</v>
      </c>
      <c r="P246" s="221">
        <f ca="1"/>
        <v>2000</v>
      </c>
      <c r="Q246" s="221">
        <f ca="1"/>
        <v>0</v>
      </c>
    </row>
    <row r="247" spans="1:17" ht="18" customHeight="1">
      <c r="A247" s="212" t="str">
        <f ca="1"/>
        <v>C6 APRIL</v>
      </c>
      <c r="B247" s="218">
        <f ca="1"/>
        <v>46135</v>
      </c>
      <c r="C247" s="212" t="str">
        <f ca="1"/>
        <v>Chakki1,2,3</v>
      </c>
      <c r="D247" s="212" t="str">
        <f ca="1"/>
        <v>C6</v>
      </c>
      <c r="E247" s="212" t="str">
        <f ca="1"/>
        <v>Multigrains</v>
      </c>
      <c r="F247" s="219">
        <f ca="1"/>
        <v>2000</v>
      </c>
      <c r="G247" s="219">
        <f ca="1"/>
        <v>10</v>
      </c>
      <c r="H247" s="219">
        <f ca="1"/>
        <v>17</v>
      </c>
      <c r="I247" s="219">
        <f ca="1"/>
        <v>2</v>
      </c>
      <c r="J247" s="219">
        <f ca="1"/>
        <v>131</v>
      </c>
      <c r="K247" s="219">
        <f ca="1"/>
        <v>150</v>
      </c>
      <c r="L247" s="219">
        <f ca="1"/>
        <v>1850</v>
      </c>
      <c r="M247" s="219">
        <f ca="1"/>
        <v>3</v>
      </c>
      <c r="N247" s="212" t="str">
        <f ca="1"/>
        <v>Night</v>
      </c>
      <c r="O247" s="220">
        <f ca="1"/>
        <v>0.92500000000000004</v>
      </c>
      <c r="P247" s="221">
        <f ca="1"/>
        <v>2000</v>
      </c>
      <c r="Q247" s="221">
        <f ca="1"/>
        <v>0</v>
      </c>
    </row>
    <row r="248" spans="1:17" ht="18" customHeight="1">
      <c r="A248" s="212" t="str">
        <f ca="1"/>
        <v>C6 APRIL</v>
      </c>
      <c r="B248" s="218">
        <f ca="1"/>
        <v>46135</v>
      </c>
      <c r="C248" s="212" t="str">
        <f ca="1"/>
        <v>Chakki1,2,3</v>
      </c>
      <c r="D248" s="212" t="str">
        <f ca="1"/>
        <v>C6</v>
      </c>
      <c r="E248" s="212" t="str">
        <f ca="1"/>
        <v>Protein Atta</v>
      </c>
      <c r="F248" s="219">
        <f ca="1"/>
        <v>1261</v>
      </c>
      <c r="G248" s="219">
        <f ca="1"/>
        <v>0</v>
      </c>
      <c r="H248" s="219">
        <f ca="1"/>
        <v>8</v>
      </c>
      <c r="I248" s="219">
        <f ca="1"/>
        <v>8</v>
      </c>
      <c r="J248" s="219">
        <f ca="1"/>
        <v>62</v>
      </c>
      <c r="K248" s="219">
        <f ca="1"/>
        <v>78</v>
      </c>
      <c r="L248" s="219">
        <f ca="1"/>
        <v>1183</v>
      </c>
      <c r="M248" s="219">
        <f ca="1"/>
        <v>3</v>
      </c>
      <c r="N248" s="212" t="str">
        <f ca="1"/>
        <v>Night</v>
      </c>
      <c r="O248" s="220">
        <f ca="1"/>
        <v>0.9381443298969071</v>
      </c>
      <c r="P248" s="221">
        <f ca="1"/>
        <v>1261</v>
      </c>
      <c r="Q248" s="221">
        <f ca="1"/>
        <v>0</v>
      </c>
    </row>
    <row r="249" spans="1:17" ht="18" customHeight="1">
      <c r="A249" s="212" t="str">
        <f ca="1"/>
        <v>C6 APRIL</v>
      </c>
      <c r="B249" s="218">
        <f ca="1"/>
        <v>46136</v>
      </c>
      <c r="C249" s="212" t="str">
        <f ca="1"/>
        <v>Chakki1,2,3</v>
      </c>
      <c r="D249" s="212" t="str">
        <f ca="1"/>
        <v>C6</v>
      </c>
      <c r="E249" s="212" t="str">
        <f ca="1"/>
        <v>Multigrains</v>
      </c>
      <c r="F249" s="219">
        <f ca="1"/>
        <v>3100</v>
      </c>
      <c r="G249" s="219">
        <f ca="1"/>
        <v>15</v>
      </c>
      <c r="H249" s="219">
        <f ca="1"/>
        <v>55</v>
      </c>
      <c r="I249" s="219">
        <f ca="1"/>
        <v>2</v>
      </c>
      <c r="J249" s="219">
        <f ca="1"/>
        <v>173</v>
      </c>
      <c r="K249" s="219">
        <f ca="1"/>
        <v>230</v>
      </c>
      <c r="L249" s="219">
        <f ca="1"/>
        <v>2870</v>
      </c>
      <c r="M249" s="219">
        <f ca="1"/>
        <v>3</v>
      </c>
      <c r="N249" s="212" t="str">
        <f ca="1"/>
        <v>Day</v>
      </c>
      <c r="O249" s="220">
        <f ca="1"/>
        <v>0.9258064516129032</v>
      </c>
      <c r="P249" s="221">
        <f ca="1"/>
        <v>3100</v>
      </c>
      <c r="Q249" s="221">
        <f ca="1"/>
        <v>0</v>
      </c>
    </row>
    <row r="250" spans="1:17" ht="18" customHeight="1">
      <c r="A250" s="212" t="str">
        <f ca="1"/>
        <v>C6 APRIL</v>
      </c>
      <c r="B250" s="218">
        <f ca="1"/>
        <v>46136</v>
      </c>
      <c r="C250" s="212" t="str">
        <f ca="1"/>
        <v>Chakki1,2,3</v>
      </c>
      <c r="D250" s="212" t="str">
        <f ca="1"/>
        <v>C6</v>
      </c>
      <c r="E250" s="212" t="str">
        <f ca="1"/>
        <v>Multigrains</v>
      </c>
      <c r="F250" s="219">
        <f ca="1"/>
        <v>2850</v>
      </c>
      <c r="G250" s="219">
        <f ca="1"/>
        <v>17</v>
      </c>
      <c r="H250" s="219">
        <f ca="1"/>
        <v>48</v>
      </c>
      <c r="I250" s="219">
        <f ca="1"/>
        <v>2</v>
      </c>
      <c r="J250" s="219">
        <f ca="1"/>
        <v>170</v>
      </c>
      <c r="K250" s="219">
        <f ca="1"/>
        <v>220</v>
      </c>
      <c r="L250" s="219">
        <f ca="1"/>
        <v>2630</v>
      </c>
      <c r="M250" s="219">
        <f ca="1"/>
        <v>3</v>
      </c>
      <c r="N250" s="212" t="str">
        <f ca="1"/>
        <v>Night</v>
      </c>
      <c r="O250" s="220">
        <f ca="1"/>
        <v>0.92280701754385963</v>
      </c>
      <c r="P250" s="221">
        <f ca="1"/>
        <v>2850</v>
      </c>
      <c r="Q250" s="221">
        <f ca="1"/>
        <v>0</v>
      </c>
    </row>
    <row r="251" spans="1:17" ht="18" customHeight="1">
      <c r="A251" s="212" t="str">
        <f ca="1"/>
        <v>C6 APRIL</v>
      </c>
      <c r="B251" s="218">
        <f ca="1"/>
        <v>46139</v>
      </c>
      <c r="C251" s="212" t="str">
        <f ca="1"/>
        <v>Chakki1,2,3</v>
      </c>
      <c r="D251" s="212" t="str">
        <f ca="1"/>
        <v>C6</v>
      </c>
      <c r="E251" s="212" t="str">
        <f ca="1"/>
        <v>Multigrains</v>
      </c>
      <c r="F251" s="219">
        <f ca="1"/>
        <v>2100</v>
      </c>
      <c r="G251" s="219">
        <f ca="1"/>
        <v>14</v>
      </c>
      <c r="H251" s="219">
        <f ca="1"/>
        <v>24</v>
      </c>
      <c r="I251" s="219">
        <f ca="1"/>
        <v>2</v>
      </c>
      <c r="J251" s="219">
        <f ca="1"/>
        <v>134</v>
      </c>
      <c r="K251" s="219">
        <f ca="1"/>
        <v>160</v>
      </c>
      <c r="L251" s="219">
        <f ca="1"/>
        <v>1940</v>
      </c>
      <c r="M251" s="219">
        <f ca="1"/>
        <v>3</v>
      </c>
      <c r="N251" s="212" t="str">
        <f ca="1"/>
        <v>Day</v>
      </c>
      <c r="O251" s="220">
        <f ca="1"/>
        <v>0.92380952380952375</v>
      </c>
      <c r="P251" s="221">
        <f ca="1"/>
        <v>2100</v>
      </c>
      <c r="Q251" s="221">
        <f ca="1"/>
        <v>0</v>
      </c>
    </row>
    <row r="252" spans="1:17" ht="18" customHeight="1">
      <c r="A252" s="212" t="str">
        <f ca="1"/>
        <v>C6 APRIL</v>
      </c>
      <c r="B252" s="218">
        <f ca="1"/>
        <v>46140</v>
      </c>
      <c r="C252" s="212" t="str">
        <f ca="1"/>
        <v>Chakki1,2,3</v>
      </c>
      <c r="D252" s="212" t="str">
        <f ca="1"/>
        <v>C6</v>
      </c>
      <c r="E252" s="212" t="str">
        <f ca="1"/>
        <v xml:space="preserve">Bajra </v>
      </c>
      <c r="F252" s="219">
        <f ca="1"/>
        <v>535</v>
      </c>
      <c r="G252" s="219">
        <f ca="1"/>
        <v>1</v>
      </c>
      <c r="H252" s="219">
        <f ca="1"/>
        <v>3</v>
      </c>
      <c r="I252" s="219">
        <f ca="1"/>
        <v>10</v>
      </c>
      <c r="J252" s="219">
        <f ca="1"/>
        <v>37</v>
      </c>
      <c r="K252" s="219">
        <f ca="1"/>
        <v>50</v>
      </c>
      <c r="L252" s="219">
        <f ca="1"/>
        <v>485</v>
      </c>
      <c r="M252" s="219">
        <f ca="1"/>
        <v>3</v>
      </c>
      <c r="N252" s="212" t="str">
        <f ca="1"/>
        <v>Day</v>
      </c>
      <c r="O252" s="220">
        <f ca="1"/>
        <v>0.90654205607476646</v>
      </c>
      <c r="P252" s="221">
        <f ca="1"/>
        <v>535</v>
      </c>
      <c r="Q252" s="221">
        <f ca="1"/>
        <v>0</v>
      </c>
    </row>
    <row r="253" spans="1:17" ht="18" customHeight="1">
      <c r="A253" s="212" t="str">
        <f ca="1"/>
        <v>C6 APRIL</v>
      </c>
      <c r="B253" s="218">
        <f ca="1"/>
        <v>46141</v>
      </c>
      <c r="C253" s="212" t="str">
        <f ca="1"/>
        <v>Chakki1,2,3</v>
      </c>
      <c r="D253" s="212" t="str">
        <f ca="1"/>
        <v>C6</v>
      </c>
      <c r="E253" s="212" t="str">
        <f ca="1"/>
        <v>Jowar</v>
      </c>
      <c r="F253" s="219">
        <f ca="1"/>
        <v>2870</v>
      </c>
      <c r="G253" s="219">
        <f ca="1"/>
        <v>14</v>
      </c>
      <c r="H253" s="219">
        <f ca="1"/>
        <v>39</v>
      </c>
      <c r="I253" s="219">
        <f ca="1"/>
        <v>2</v>
      </c>
      <c r="J253" s="219">
        <f ca="1"/>
        <v>193</v>
      </c>
      <c r="K253" s="219">
        <f ca="1"/>
        <v>234</v>
      </c>
      <c r="L253" s="219">
        <f ca="1"/>
        <v>2636</v>
      </c>
      <c r="M253" s="219">
        <f ca="1"/>
        <v>3</v>
      </c>
      <c r="N253" s="212" t="str">
        <f ca="1"/>
        <v>Night</v>
      </c>
      <c r="O253" s="220">
        <f ca="1"/>
        <v>0.91846689895470379</v>
      </c>
      <c r="P253" s="221">
        <f ca="1"/>
        <v>2870</v>
      </c>
      <c r="Q253" s="221">
        <f ca="1"/>
        <v>0</v>
      </c>
    </row>
    <row r="254" spans="1:17" ht="18" customHeight="1">
      <c r="A254" s="212" t="str">
        <f ca="1"/>
        <v>C6 APRIL</v>
      </c>
      <c r="B254" s="218">
        <f ca="1"/>
        <v>46142</v>
      </c>
      <c r="C254" s="212" t="str">
        <f ca="1"/>
        <v>Chakki1,2,3</v>
      </c>
      <c r="D254" s="212" t="str">
        <f ca="1"/>
        <v>C6</v>
      </c>
      <c r="E254" s="212" t="str">
        <f ca="1"/>
        <v xml:space="preserve">Bajra </v>
      </c>
      <c r="F254" s="219">
        <f ca="1"/>
        <v>225</v>
      </c>
      <c r="G254" s="219">
        <f ca="1"/>
        <v>1</v>
      </c>
      <c r="H254" s="219">
        <f ca="1"/>
        <v>8</v>
      </c>
      <c r="I254" s="219">
        <f ca="1"/>
        <v>2</v>
      </c>
      <c r="J254" s="219">
        <f ca="1"/>
        <v>11</v>
      </c>
      <c r="K254" s="219">
        <f ca="1"/>
        <v>21</v>
      </c>
      <c r="L254" s="219">
        <f ca="1"/>
        <v>204</v>
      </c>
      <c r="M254" s="219">
        <f ca="1"/>
        <v>3</v>
      </c>
      <c r="N254" s="212" t="str">
        <f ca="1"/>
        <v>Day</v>
      </c>
      <c r="O254" s="220">
        <f ca="1"/>
        <v>0.90666666666666662</v>
      </c>
      <c r="P254" s="221">
        <f ca="1"/>
        <v>225</v>
      </c>
      <c r="Q254" s="221">
        <f ca="1"/>
        <v>0</v>
      </c>
    </row>
    <row r="255" spans="1:17" ht="18" customHeight="1">
      <c r="A255" s="212" t="str">
        <f ca="1"/>
        <v>C6 APRIL</v>
      </c>
      <c r="B255" s="218">
        <f ca="1"/>
        <v>46142</v>
      </c>
      <c r="C255" s="212" t="str">
        <f ca="1"/>
        <v>Chakki1,2,3</v>
      </c>
      <c r="D255" s="212" t="str">
        <f ca="1"/>
        <v>C6</v>
      </c>
      <c r="E255" s="212" t="str">
        <f ca="1"/>
        <v>Jowar</v>
      </c>
      <c r="F255" s="219">
        <f ca="1"/>
        <v>340</v>
      </c>
      <c r="G255" s="219">
        <f ca="1"/>
        <v>1</v>
      </c>
      <c r="H255" s="219">
        <f ca="1"/>
        <v>15</v>
      </c>
      <c r="I255" s="219">
        <f ca="1"/>
        <v>2</v>
      </c>
      <c r="J255" s="219">
        <f ca="1"/>
        <v>18</v>
      </c>
      <c r="K255" s="219">
        <f ca="1"/>
        <v>36</v>
      </c>
      <c r="L255" s="219">
        <f ca="1"/>
        <v>305</v>
      </c>
      <c r="M255" s="219">
        <f ca="1"/>
        <v>3</v>
      </c>
      <c r="N255" s="212" t="str">
        <f ca="1"/>
        <v>Day</v>
      </c>
      <c r="O255" s="220">
        <f ca="1"/>
        <v>0.89705882352941169</v>
      </c>
      <c r="P255" s="221">
        <f ca="1"/>
        <v>341</v>
      </c>
      <c r="Q255" s="221">
        <f ca="1"/>
        <v>-1</v>
      </c>
    </row>
    <row r="256" spans="1:17" ht="18" customHeight="1">
      <c r="A256" s="212" t="str">
        <f ca="1"/>
        <v>C6 APRIL</v>
      </c>
      <c r="B256" s="218">
        <f ca="1"/>
        <v>46142</v>
      </c>
      <c r="C256" s="212" t="str">
        <f ca="1"/>
        <v>Chakki1,2,3</v>
      </c>
      <c r="D256" s="212" t="str">
        <f ca="1"/>
        <v>C6</v>
      </c>
      <c r="E256" s="212" t="str">
        <f ca="1"/>
        <v>Jowar</v>
      </c>
      <c r="F256" s="219">
        <f ca="1"/>
        <v>2940</v>
      </c>
      <c r="G256" s="219">
        <f ca="1"/>
        <v>9</v>
      </c>
      <c r="H256" s="219">
        <f ca="1"/>
        <v>31</v>
      </c>
      <c r="I256" s="219">
        <f ca="1"/>
        <v>2</v>
      </c>
      <c r="J256" s="219">
        <f ca="1"/>
        <v>173</v>
      </c>
      <c r="K256" s="219">
        <f ca="1"/>
        <v>215</v>
      </c>
      <c r="L256" s="219">
        <f ca="1"/>
        <v>2725</v>
      </c>
      <c r="M256" s="219">
        <f ca="1"/>
        <v>3</v>
      </c>
      <c r="N256" s="212" t="str">
        <f ca="1"/>
        <v>NIGHT</v>
      </c>
      <c r="O256" s="220">
        <f ca="1"/>
        <v>0.9268707482993197</v>
      </c>
      <c r="P256" s="221">
        <f ca="1"/>
        <v>2940</v>
      </c>
      <c r="Q256" s="221">
        <f ca="1"/>
        <v>0</v>
      </c>
    </row>
    <row r="257" spans="1:17" ht="18" customHeight="1">
      <c r="A257" s="212" t="str">
        <f ca="1"/>
        <v>C39 APRIL</v>
      </c>
      <c r="B257" s="218">
        <f ca="1"/>
        <v>46113</v>
      </c>
      <c r="C257" s="212" t="str">
        <f ca="1"/>
        <v>1,2,3&amp;4</v>
      </c>
      <c r="D257" s="212" t="str">
        <f ca="1"/>
        <v>C39</v>
      </c>
      <c r="E257" s="212" t="str">
        <f ca="1"/>
        <v>multigrain</v>
      </c>
      <c r="F257" s="219">
        <f ca="1"/>
        <v>7600</v>
      </c>
      <c r="G257" s="219">
        <f ca="1"/>
        <v>7</v>
      </c>
      <c r="H257" s="219">
        <f ca="1"/>
        <v>463</v>
      </c>
      <c r="I257" s="219">
        <f ca="1"/>
        <v>12</v>
      </c>
      <c r="J257" s="219">
        <f ca="1"/>
        <v>272</v>
      </c>
      <c r="K257" s="219">
        <f ca="1"/>
        <v>754</v>
      </c>
      <c r="L257" s="219">
        <f ca="1"/>
        <v>6846</v>
      </c>
      <c r="M257" s="219">
        <f ca="1"/>
        <v>5</v>
      </c>
      <c r="N257" s="212" t="str">
        <f ca="1"/>
        <v>Day</v>
      </c>
      <c r="O257" s="220">
        <f ca="1"/>
        <v>0.90078947368421036</v>
      </c>
      <c r="P257" s="221">
        <f ca="1"/>
        <v>7600</v>
      </c>
      <c r="Q257" s="221">
        <f ca="1"/>
        <v>0</v>
      </c>
    </row>
    <row r="258" spans="1:17" ht="18" customHeight="1">
      <c r="A258" s="212" t="str">
        <f ca="1"/>
        <v>C39 APRIL</v>
      </c>
      <c r="B258" s="218">
        <f ca="1"/>
        <v>46114</v>
      </c>
      <c r="C258" s="212" t="str">
        <f ca="1"/>
        <v>1,2,3&amp;4</v>
      </c>
      <c r="D258" s="212" t="str">
        <f ca="1"/>
        <v>C39</v>
      </c>
      <c r="E258" s="212" t="str">
        <f ca="1"/>
        <v>multigrain</v>
      </c>
      <c r="F258" s="219">
        <f ca="1"/>
        <v>6500</v>
      </c>
      <c r="G258" s="219">
        <f ca="1"/>
        <v>8</v>
      </c>
      <c r="H258" s="219">
        <f ca="1"/>
        <v>420</v>
      </c>
      <c r="I258" s="219">
        <f ca="1"/>
        <v>16</v>
      </c>
      <c r="J258" s="219">
        <f ca="1"/>
        <v>189</v>
      </c>
      <c r="K258" s="219">
        <f ca="1"/>
        <v>633</v>
      </c>
      <c r="L258" s="219">
        <f ca="1"/>
        <v>5867</v>
      </c>
      <c r="M258" s="219">
        <f ca="1"/>
        <v>5</v>
      </c>
      <c r="N258" s="212" t="str">
        <f ca="1"/>
        <v>Day</v>
      </c>
      <c r="O258" s="220">
        <f ca="1"/>
        <v>0.9026153846153846</v>
      </c>
      <c r="P258" s="221">
        <f ca="1"/>
        <v>6500</v>
      </c>
      <c r="Q258" s="221">
        <f ca="1"/>
        <v>0</v>
      </c>
    </row>
    <row r="259" spans="1:17" ht="18" customHeight="1">
      <c r="A259" s="212" t="str">
        <f ca="1"/>
        <v>C39 APRIL</v>
      </c>
      <c r="B259" s="218">
        <f ca="1"/>
        <v>46115</v>
      </c>
      <c r="C259" s="212" t="str">
        <f ca="1"/>
        <v>123&amp;4</v>
      </c>
      <c r="D259" s="212" t="str">
        <f ca="1"/>
        <v>C39</v>
      </c>
      <c r="E259" s="212" t="str">
        <f ca="1"/>
        <v>multigrain</v>
      </c>
      <c r="F259" s="219">
        <f ca="1"/>
        <v>6800</v>
      </c>
      <c r="G259" s="219">
        <f ca="1"/>
        <v>9</v>
      </c>
      <c r="H259" s="219">
        <f ca="1"/>
        <v>310</v>
      </c>
      <c r="I259" s="219">
        <f ca="1"/>
        <v>22</v>
      </c>
      <c r="J259" s="219">
        <f ca="1"/>
        <v>119</v>
      </c>
      <c r="K259" s="219">
        <f ca="1"/>
        <v>560</v>
      </c>
      <c r="L259" s="219">
        <f ca="1"/>
        <v>6340</v>
      </c>
      <c r="M259" s="219">
        <f ca="1"/>
        <v>5</v>
      </c>
      <c r="N259" s="212" t="str">
        <f ca="1"/>
        <v>Day</v>
      </c>
      <c r="O259" s="220">
        <f ca="1"/>
        <v>0.93235294117647061</v>
      </c>
      <c r="P259" s="221">
        <f ca="1"/>
        <v>6800</v>
      </c>
      <c r="Q259" s="221">
        <f ca="1"/>
        <v>0</v>
      </c>
    </row>
    <row r="260" spans="1:17" ht="18" customHeight="1">
      <c r="A260" s="212" t="str">
        <f ca="1"/>
        <v>C39 APRIL</v>
      </c>
      <c r="B260" s="218">
        <f ca="1"/>
        <v>46116</v>
      </c>
      <c r="C260" s="212" t="str">
        <f ca="1"/>
        <v>123&amp;4</v>
      </c>
      <c r="D260" s="212" t="str">
        <f ca="1"/>
        <v>C39</v>
      </c>
      <c r="E260" s="212" t="str">
        <f ca="1"/>
        <v>multigrain</v>
      </c>
      <c r="F260" s="219">
        <f ca="1"/>
        <v>4750</v>
      </c>
      <c r="G260" s="219">
        <f ca="1"/>
        <v>6</v>
      </c>
      <c r="H260" s="219">
        <f ca="1"/>
        <v>300</v>
      </c>
      <c r="I260" s="219">
        <f ca="1"/>
        <v>18</v>
      </c>
      <c r="J260" s="219">
        <f ca="1"/>
        <v>91</v>
      </c>
      <c r="K260" s="219">
        <f ca="1"/>
        <v>415</v>
      </c>
      <c r="L260" s="219">
        <f ca="1"/>
        <v>4335</v>
      </c>
      <c r="M260" s="219">
        <f ca="1"/>
        <v>5</v>
      </c>
      <c r="N260" s="212" t="str">
        <f ca="1"/>
        <v>Day</v>
      </c>
      <c r="O260" s="220">
        <f ca="1"/>
        <v>0.91263157894736846</v>
      </c>
      <c r="P260" s="221">
        <f ca="1"/>
        <v>4750</v>
      </c>
      <c r="Q260" s="221">
        <f ca="1"/>
        <v>0</v>
      </c>
    </row>
    <row r="261" spans="1:17" ht="18" customHeight="1">
      <c r="A261" s="212" t="str">
        <f ca="1"/>
        <v>C39 APRIL</v>
      </c>
      <c r="B261" s="218">
        <f ca="1"/>
        <v>46117</v>
      </c>
      <c r="C261" s="212" t="str">
        <f ca="1"/>
        <v>123&amp;4</v>
      </c>
      <c r="D261" s="212" t="str">
        <f ca="1"/>
        <v>C39</v>
      </c>
      <c r="E261" s="212" t="str">
        <f ca="1"/>
        <v>multigrain</v>
      </c>
      <c r="F261" s="219">
        <f ca="1"/>
        <v>5500</v>
      </c>
      <c r="G261" s="219">
        <f ca="1"/>
        <v>6</v>
      </c>
      <c r="H261" s="219">
        <f ca="1"/>
        <v>280</v>
      </c>
      <c r="I261" s="219">
        <f ca="1"/>
        <v>18</v>
      </c>
      <c r="J261" s="219">
        <f ca="1"/>
        <v>96</v>
      </c>
      <c r="K261" s="219">
        <f ca="1"/>
        <v>400</v>
      </c>
      <c r="L261" s="219">
        <f ca="1"/>
        <v>5100</v>
      </c>
      <c r="M261" s="219">
        <f ca="1"/>
        <v>5</v>
      </c>
      <c r="N261" s="212" t="str">
        <f ca="1"/>
        <v>Day</v>
      </c>
      <c r="O261" s="220">
        <f ca="1"/>
        <v>0.92727272727272725</v>
      </c>
      <c r="P261" s="221">
        <f ca="1"/>
        <v>5500</v>
      </c>
      <c r="Q261" s="221">
        <f ca="1"/>
        <v>0</v>
      </c>
    </row>
    <row r="262" spans="1:17" ht="18" customHeight="1">
      <c r="A262" s="212" t="str">
        <f ca="1"/>
        <v>C39 APRIL</v>
      </c>
      <c r="B262" s="218">
        <f ca="1"/>
        <v>46118</v>
      </c>
      <c r="C262" s="212" t="str">
        <f ca="1"/>
        <v>123&amp;4</v>
      </c>
      <c r="D262" s="212" t="str">
        <f ca="1"/>
        <v>C39</v>
      </c>
      <c r="E262" s="212" t="str">
        <f ca="1"/>
        <v>multigrain</v>
      </c>
      <c r="F262" s="219">
        <f ca="1"/>
        <v>5000</v>
      </c>
      <c r="G262" s="219">
        <f ca="1"/>
        <v>6</v>
      </c>
      <c r="H262" s="219">
        <f ca="1"/>
        <v>240</v>
      </c>
      <c r="I262" s="219">
        <f ca="1"/>
        <v>22</v>
      </c>
      <c r="J262" s="219">
        <f ca="1"/>
        <v>82</v>
      </c>
      <c r="K262" s="219">
        <f ca="1"/>
        <v>350</v>
      </c>
      <c r="L262" s="219">
        <f ca="1"/>
        <v>4650</v>
      </c>
      <c r="M262" s="219">
        <f ca="1"/>
        <v>6</v>
      </c>
      <c r="N262" s="212" t="str">
        <f ca="1"/>
        <v>Day</v>
      </c>
      <c r="O262" s="220">
        <f ca="1"/>
        <v>0.93</v>
      </c>
      <c r="P262" s="221">
        <f ca="1"/>
        <v>5000</v>
      </c>
      <c r="Q262" s="221">
        <f ca="1"/>
        <v>0</v>
      </c>
    </row>
    <row r="263" spans="1:17" ht="18" customHeight="1">
      <c r="A263" s="212" t="str">
        <f ca="1"/>
        <v>C39 APRIL</v>
      </c>
      <c r="B263" s="218">
        <f ca="1"/>
        <v>46119</v>
      </c>
      <c r="C263" s="212" t="str">
        <f ca="1"/>
        <v>123&amp;4</v>
      </c>
      <c r="D263" s="212" t="str">
        <f ca="1"/>
        <v>C39</v>
      </c>
      <c r="E263" s="212" t="str">
        <f ca="1"/>
        <v>multigrain</v>
      </c>
      <c r="F263" s="219">
        <f ca="1"/>
        <v>4650</v>
      </c>
      <c r="G263" s="219">
        <f ca="1"/>
        <v>9</v>
      </c>
      <c r="H263" s="219">
        <f ca="1"/>
        <v>160</v>
      </c>
      <c r="I263" s="219">
        <f ca="1"/>
        <v>10</v>
      </c>
      <c r="J263" s="219">
        <f ca="1"/>
        <v>141</v>
      </c>
      <c r="K263" s="219">
        <f ca="1"/>
        <v>320</v>
      </c>
      <c r="L263" s="219">
        <f ca="1"/>
        <v>4330</v>
      </c>
      <c r="M263" s="219">
        <f ca="1"/>
        <v>7</v>
      </c>
      <c r="N263" s="212" t="str">
        <f ca="1"/>
        <v>Day</v>
      </c>
      <c r="O263" s="220">
        <f ca="1"/>
        <v>0.9311827956989247</v>
      </c>
      <c r="P263" s="221">
        <f ca="1"/>
        <v>4650</v>
      </c>
      <c r="Q263" s="221">
        <f ca="1"/>
        <v>0</v>
      </c>
    </row>
    <row r="264" spans="1:17" ht="18" customHeight="1">
      <c r="A264" s="212" t="str">
        <f ca="1"/>
        <v>C39 APRIL</v>
      </c>
      <c r="B264" s="218">
        <f ca="1"/>
        <v>46120</v>
      </c>
      <c r="C264" s="212" t="str">
        <f ca="1"/>
        <v>123&amp;4</v>
      </c>
      <c r="D264" s="212" t="str">
        <f ca="1"/>
        <v>C39</v>
      </c>
      <c r="E264" s="212" t="str">
        <f ca="1"/>
        <v>multigrain</v>
      </c>
      <c r="F264" s="219">
        <f ca="1"/>
        <v>5400</v>
      </c>
      <c r="G264" s="219">
        <f ca="1"/>
        <v>8</v>
      </c>
      <c r="H264" s="219">
        <f ca="1"/>
        <v>240</v>
      </c>
      <c r="I264" s="219">
        <f ca="1"/>
        <v>12</v>
      </c>
      <c r="J264" s="219">
        <f ca="1"/>
        <v>165</v>
      </c>
      <c r="K264" s="219">
        <f ca="1"/>
        <v>425</v>
      </c>
      <c r="L264" s="219">
        <f ca="1"/>
        <v>4975</v>
      </c>
      <c r="M264" s="219">
        <f ca="1"/>
        <v>6</v>
      </c>
      <c r="N264" s="212" t="str">
        <f ca="1"/>
        <v>Day</v>
      </c>
      <c r="O264" s="220">
        <f ca="1"/>
        <v>0.92129629629629628</v>
      </c>
      <c r="P264" s="221">
        <f ca="1"/>
        <v>5400</v>
      </c>
      <c r="Q264" s="221">
        <f ca="1"/>
        <v>0</v>
      </c>
    </row>
    <row r="265" spans="1:17" ht="18" customHeight="1">
      <c r="A265" s="212" t="str">
        <f ca="1"/>
        <v>C39 APRIL</v>
      </c>
      <c r="B265" s="218">
        <f ca="1"/>
        <v>46121</v>
      </c>
      <c r="C265" s="212" t="str">
        <f ca="1"/>
        <v>123&amp;4</v>
      </c>
      <c r="D265" s="212" t="str">
        <f ca="1"/>
        <v>C39</v>
      </c>
      <c r="E265" s="212" t="str">
        <f ca="1"/>
        <v>multigrain</v>
      </c>
      <c r="F265" s="219">
        <f ca="1"/>
        <v>7600</v>
      </c>
      <c r="G265" s="219">
        <f ca="1"/>
        <v>12</v>
      </c>
      <c r="H265" s="219">
        <f ca="1"/>
        <v>230</v>
      </c>
      <c r="I265" s="219">
        <f ca="1"/>
        <v>18</v>
      </c>
      <c r="J265" s="219">
        <f ca="1"/>
        <v>290</v>
      </c>
      <c r="K265" s="219">
        <f ca="1"/>
        <v>550</v>
      </c>
      <c r="L265" s="219">
        <f ca="1"/>
        <v>7050</v>
      </c>
      <c r="M265" s="219">
        <f ca="1"/>
        <v>6</v>
      </c>
      <c r="N265" s="212" t="str">
        <f ca="1"/>
        <v>Day</v>
      </c>
      <c r="O265" s="220">
        <f ca="1"/>
        <v>0.92763157894736847</v>
      </c>
      <c r="P265" s="221">
        <f ca="1"/>
        <v>7600</v>
      </c>
      <c r="Q265" s="221">
        <f ca="1"/>
        <v>0</v>
      </c>
    </row>
    <row r="266" spans="1:17" ht="18" customHeight="1">
      <c r="A266" s="212" t="str">
        <f ca="1"/>
        <v>C39 APRIL</v>
      </c>
      <c r="B266" s="218">
        <f ca="1"/>
        <v>46122</v>
      </c>
      <c r="C266" s="212" t="str">
        <f ca="1"/>
        <v>123&amp;4</v>
      </c>
      <c r="D266" s="212" t="str">
        <f ca="1"/>
        <v>C39</v>
      </c>
      <c r="E266" s="212" t="str">
        <f ca="1"/>
        <v>multigrain</v>
      </c>
      <c r="F266" s="219">
        <f ca="1"/>
        <v>7000</v>
      </c>
      <c r="G266" s="219">
        <f ca="1"/>
        <v>9</v>
      </c>
      <c r="H266" s="219">
        <f ca="1"/>
        <v>210</v>
      </c>
      <c r="I266" s="219">
        <f ca="1"/>
        <v>12</v>
      </c>
      <c r="J266" s="219">
        <f ca="1"/>
        <v>254</v>
      </c>
      <c r="K266" s="219">
        <f ca="1"/>
        <v>485</v>
      </c>
      <c r="L266" s="219">
        <f ca="1"/>
        <v>6515</v>
      </c>
      <c r="M266" s="219">
        <f ca="1"/>
        <v>6</v>
      </c>
      <c r="N266" s="212" t="str">
        <f ca="1"/>
        <v>Day</v>
      </c>
      <c r="O266" s="220">
        <f ca="1"/>
        <v>0.93071428571428572</v>
      </c>
      <c r="P266" s="221">
        <f ca="1"/>
        <v>7000</v>
      </c>
      <c r="Q266" s="221">
        <f ca="1"/>
        <v>0</v>
      </c>
    </row>
    <row r="267" spans="1:17" ht="18" customHeight="1">
      <c r="A267" s="212" t="str">
        <f ca="1"/>
        <v>C39 APRIL</v>
      </c>
      <c r="B267" s="218">
        <f ca="1"/>
        <v>46123</v>
      </c>
      <c r="C267" s="212" t="str">
        <f ca="1"/>
        <v>123&amp;4</v>
      </c>
      <c r="D267" s="212" t="str">
        <f ca="1"/>
        <v>C39</v>
      </c>
      <c r="E267" s="212" t="str">
        <f ca="1"/>
        <v>multigrain</v>
      </c>
      <c r="F267" s="219">
        <f ca="1"/>
        <v>7400</v>
      </c>
      <c r="G267" s="219">
        <f ca="1"/>
        <v>12</v>
      </c>
      <c r="H267" s="219">
        <f ca="1"/>
        <v>175</v>
      </c>
      <c r="I267" s="219">
        <f ca="1"/>
        <v>18</v>
      </c>
      <c r="J267" s="219">
        <f ca="1"/>
        <v>175</v>
      </c>
      <c r="K267" s="219">
        <f ca="1"/>
        <v>380</v>
      </c>
      <c r="L267" s="219">
        <f ca="1"/>
        <v>7020</v>
      </c>
      <c r="M267" s="219">
        <f ca="1"/>
        <v>6</v>
      </c>
      <c r="N267" s="212" t="str">
        <f ca="1"/>
        <v>Day</v>
      </c>
      <c r="O267" s="220">
        <f ca="1"/>
        <v>0.94864864864864851</v>
      </c>
      <c r="P267" s="221">
        <f ca="1"/>
        <v>7400</v>
      </c>
      <c r="Q267" s="221">
        <f ca="1"/>
        <v>0</v>
      </c>
    </row>
    <row r="268" spans="1:17" ht="18" customHeight="1">
      <c r="A268" s="212" t="str">
        <f ca="1"/>
        <v>C39 APRIL</v>
      </c>
      <c r="B268" s="218">
        <f ca="1"/>
        <v>46124</v>
      </c>
      <c r="C268" s="212" t="str">
        <f ca="1"/>
        <v>123&amp;4</v>
      </c>
      <c r="D268" s="212" t="str">
        <f ca="1"/>
        <v>C39</v>
      </c>
      <c r="E268" s="212" t="str">
        <f ca="1"/>
        <v>multigrain</v>
      </c>
      <c r="F268" s="219">
        <f ca="1"/>
        <v>5900</v>
      </c>
      <c r="G268" s="219">
        <f ca="1"/>
        <v>10</v>
      </c>
      <c r="H268" s="219">
        <f ca="1"/>
        <v>160</v>
      </c>
      <c r="I268" s="219">
        <f ca="1"/>
        <v>19</v>
      </c>
      <c r="J268" s="219">
        <f ca="1"/>
        <v>181</v>
      </c>
      <c r="K268" s="219">
        <f ca="1"/>
        <v>370</v>
      </c>
      <c r="L268" s="219">
        <f ca="1"/>
        <v>5530</v>
      </c>
      <c r="M268" s="219">
        <f ca="1"/>
        <v>6</v>
      </c>
      <c r="N268" s="212" t="str">
        <f ca="1"/>
        <v>Day</v>
      </c>
      <c r="O268" s="220">
        <f ca="1"/>
        <v>0.93728813559322033</v>
      </c>
      <c r="P268" s="221">
        <f ca="1"/>
        <v>5900</v>
      </c>
      <c r="Q268" s="221">
        <f ca="1"/>
        <v>0</v>
      </c>
    </row>
    <row r="269" spans="1:17" ht="18" customHeight="1">
      <c r="A269" s="212" t="str">
        <f ca="1"/>
        <v>C39 APRIL</v>
      </c>
      <c r="B269" s="218">
        <f ca="1"/>
        <v>46125</v>
      </c>
      <c r="C269" s="212" t="str">
        <f ca="1"/>
        <v>123&amp;4</v>
      </c>
      <c r="D269" s="212" t="str">
        <f ca="1"/>
        <v>C39</v>
      </c>
      <c r="E269" s="212" t="str">
        <f ca="1"/>
        <v>multigrain</v>
      </c>
      <c r="F269" s="219">
        <f ca="1"/>
        <v>3000</v>
      </c>
      <c r="G269" s="219">
        <f ca="1"/>
        <v>8</v>
      </c>
      <c r="H269" s="219">
        <f ca="1"/>
        <v>98</v>
      </c>
      <c r="I269" s="219">
        <f ca="1"/>
        <v>28</v>
      </c>
      <c r="J269" s="219">
        <f ca="1"/>
        <v>66</v>
      </c>
      <c r="K269" s="219">
        <f ca="1"/>
        <v>200</v>
      </c>
      <c r="L269" s="219">
        <f ca="1"/>
        <v>2800</v>
      </c>
      <c r="M269" s="219">
        <f ca="1"/>
        <v>6</v>
      </c>
      <c r="N269" s="212" t="str">
        <f ca="1"/>
        <v>day</v>
      </c>
      <c r="O269" s="220">
        <f ca="1"/>
        <v>0.93333333333333324</v>
      </c>
      <c r="P269" s="221">
        <f ca="1"/>
        <v>3000</v>
      </c>
      <c r="Q269" s="221">
        <f ca="1"/>
        <v>0</v>
      </c>
    </row>
    <row r="270" spans="1:17" ht="18" customHeight="1">
      <c r="A270" s="212" t="str">
        <f ca="1"/>
        <v>C39 APRIL</v>
      </c>
      <c r="B270" s="218">
        <f ca="1"/>
        <v>46126</v>
      </c>
      <c r="C270" s="212" t="str">
        <f ca="1"/>
        <v>123&amp;4</v>
      </c>
      <c r="D270" s="212" t="str">
        <f ca="1"/>
        <v>C39</v>
      </c>
      <c r="E270" s="212" t="str">
        <f ca="1"/>
        <v>multigrain</v>
      </c>
      <c r="F270" s="219">
        <f ca="1"/>
        <v>7000</v>
      </c>
      <c r="G270" s="219">
        <f ca="1"/>
        <v>10</v>
      </c>
      <c r="H270" s="219">
        <f ca="1"/>
        <v>198</v>
      </c>
      <c r="I270" s="219">
        <f ca="1"/>
        <v>16</v>
      </c>
      <c r="J270" s="219">
        <f ca="1"/>
        <v>236</v>
      </c>
      <c r="K270" s="219">
        <f ca="1"/>
        <v>460</v>
      </c>
      <c r="L270" s="219">
        <f ca="1"/>
        <v>6540</v>
      </c>
      <c r="M270" s="219">
        <f ca="1"/>
        <v>6</v>
      </c>
      <c r="N270" s="212" t="str">
        <f ca="1"/>
        <v>day</v>
      </c>
      <c r="O270" s="220">
        <f ca="1"/>
        <v>0.93428571428571427</v>
      </c>
      <c r="P270" s="221">
        <f ca="1"/>
        <v>7000</v>
      </c>
      <c r="Q270" s="221">
        <f ca="1"/>
        <v>0</v>
      </c>
    </row>
    <row r="271" spans="1:17" ht="18" customHeight="1">
      <c r="A271" s="212" t="str">
        <f ca="1"/>
        <v>C39 APRIL</v>
      </c>
      <c r="B271" s="218">
        <f ca="1"/>
        <v>46127</v>
      </c>
      <c r="C271" s="212" t="str">
        <f ca="1"/>
        <v>123&amp;4</v>
      </c>
      <c r="D271" s="212" t="str">
        <f ca="1"/>
        <v>C39</v>
      </c>
      <c r="E271" s="212" t="str">
        <f ca="1"/>
        <v>multigrain</v>
      </c>
      <c r="F271" s="219">
        <f ca="1"/>
        <v>2150</v>
      </c>
      <c r="G271" s="219">
        <f ca="1"/>
        <v>16</v>
      </c>
      <c r="H271" s="219">
        <f ca="1"/>
        <v>55</v>
      </c>
      <c r="I271" s="219">
        <f ca="1"/>
        <v>15</v>
      </c>
      <c r="J271" s="219">
        <f ca="1"/>
        <v>64</v>
      </c>
      <c r="K271" s="219">
        <f ca="1"/>
        <v>150</v>
      </c>
      <c r="L271" s="219">
        <f ca="1"/>
        <v>2000</v>
      </c>
      <c r="M271" s="219">
        <f ca="1"/>
        <v>6</v>
      </c>
      <c r="N271" s="212" t="str">
        <f ca="1"/>
        <v>Day</v>
      </c>
      <c r="O271" s="220">
        <f ca="1"/>
        <v>0.93023255813953487</v>
      </c>
      <c r="P271" s="221">
        <f ca="1"/>
        <v>2150</v>
      </c>
      <c r="Q271" s="221">
        <f ca="1"/>
        <v>0</v>
      </c>
    </row>
    <row r="272" spans="1:17" ht="18" customHeight="1">
      <c r="A272" s="212" t="str">
        <f ca="1"/>
        <v>C39 APRIL</v>
      </c>
      <c r="B272" s="218">
        <f ca="1"/>
        <v>46129</v>
      </c>
      <c r="C272" s="212" t="str">
        <f ca="1"/>
        <v>123&amp;4</v>
      </c>
      <c r="D272" s="212" t="str">
        <f ca="1"/>
        <v>C39</v>
      </c>
      <c r="E272" s="212" t="str">
        <f ca="1"/>
        <v>multigrain</v>
      </c>
      <c r="F272" s="219">
        <f ca="1"/>
        <v>5000</v>
      </c>
      <c r="G272" s="219">
        <f ca="1"/>
        <v>5</v>
      </c>
      <c r="H272" s="219">
        <f ca="1"/>
        <v>137</v>
      </c>
      <c r="I272" s="219">
        <f ca="1"/>
        <v>18</v>
      </c>
      <c r="J272" s="219">
        <f ca="1"/>
        <v>140</v>
      </c>
      <c r="K272" s="219">
        <f ca="1"/>
        <v>300</v>
      </c>
      <c r="L272" s="219">
        <f ca="1"/>
        <v>4700</v>
      </c>
      <c r="M272" s="219">
        <f ca="1"/>
        <v>5</v>
      </c>
      <c r="N272" s="212" t="str">
        <f ca="1"/>
        <v>day</v>
      </c>
      <c r="O272" s="220">
        <f ca="1"/>
        <v>0.94</v>
      </c>
      <c r="P272" s="221">
        <f ca="1"/>
        <v>5000</v>
      </c>
      <c r="Q272" s="221">
        <f ca="1"/>
        <v>0</v>
      </c>
    </row>
    <row r="273" spans="1:17" ht="18" customHeight="1">
      <c r="A273" s="212" t="str">
        <f ca="1"/>
        <v>C39 APRIL</v>
      </c>
      <c r="B273" s="218">
        <f ca="1"/>
        <v>46132</v>
      </c>
      <c r="C273" s="212" t="str">
        <f ca="1"/>
        <v>123&amp;4</v>
      </c>
      <c r="D273" s="212" t="str">
        <f ca="1"/>
        <v>C39</v>
      </c>
      <c r="E273" s="212" t="str">
        <f ca="1"/>
        <v>khapli Grains</v>
      </c>
      <c r="F273" s="219">
        <f ca="1"/>
        <v>950</v>
      </c>
      <c r="G273" s="219">
        <f ca="1"/>
        <v>12</v>
      </c>
      <c r="H273" s="219">
        <f ca="1"/>
        <v>40</v>
      </c>
      <c r="I273" s="219">
        <f ca="1"/>
        <v>15</v>
      </c>
      <c r="J273" s="219">
        <f ca="1"/>
        <v>33</v>
      </c>
      <c r="K273" s="219">
        <f ca="1"/>
        <v>100</v>
      </c>
      <c r="L273" s="219">
        <f ca="1"/>
        <v>850</v>
      </c>
      <c r="M273" s="219">
        <f ca="1"/>
        <v>4</v>
      </c>
      <c r="N273" s="212" t="str">
        <f ca="1"/>
        <v>Day</v>
      </c>
      <c r="O273" s="220">
        <f ca="1"/>
        <v>0.89473684210526316</v>
      </c>
      <c r="P273" s="221">
        <f ca="1"/>
        <v>950</v>
      </c>
      <c r="Q273" s="221">
        <f ca="1"/>
        <v>0</v>
      </c>
    </row>
    <row r="274" spans="1:17" ht="18" customHeight="1">
      <c r="A274" s="212" t="str">
        <f ca="1"/>
        <v>C39 APRIL</v>
      </c>
      <c r="B274" s="218">
        <f ca="1"/>
        <v>46133</v>
      </c>
      <c r="C274" s="212" t="str">
        <f ca="1"/>
        <v>123&amp;4</v>
      </c>
      <c r="D274" s="212" t="str">
        <f ca="1"/>
        <v>C39</v>
      </c>
      <c r="E274" s="212" t="str">
        <f ca="1"/>
        <v>khapli Grains</v>
      </c>
      <c r="F274" s="219">
        <f ca="1"/>
        <v>8600</v>
      </c>
      <c r="G274" s="219">
        <f ca="1"/>
        <v>90</v>
      </c>
      <c r="H274" s="219">
        <f ca="1"/>
        <v>142</v>
      </c>
      <c r="I274" s="219">
        <f ca="1"/>
        <v>38</v>
      </c>
      <c r="J274" s="219">
        <f ca="1"/>
        <v>330</v>
      </c>
      <c r="K274" s="219">
        <f ca="1"/>
        <v>600</v>
      </c>
      <c r="L274" s="219">
        <f ca="1"/>
        <v>8000</v>
      </c>
      <c r="M274" s="219">
        <f ca="1"/>
        <v>4</v>
      </c>
      <c r="N274" s="212" t="str">
        <f ca="1"/>
        <v>Day</v>
      </c>
      <c r="O274" s="220">
        <f ca="1"/>
        <v>0.93023255813953487</v>
      </c>
      <c r="P274" s="221">
        <f ca="1"/>
        <v>8600</v>
      </c>
      <c r="Q274" s="221">
        <f ca="1"/>
        <v>0</v>
      </c>
    </row>
    <row r="275" spans="1:17" ht="18" customHeight="1">
      <c r="A275" s="212" t="str">
        <f ca="1"/>
        <v>C39 APRIL</v>
      </c>
      <c r="B275" s="218">
        <f ca="1"/>
        <v>46134</v>
      </c>
      <c r="C275" s="212" t="str">
        <f ca="1"/>
        <v>123&amp;4</v>
      </c>
      <c r="D275" s="212" t="str">
        <f ca="1"/>
        <v>C39</v>
      </c>
      <c r="E275" s="212" t="str">
        <f ca="1"/>
        <v>khapli Grains</v>
      </c>
      <c r="F275" s="219">
        <f ca="1"/>
        <v>6512</v>
      </c>
      <c r="G275" s="219">
        <f ca="1"/>
        <v>84</v>
      </c>
      <c r="H275" s="219">
        <f ca="1"/>
        <v>106</v>
      </c>
      <c r="I275" s="219">
        <f ca="1"/>
        <v>25</v>
      </c>
      <c r="J275" s="219">
        <f ca="1"/>
        <v>297</v>
      </c>
      <c r="K275" s="219">
        <f ca="1"/>
        <v>512</v>
      </c>
      <c r="L275" s="219">
        <f ca="1"/>
        <v>6000</v>
      </c>
      <c r="M275" s="219">
        <f ca="1"/>
        <v>4</v>
      </c>
      <c r="N275" s="212" t="str">
        <f ca="1"/>
        <v>Day</v>
      </c>
      <c r="O275" s="220">
        <f ca="1"/>
        <v>0.92137592137592139</v>
      </c>
      <c r="P275" s="221">
        <f ca="1"/>
        <v>6512</v>
      </c>
      <c r="Q275" s="221">
        <f ca="1"/>
        <v>0</v>
      </c>
    </row>
    <row r="276" spans="1:17" ht="18" customHeight="1">
      <c r="A276" s="212" t="str">
        <f ca="1"/>
        <v>C39 APRIL</v>
      </c>
      <c r="B276" s="218">
        <f ca="1"/>
        <v>46135</v>
      </c>
      <c r="C276" s="212" t="str">
        <f ca="1"/>
        <v>123&amp;4</v>
      </c>
      <c r="D276" s="212" t="str">
        <f ca="1"/>
        <v>C39</v>
      </c>
      <c r="E276" s="212" t="str">
        <f ca="1"/>
        <v>khapli Grains</v>
      </c>
      <c r="F276" s="219">
        <f ca="1"/>
        <v>7000</v>
      </c>
      <c r="G276" s="219">
        <f ca="1"/>
        <v>70</v>
      </c>
      <c r="H276" s="219">
        <f ca="1"/>
        <v>128</v>
      </c>
      <c r="I276" s="219">
        <f ca="1"/>
        <v>22</v>
      </c>
      <c r="J276" s="219">
        <f ca="1"/>
        <v>280</v>
      </c>
      <c r="K276" s="219">
        <f ca="1"/>
        <v>500</v>
      </c>
      <c r="L276" s="219">
        <f ca="1"/>
        <v>6500</v>
      </c>
      <c r="M276" s="219">
        <f ca="1"/>
        <v>4</v>
      </c>
      <c r="N276" s="212" t="str">
        <f ca="1"/>
        <v>Day</v>
      </c>
      <c r="O276" s="220">
        <f ca="1"/>
        <v>0.9285714285714286</v>
      </c>
      <c r="P276" s="221">
        <f ca="1"/>
        <v>7000</v>
      </c>
      <c r="Q276" s="221">
        <f ca="1"/>
        <v>0</v>
      </c>
    </row>
    <row r="277" spans="1:17" ht="18" customHeight="1">
      <c r="A277" s="212" t="str">
        <f ca="1"/>
        <v>C39 APRIL</v>
      </c>
      <c r="B277" s="218">
        <f ca="1"/>
        <v>46136</v>
      </c>
      <c r="C277" s="212" t="str">
        <f ca="1"/>
        <v>123&amp;4</v>
      </c>
      <c r="D277" s="212" t="str">
        <f ca="1"/>
        <v>C39</v>
      </c>
      <c r="E277" s="212" t="str">
        <f ca="1"/>
        <v>khapli Grains</v>
      </c>
      <c r="F277" s="219">
        <f ca="1"/>
        <v>8600</v>
      </c>
      <c r="G277" s="219">
        <f ca="1"/>
        <v>95</v>
      </c>
      <c r="H277" s="219">
        <f ca="1"/>
        <v>160</v>
      </c>
      <c r="I277" s="219">
        <f ca="1"/>
        <v>28</v>
      </c>
      <c r="J277" s="219">
        <f ca="1"/>
        <v>355</v>
      </c>
      <c r="K277" s="219">
        <f ca="1"/>
        <v>638</v>
      </c>
      <c r="L277" s="219">
        <f ca="1"/>
        <v>7962</v>
      </c>
      <c r="M277" s="219">
        <f ca="1"/>
        <v>4</v>
      </c>
      <c r="N277" s="212" t="str">
        <f ca="1"/>
        <v>Day</v>
      </c>
      <c r="O277" s="220">
        <f ca="1"/>
        <v>0.92581395348837214</v>
      </c>
      <c r="P277" s="221">
        <f ca="1"/>
        <v>8600</v>
      </c>
      <c r="Q277" s="221">
        <f ca="1"/>
        <v>0</v>
      </c>
    </row>
    <row r="278" spans="1:17" ht="18" customHeight="1">
      <c r="A278" s="212" t="str">
        <f ca="1"/>
        <v>C39 APRIL</v>
      </c>
      <c r="B278" s="218">
        <f ca="1"/>
        <v>46137</v>
      </c>
      <c r="C278" s="212" t="str">
        <f ca="1"/>
        <v>123&amp;4</v>
      </c>
      <c r="D278" s="212" t="str">
        <f ca="1"/>
        <v>C39</v>
      </c>
      <c r="E278" s="212" t="str">
        <f ca="1"/>
        <v>khapli Grains</v>
      </c>
      <c r="F278" s="219">
        <f ca="1"/>
        <v>4900</v>
      </c>
      <c r="G278" s="219">
        <f ca="1"/>
        <v>51</v>
      </c>
      <c r="H278" s="219">
        <f ca="1"/>
        <v>98</v>
      </c>
      <c r="I278" s="219">
        <f ca="1"/>
        <v>25</v>
      </c>
      <c r="J278" s="219">
        <f ca="1"/>
        <v>190</v>
      </c>
      <c r="K278" s="219">
        <f ca="1"/>
        <v>364</v>
      </c>
      <c r="L278" s="219">
        <f ca="1"/>
        <v>4536</v>
      </c>
      <c r="M278" s="219">
        <f ca="1"/>
        <v>4</v>
      </c>
      <c r="N278" s="212" t="str">
        <f ca="1"/>
        <v>Day</v>
      </c>
      <c r="O278" s="220">
        <f ca="1"/>
        <v>0.92571428571428571</v>
      </c>
      <c r="P278" s="221">
        <f ca="1"/>
        <v>4900</v>
      </c>
      <c r="Q278" s="221">
        <f ca="1"/>
        <v>0</v>
      </c>
    </row>
    <row r="279" spans="1:17" ht="18" customHeight="1">
      <c r="A279" s="212" t="str">
        <f ca="1"/>
        <v>C39 APRIL</v>
      </c>
      <c r="B279" s="218">
        <f ca="1"/>
        <v>46139</v>
      </c>
      <c r="C279" s="212" t="str">
        <f ca="1"/>
        <v>123&amp;4</v>
      </c>
      <c r="D279" s="212" t="str">
        <f ca="1"/>
        <v>C39</v>
      </c>
      <c r="E279" s="212" t="str">
        <f ca="1"/>
        <v>MULTIGRAIN</v>
      </c>
      <c r="F279" s="219">
        <f ca="1"/>
        <v>7000</v>
      </c>
      <c r="G279" s="219">
        <f ca="1"/>
        <v>45</v>
      </c>
      <c r="H279" s="219">
        <f ca="1"/>
        <v>265</v>
      </c>
      <c r="I279" s="219">
        <f ca="1"/>
        <v>30</v>
      </c>
      <c r="J279" s="219">
        <f ca="1"/>
        <v>195</v>
      </c>
      <c r="K279" s="219">
        <f ca="1"/>
        <v>530</v>
      </c>
      <c r="L279" s="219">
        <f ca="1"/>
        <v>6470</v>
      </c>
      <c r="M279" s="219">
        <f ca="1"/>
        <v>4</v>
      </c>
      <c r="N279" s="212" t="str">
        <f ca="1"/>
        <v>Day</v>
      </c>
      <c r="O279" s="220">
        <f ca="1"/>
        <v>0.92428571428571427</v>
      </c>
      <c r="P279" s="221">
        <f ca="1"/>
        <v>7000</v>
      </c>
      <c r="Q279" s="221">
        <f ca="1"/>
        <v>0</v>
      </c>
    </row>
    <row r="280" spans="1:17" ht="18" customHeight="1">
      <c r="A280" s="212" t="str">
        <f ca="1"/>
        <v>C39 APRIL</v>
      </c>
      <c r="B280" s="218">
        <f ca="1"/>
        <v>46140</v>
      </c>
      <c r="C280" s="212" t="str">
        <f ca="1"/>
        <v>123&amp;4</v>
      </c>
      <c r="D280" s="212" t="str">
        <f ca="1"/>
        <v>C39</v>
      </c>
      <c r="E280" s="212" t="str">
        <f ca="1"/>
        <v>MULTIGRAIN</v>
      </c>
      <c r="F280" s="219">
        <f ca="1"/>
        <v>7449</v>
      </c>
      <c r="G280" s="219">
        <f ca="1"/>
        <v>52</v>
      </c>
      <c r="H280" s="219">
        <f ca="1"/>
        <v>270</v>
      </c>
      <c r="I280" s="219">
        <f ca="1"/>
        <v>20</v>
      </c>
      <c r="J280" s="219">
        <f ca="1"/>
        <v>215</v>
      </c>
      <c r="K280" s="219">
        <f ca="1"/>
        <v>557</v>
      </c>
      <c r="L280" s="219">
        <f ca="1"/>
        <v>6892</v>
      </c>
      <c r="M280" s="219">
        <f ca="1"/>
        <v>4</v>
      </c>
      <c r="N280" s="212" t="str">
        <f ca="1"/>
        <v>day</v>
      </c>
      <c r="O280" s="220">
        <f ca="1"/>
        <v>0.92400000000000004</v>
      </c>
      <c r="P280" s="221">
        <f ca="1"/>
        <v>7449</v>
      </c>
      <c r="Q280" s="221">
        <f ca="1"/>
        <v>0</v>
      </c>
    </row>
    <row r="281" spans="1:17" ht="18" customHeight="1">
      <c r="A281" s="212" t="str">
        <f ca="1"/>
        <v>C39 APRIL</v>
      </c>
      <c r="B281" s="218">
        <f ca="1"/>
        <v>46141</v>
      </c>
      <c r="C281" s="212" t="str">
        <f ca="1"/>
        <v>123&amp;4</v>
      </c>
      <c r="D281" s="212" t="str">
        <f ca="1"/>
        <v>C39</v>
      </c>
      <c r="E281" s="212" t="str">
        <f ca="1"/>
        <v>MULTIGRAIN</v>
      </c>
      <c r="F281" s="219">
        <f ca="1"/>
        <v>7900</v>
      </c>
      <c r="G281" s="219">
        <f ca="1"/>
        <v>85</v>
      </c>
      <c r="H281" s="219">
        <f ca="1"/>
        <v>235</v>
      </c>
      <c r="I281" s="219">
        <f ca="1"/>
        <v>25</v>
      </c>
      <c r="J281" s="219">
        <f ca="1"/>
        <v>222</v>
      </c>
      <c r="K281" s="219">
        <f ca="1"/>
        <v>567</v>
      </c>
      <c r="L281" s="219">
        <f ca="1"/>
        <v>7333</v>
      </c>
      <c r="M281" s="219">
        <f ca="1"/>
        <v>4</v>
      </c>
      <c r="N281" s="212" t="str">
        <f ca="1"/>
        <v>DAY</v>
      </c>
      <c r="O281" s="220">
        <f ca="1"/>
        <v>0.92819999999999991</v>
      </c>
      <c r="P281" s="221">
        <f ca="1"/>
        <v>7900</v>
      </c>
      <c r="Q281" s="221">
        <f ca="1"/>
        <v>0</v>
      </c>
    </row>
    <row r="282" spans="1:17" ht="18" customHeight="1">
      <c r="A282" s="212" t="str">
        <f ca="1"/>
        <v>C39 APRIL</v>
      </c>
      <c r="B282" s="218">
        <f ca="1"/>
        <v>46142</v>
      </c>
      <c r="C282" s="212" t="str">
        <f ca="1"/>
        <v>123&amp;4</v>
      </c>
      <c r="D282" s="212" t="str">
        <f ca="1"/>
        <v>C39</v>
      </c>
      <c r="E282" s="212" t="str">
        <f ca="1"/>
        <v>MULTIGRAIN</v>
      </c>
      <c r="F282" s="219">
        <f ca="1"/>
        <v>2000</v>
      </c>
      <c r="G282" s="219">
        <f ca="1"/>
        <v>15</v>
      </c>
      <c r="H282" s="219">
        <f ca="1"/>
        <v>75</v>
      </c>
      <c r="I282" s="219">
        <f ca="1"/>
        <v>15</v>
      </c>
      <c r="J282" s="219">
        <f ca="1"/>
        <v>83</v>
      </c>
      <c r="K282" s="219">
        <f ca="1"/>
        <v>125</v>
      </c>
      <c r="L282" s="219">
        <f ca="1"/>
        <v>1875</v>
      </c>
      <c r="M282" s="219">
        <f ca="1"/>
        <v>4</v>
      </c>
      <c r="N282" s="212" t="str">
        <f ca="1"/>
        <v>DAY</v>
      </c>
      <c r="O282" s="220">
        <f ca="1"/>
        <v>0.9375</v>
      </c>
      <c r="P282" s="221">
        <f ca="1"/>
        <v>2000</v>
      </c>
      <c r="Q282" s="221">
        <f ca="1"/>
        <v>0</v>
      </c>
    </row>
    <row r="283" spans="1:17" ht="18" customHeight="1">
      <c r="A283" s="212" t="str">
        <f ca="1"/>
        <v>C6-MAY</v>
      </c>
      <c r="B283" s="218">
        <f ca="1"/>
        <v>46144</v>
      </c>
      <c r="C283" s="212" t="str">
        <f ca="1"/>
        <v>chakki1,2,3</v>
      </c>
      <c r="D283" s="212" t="str">
        <f ca="1"/>
        <v>C6</v>
      </c>
      <c r="E283" s="212" t="str">
        <f ca="1"/>
        <v>jowar</v>
      </c>
      <c r="F283" s="219">
        <f ca="1"/>
        <v>1850</v>
      </c>
      <c r="G283" s="219">
        <f ca="1"/>
        <v>0</v>
      </c>
      <c r="H283" s="219">
        <f ca="1"/>
        <v>41</v>
      </c>
      <c r="I283" s="219">
        <f ca="1"/>
        <v>4</v>
      </c>
      <c r="J283" s="219">
        <f ca="1"/>
        <v>82.1</v>
      </c>
      <c r="K283" s="219">
        <f ca="1"/>
        <v>127.1</v>
      </c>
      <c r="L283" s="219">
        <f ca="1"/>
        <v>1722.9</v>
      </c>
      <c r="M283" s="219">
        <f ca="1"/>
        <v>3</v>
      </c>
      <c r="N283" s="212" t="str">
        <f ca="1"/>
        <v>DAY</v>
      </c>
      <c r="O283" s="220">
        <f ca="1"/>
        <v>0.93129729729729727</v>
      </c>
      <c r="P283" s="221">
        <f ca="1"/>
        <v>1850</v>
      </c>
      <c r="Q283" s="221">
        <f ca="1"/>
        <v>0</v>
      </c>
    </row>
    <row r="284" spans="1:17" ht="18" customHeight="1">
      <c r="A284" s="212" t="str">
        <f ca="1"/>
        <v>C6-MAY</v>
      </c>
      <c r="B284" s="218">
        <f ca="1"/>
        <v>46144</v>
      </c>
      <c r="C284" s="212" t="str">
        <f ca="1"/>
        <v>chakki1,2,3</v>
      </c>
      <c r="D284" s="212" t="str">
        <f ca="1"/>
        <v>C6</v>
      </c>
      <c r="E284" s="212" t="str">
        <f ca="1"/>
        <v xml:space="preserve">khapli </v>
      </c>
      <c r="F284" s="219">
        <f ca="1"/>
        <v>1200</v>
      </c>
      <c r="G284" s="219">
        <f ca="1"/>
        <v>0</v>
      </c>
      <c r="H284" s="219">
        <f ca="1"/>
        <v>48</v>
      </c>
      <c r="I284" s="219">
        <f ca="1"/>
        <v>5</v>
      </c>
      <c r="J284" s="219">
        <f ca="1"/>
        <v>59</v>
      </c>
      <c r="K284" s="219">
        <f ca="1"/>
        <v>112</v>
      </c>
      <c r="L284" s="219">
        <f ca="1"/>
        <v>1088</v>
      </c>
      <c r="M284" s="219">
        <f ca="1"/>
        <v>3</v>
      </c>
      <c r="N284" s="212" t="str">
        <f ca="1"/>
        <v>DAY</v>
      </c>
      <c r="O284" s="220">
        <f ca="1"/>
        <v>0.90666666666666662</v>
      </c>
      <c r="P284" s="221">
        <f ca="1"/>
        <v>1200</v>
      </c>
      <c r="Q284" s="221">
        <f ca="1"/>
        <v>0</v>
      </c>
    </row>
    <row r="285" spans="1:17" ht="18" customHeight="1">
      <c r="A285" s="212" t="str">
        <f ca="1"/>
        <v>C6-MAY</v>
      </c>
      <c r="B285" s="218">
        <f ca="1"/>
        <v>46146</v>
      </c>
      <c r="C285" s="212" t="str">
        <f ca="1"/>
        <v>chakki1,2,3</v>
      </c>
      <c r="D285" s="212" t="str">
        <f ca="1"/>
        <v>C6</v>
      </c>
      <c r="E285" s="212" t="str">
        <f ca="1"/>
        <v xml:space="preserve">khapli </v>
      </c>
      <c r="F285" s="219">
        <f ca="1"/>
        <v>3100</v>
      </c>
      <c r="G285" s="219">
        <f ca="1"/>
        <v>25</v>
      </c>
      <c r="H285" s="219">
        <f ca="1"/>
        <v>70</v>
      </c>
      <c r="I285" s="219">
        <f ca="1"/>
        <v>5</v>
      </c>
      <c r="J285" s="219">
        <f ca="1"/>
        <v>100</v>
      </c>
      <c r="K285" s="219">
        <f ca="1"/>
        <v>200</v>
      </c>
      <c r="L285" s="219">
        <f ca="1"/>
        <v>2900</v>
      </c>
      <c r="M285" s="219">
        <f ca="1"/>
        <v>4</v>
      </c>
      <c r="N285" s="212" t="str">
        <f ca="1"/>
        <v>DAY</v>
      </c>
      <c r="O285" s="220">
        <f ca="1"/>
        <v>0.93548387096774188</v>
      </c>
      <c r="P285" s="221">
        <f ca="1"/>
        <v>3100</v>
      </c>
      <c r="Q285" s="221">
        <f ca="1"/>
        <v>0</v>
      </c>
    </row>
    <row r="286" spans="1:17" ht="18" customHeight="1">
      <c r="A286" s="212" t="str">
        <f ca="1"/>
        <v>C6-MAY</v>
      </c>
      <c r="B286" s="218">
        <f ca="1"/>
        <v>46147</v>
      </c>
      <c r="C286" s="212" t="str">
        <f ca="1"/>
        <v>chakki1,2,3</v>
      </c>
      <c r="D286" s="212" t="str">
        <f ca="1"/>
        <v>C6</v>
      </c>
      <c r="E286" s="212" t="str">
        <f ca="1"/>
        <v xml:space="preserve">khapli </v>
      </c>
      <c r="F286" s="219">
        <f ca="1"/>
        <v>2450</v>
      </c>
      <c r="G286" s="219">
        <f ca="1"/>
        <v>10</v>
      </c>
      <c r="H286" s="219">
        <f ca="1"/>
        <v>105</v>
      </c>
      <c r="I286" s="219">
        <f ca="1"/>
        <v>16</v>
      </c>
      <c r="J286" s="219">
        <f ca="1"/>
        <v>99</v>
      </c>
      <c r="K286" s="219">
        <f ca="1"/>
        <v>230</v>
      </c>
      <c r="L286" s="219">
        <f ca="1"/>
        <v>2220</v>
      </c>
      <c r="M286" s="219">
        <f ca="1"/>
        <v>3</v>
      </c>
      <c r="N286" s="212" t="str">
        <f ca="1"/>
        <v>DAY</v>
      </c>
      <c r="O286" s="220">
        <f ca="1"/>
        <v>0.90612244897959182</v>
      </c>
      <c r="P286" s="221">
        <f ca="1"/>
        <v>2450</v>
      </c>
      <c r="Q286" s="221">
        <f ca="1"/>
        <v>0</v>
      </c>
    </row>
    <row r="287" spans="1:17" ht="18" customHeight="1">
      <c r="A287" s="212" t="str">
        <f ca="1"/>
        <v>C6-MAY</v>
      </c>
      <c r="B287" s="218">
        <f ca="1"/>
        <v>46148</v>
      </c>
      <c r="C287" s="212" t="str">
        <f ca="1"/>
        <v>chakki1,2,3</v>
      </c>
      <c r="D287" s="212" t="str">
        <f ca="1"/>
        <v>C6</v>
      </c>
      <c r="E287" s="212" t="str">
        <f ca="1"/>
        <v xml:space="preserve">khapli </v>
      </c>
      <c r="F287" s="219">
        <f ca="1"/>
        <v>2650</v>
      </c>
      <c r="G287" s="219">
        <f ca="1"/>
        <v>12</v>
      </c>
      <c r="H287" s="219">
        <f ca="1"/>
        <v>35</v>
      </c>
      <c r="I287" s="219">
        <f ca="1"/>
        <v>6</v>
      </c>
      <c r="J287" s="219">
        <f ca="1"/>
        <v>89</v>
      </c>
      <c r="K287" s="219">
        <f ca="1"/>
        <v>142</v>
      </c>
      <c r="L287" s="219">
        <f ca="1"/>
        <v>2508</v>
      </c>
      <c r="M287" s="219">
        <f ca="1"/>
        <v>3</v>
      </c>
      <c r="N287" s="212" t="str">
        <f ca="1"/>
        <v>DAY</v>
      </c>
      <c r="O287" s="220">
        <f ca="1"/>
        <v>0.94641509433962268</v>
      </c>
      <c r="P287" s="221">
        <f ca="1"/>
        <v>2650</v>
      </c>
      <c r="Q287" s="221">
        <f ca="1"/>
        <v>0</v>
      </c>
    </row>
    <row r="288" spans="1:17" ht="18" customHeight="1">
      <c r="A288" s="212" t="str">
        <f ca="1"/>
        <v>C6-MAY</v>
      </c>
      <c r="B288" s="218">
        <f ca="1"/>
        <v>46149</v>
      </c>
      <c r="C288" s="212" t="str">
        <f ca="1"/>
        <v>chakki1,2,3</v>
      </c>
      <c r="D288" s="212" t="str">
        <f ca="1"/>
        <v>C6</v>
      </c>
      <c r="E288" s="212" t="str">
        <f ca="1"/>
        <v xml:space="preserve">khapli </v>
      </c>
      <c r="F288" s="219">
        <f ca="1"/>
        <v>750</v>
      </c>
      <c r="G288" s="219">
        <f ca="1"/>
        <v>7</v>
      </c>
      <c r="H288" s="219">
        <f ca="1"/>
        <v>10</v>
      </c>
      <c r="I288" s="219">
        <f ca="1"/>
        <v>3</v>
      </c>
      <c r="J288" s="219">
        <f ca="1"/>
        <v>30</v>
      </c>
      <c r="K288" s="219">
        <f ca="1"/>
        <v>50</v>
      </c>
      <c r="L288" s="219">
        <f ca="1"/>
        <v>700</v>
      </c>
      <c r="M288" s="219">
        <f ca="1"/>
        <v>4</v>
      </c>
      <c r="N288" s="212" t="str">
        <f ca="1"/>
        <v>DAY</v>
      </c>
      <c r="O288" s="220">
        <f ca="1"/>
        <v>0.93333333333333324</v>
      </c>
      <c r="P288" s="221">
        <f ca="1"/>
        <v>750</v>
      </c>
      <c r="Q288" s="221">
        <f ca="1"/>
        <v>0</v>
      </c>
    </row>
    <row r="289" spans="1:17" ht="18" customHeight="1">
      <c r="A289" s="212" t="str">
        <f ca="1"/>
        <v>C6-MAY</v>
      </c>
      <c r="B289" s="218">
        <f ca="1"/>
        <v>46150</v>
      </c>
      <c r="C289" s="212" t="str">
        <f ca="1"/>
        <v>chakki1,2,3</v>
      </c>
      <c r="D289" s="212" t="str">
        <f ca="1"/>
        <v>C6</v>
      </c>
      <c r="E289" s="212" t="str">
        <f ca="1"/>
        <v>khapli Multigrain</v>
      </c>
      <c r="F289" s="219">
        <f ca="1"/>
        <v>2700</v>
      </c>
      <c r="G289" s="219">
        <f ca="1"/>
        <v>20</v>
      </c>
      <c r="H289" s="219">
        <f ca="1"/>
        <v>35</v>
      </c>
      <c r="I289" s="219">
        <f ca="1"/>
        <v>5</v>
      </c>
      <c r="J289" s="219">
        <f ca="1"/>
        <v>110</v>
      </c>
      <c r="K289" s="219">
        <f ca="1"/>
        <v>170</v>
      </c>
      <c r="L289" s="219">
        <f ca="1"/>
        <v>2530</v>
      </c>
      <c r="M289" s="219">
        <f ca="1"/>
        <v>3</v>
      </c>
      <c r="N289" s="212" t="str">
        <f ca="1"/>
        <v>DAY</v>
      </c>
      <c r="O289" s="220">
        <f ca="1"/>
        <v>0.937037037037037</v>
      </c>
      <c r="P289" s="221">
        <f ca="1"/>
        <v>2700</v>
      </c>
      <c r="Q289" s="221">
        <f ca="1"/>
        <v>0</v>
      </c>
    </row>
    <row r="290" spans="1:17" ht="18" customHeight="1">
      <c r="A290" s="212" t="str">
        <f ca="1"/>
        <v>C6-MAY</v>
      </c>
      <c r="B290" s="218">
        <f ca="1"/>
        <v>46151</v>
      </c>
      <c r="C290" s="212" t="str">
        <f ca="1"/>
        <v>chakki1,2,3</v>
      </c>
      <c r="D290" s="212" t="str">
        <f ca="1"/>
        <v>C6</v>
      </c>
      <c r="E290" s="212" t="str">
        <f ca="1"/>
        <v>khapli Multigrain</v>
      </c>
      <c r="F290" s="219">
        <f ca="1"/>
        <v>300</v>
      </c>
      <c r="G290" s="219">
        <f ca="1"/>
        <v>5</v>
      </c>
      <c r="H290" s="219">
        <f ca="1"/>
        <v>4</v>
      </c>
      <c r="I290" s="219">
        <f ca="1"/>
        <v>1</v>
      </c>
      <c r="J290" s="219">
        <f ca="1"/>
        <v>10</v>
      </c>
      <c r="K290" s="219">
        <f ca="1"/>
        <v>20</v>
      </c>
      <c r="L290" s="219">
        <f ca="1"/>
        <v>280</v>
      </c>
      <c r="M290" s="219">
        <f ca="1"/>
        <v>4</v>
      </c>
      <c r="N290" s="212" t="str">
        <f ca="1"/>
        <v>DAY</v>
      </c>
      <c r="O290" s="220">
        <f ca="1"/>
        <v>0.93333333333333324</v>
      </c>
      <c r="P290" s="221">
        <f ca="1"/>
        <v>300</v>
      </c>
      <c r="Q290" s="221">
        <f ca="1"/>
        <v>0</v>
      </c>
    </row>
    <row r="291" spans="1:17" ht="18" customHeight="1">
      <c r="A291" s="212" t="str">
        <f ca="1"/>
        <v>C6-MAY</v>
      </c>
      <c r="B291" s="218">
        <f ca="1"/>
        <v>46151</v>
      </c>
      <c r="C291" s="212" t="str">
        <f ca="1"/>
        <v>chakki1,2,3</v>
      </c>
      <c r="D291" s="212" t="str">
        <f ca="1"/>
        <v>NEW PLANT</v>
      </c>
      <c r="E291" s="212" t="str">
        <f ca="1"/>
        <v>HIGH PROTEIN ATTA</v>
      </c>
      <c r="F291" s="219">
        <f ca="1"/>
        <v>1455</v>
      </c>
      <c r="G291" s="219">
        <f ca="1"/>
        <v>2</v>
      </c>
      <c r="H291" s="219">
        <f ca="1"/>
        <v>30</v>
      </c>
      <c r="I291" s="219">
        <f ca="1"/>
        <v>7</v>
      </c>
      <c r="J291" s="219">
        <f ca="1"/>
        <v>70</v>
      </c>
      <c r="K291" s="219">
        <f ca="1"/>
        <v>109</v>
      </c>
      <c r="L291" s="219">
        <f ca="1"/>
        <v>1346</v>
      </c>
      <c r="M291" s="219">
        <f ca="1"/>
        <v>4</v>
      </c>
      <c r="N291" s="212" t="str">
        <f ca="1"/>
        <v>DAY</v>
      </c>
      <c r="O291" s="220">
        <f ca="1"/>
        <v>0.9250859106529209</v>
      </c>
      <c r="P291" s="221">
        <f ca="1"/>
        <v>1455</v>
      </c>
      <c r="Q291" s="221">
        <f ca="1"/>
        <v>0</v>
      </c>
    </row>
    <row r="292" spans="1:17" ht="18" customHeight="1">
      <c r="A292" s="212" t="str">
        <f ca="1"/>
        <v>C6-MAY</v>
      </c>
      <c r="B292" s="218">
        <f ca="1"/>
        <v>46153</v>
      </c>
      <c r="C292" s="212" t="str">
        <f ca="1"/>
        <v>chakki1,2,3</v>
      </c>
      <c r="D292" s="212" t="str">
        <f ca="1"/>
        <v>NEW PLANT</v>
      </c>
      <c r="E292" s="212" t="str">
        <f ca="1"/>
        <v>HIGH PROTEIN ATTA</v>
      </c>
      <c r="F292" s="219">
        <f ca="1"/>
        <v>1649</v>
      </c>
      <c r="G292" s="219">
        <f ca="1"/>
        <v>0</v>
      </c>
      <c r="H292" s="219">
        <f ca="1"/>
        <v>43</v>
      </c>
      <c r="I292" s="219">
        <f ca="1"/>
        <v>3</v>
      </c>
      <c r="J292" s="219">
        <f ca="1"/>
        <v>75</v>
      </c>
      <c r="K292" s="219">
        <f ca="1"/>
        <v>121</v>
      </c>
      <c r="L292" s="219">
        <f ca="1"/>
        <v>1528</v>
      </c>
      <c r="M292" s="219">
        <f ca="1"/>
        <v>3</v>
      </c>
      <c r="N292" s="212" t="str">
        <f ca="1"/>
        <v>DAY</v>
      </c>
      <c r="O292" s="220">
        <f ca="1"/>
        <v>0.92662219526986045</v>
      </c>
      <c r="P292" s="221">
        <f ca="1"/>
        <v>1649</v>
      </c>
      <c r="Q292" s="221">
        <f ca="1"/>
        <v>0</v>
      </c>
    </row>
    <row r="293" spans="1:17" ht="18" customHeight="1">
      <c r="A293" s="212" t="str">
        <f ca="1"/>
        <v>C6-MAY</v>
      </c>
      <c r="B293" s="218">
        <f ca="1"/>
        <v>46154</v>
      </c>
      <c r="C293" s="212" t="str">
        <f ca="1"/>
        <v>chakki1,2,3</v>
      </c>
      <c r="D293" s="212" t="str">
        <f ca="1"/>
        <v>NEW PLANT</v>
      </c>
      <c r="E293" s="212" t="str">
        <f ca="1"/>
        <v>HIGH PROTEIN ATTA</v>
      </c>
      <c r="F293" s="219">
        <f ca="1"/>
        <v>2122</v>
      </c>
      <c r="G293" s="219">
        <f ca="1"/>
        <v>15</v>
      </c>
      <c r="H293" s="219">
        <f ca="1"/>
        <v>35</v>
      </c>
      <c r="I293" s="219">
        <f ca="1"/>
        <v>5</v>
      </c>
      <c r="J293" s="219">
        <f ca="1"/>
        <v>112</v>
      </c>
      <c r="K293" s="219">
        <f ca="1"/>
        <v>167</v>
      </c>
      <c r="L293" s="219">
        <f ca="1"/>
        <v>1955</v>
      </c>
      <c r="M293" s="219">
        <f ca="1"/>
        <v>3</v>
      </c>
      <c r="N293" s="212" t="str">
        <f ca="1"/>
        <v>DAY</v>
      </c>
      <c r="O293" s="220">
        <f ca="1"/>
        <v>0.92130065975494813</v>
      </c>
      <c r="P293" s="221">
        <f ca="1"/>
        <v>2122</v>
      </c>
      <c r="Q293" s="221">
        <f ca="1"/>
        <v>0</v>
      </c>
    </row>
    <row r="294" spans="1:17" ht="18" customHeight="1">
      <c r="A294" s="212" t="str">
        <f ca="1"/>
        <v>C6-MAY</v>
      </c>
      <c r="B294" s="218">
        <f ca="1"/>
        <v>46154</v>
      </c>
      <c r="C294" s="212" t="str">
        <f ca="1"/>
        <v>chakki1,2,3</v>
      </c>
      <c r="D294" s="212" t="str">
        <f ca="1"/>
        <v>C6</v>
      </c>
      <c r="E294" s="212" t="str">
        <f ca="1"/>
        <v>khapli Multigrain</v>
      </c>
      <c r="F294" s="219">
        <f ca="1"/>
        <v>1500</v>
      </c>
      <c r="G294" s="219">
        <f ca="1"/>
        <v>15</v>
      </c>
      <c r="H294" s="219">
        <f ca="1"/>
        <v>25</v>
      </c>
      <c r="I294" s="219">
        <f ca="1"/>
        <v>5</v>
      </c>
      <c r="J294" s="219">
        <f ca="1"/>
        <v>105</v>
      </c>
      <c r="K294" s="219">
        <f ca="1"/>
        <v>150</v>
      </c>
      <c r="L294" s="219">
        <f ca="1"/>
        <v>1350</v>
      </c>
      <c r="M294" s="219">
        <f ca="1"/>
        <v>3</v>
      </c>
      <c r="N294" s="212" t="str">
        <f ca="1"/>
        <v>DAY</v>
      </c>
      <c r="O294" s="220">
        <f ca="1"/>
        <v>0.9</v>
      </c>
      <c r="P294" s="221">
        <f ca="1"/>
        <v>1500</v>
      </c>
      <c r="Q294" s="221">
        <f ca="1"/>
        <v>0</v>
      </c>
    </row>
    <row r="295" spans="1:17" ht="18" customHeight="1">
      <c r="A295" s="212" t="str">
        <f ca="1"/>
        <v>C6-MAY</v>
      </c>
      <c r="B295" s="218">
        <f ca="1"/>
        <v>46155</v>
      </c>
      <c r="C295" s="212" t="str">
        <f ca="1"/>
        <v>chakki1,2,3</v>
      </c>
      <c r="D295" s="212" t="str">
        <f ca="1"/>
        <v>C6</v>
      </c>
      <c r="E295" s="212" t="str">
        <f ca="1"/>
        <v>HIGH PROTEIN ATTA</v>
      </c>
      <c r="F295" s="219">
        <f ca="1"/>
        <v>2095</v>
      </c>
      <c r="G295" s="219">
        <f ca="1"/>
        <v>5</v>
      </c>
      <c r="H295" s="219">
        <f ca="1"/>
        <v>34</v>
      </c>
      <c r="I295" s="219">
        <f ca="1"/>
        <v>5</v>
      </c>
      <c r="J295" s="219">
        <f ca="1"/>
        <v>90</v>
      </c>
      <c r="K295" s="219">
        <f ca="1"/>
        <v>135</v>
      </c>
      <c r="L295" s="219">
        <f ca="1"/>
        <v>1960</v>
      </c>
      <c r="M295" s="219">
        <f ca="1"/>
        <v>4</v>
      </c>
      <c r="N295" s="212" t="str">
        <f ca="1"/>
        <v>DAY</v>
      </c>
      <c r="O295" s="220">
        <f ca="1"/>
        <v>0.93556085918854426</v>
      </c>
      <c r="P295" s="221">
        <f ca="1"/>
        <v>2095</v>
      </c>
      <c r="Q295" s="221">
        <f ca="1"/>
        <v>0</v>
      </c>
    </row>
    <row r="296" spans="1:17" ht="18" customHeight="1">
      <c r="A296" s="212" t="str">
        <f ca="1"/>
        <v>C6-MAY</v>
      </c>
      <c r="B296" s="218">
        <f ca="1"/>
        <v>46156</v>
      </c>
      <c r="C296" s="212" t="str">
        <f ca="1"/>
        <v>chakki1,2,3</v>
      </c>
      <c r="D296" s="212" t="str">
        <f ca="1"/>
        <v>C6</v>
      </c>
      <c r="E296" s="212" t="str">
        <f ca="1"/>
        <v xml:space="preserve">khapli </v>
      </c>
      <c r="F296" s="219">
        <f ca="1"/>
        <v>2400</v>
      </c>
      <c r="G296" s="219">
        <f ca="1"/>
        <v>10</v>
      </c>
      <c r="H296" s="219">
        <f ca="1"/>
        <v>40</v>
      </c>
      <c r="I296" s="219">
        <f ca="1"/>
        <v>2</v>
      </c>
      <c r="J296" s="219">
        <f ca="1"/>
        <v>85</v>
      </c>
      <c r="K296" s="219">
        <f ca="1"/>
        <v>137</v>
      </c>
      <c r="L296" s="219">
        <f ca="1"/>
        <v>2263</v>
      </c>
      <c r="M296" s="219">
        <f ca="1"/>
        <v>3</v>
      </c>
      <c r="N296" s="212" t="str">
        <f ca="1"/>
        <v>DAY</v>
      </c>
      <c r="O296" s="220">
        <f ca="1"/>
        <v>0.94291666666666663</v>
      </c>
      <c r="P296" s="221">
        <f ca="1"/>
        <v>2400</v>
      </c>
      <c r="Q296" s="221">
        <f ca="1"/>
        <v>0</v>
      </c>
    </row>
    <row r="297" spans="1:17" ht="18" customHeight="1">
      <c r="A297" s="212" t="str">
        <f ca="1"/>
        <v>C6-MAY</v>
      </c>
      <c r="B297" s="218">
        <f ca="1"/>
        <v>46157</v>
      </c>
      <c r="C297" s="212" t="str">
        <f ca="1"/>
        <v>chakki1,2,3</v>
      </c>
      <c r="D297" s="212" t="str">
        <f ca="1"/>
        <v>C6</v>
      </c>
      <c r="E297" s="212" t="str">
        <f ca="1"/>
        <v xml:space="preserve">khapli </v>
      </c>
      <c r="F297" s="219">
        <f ca="1"/>
        <v>2400</v>
      </c>
      <c r="G297" s="219">
        <f ca="1"/>
        <v>4</v>
      </c>
      <c r="H297" s="219">
        <f ca="1"/>
        <v>40</v>
      </c>
      <c r="I297" s="219">
        <f ca="1"/>
        <v>2</v>
      </c>
      <c r="J297" s="219">
        <f ca="1"/>
        <v>79</v>
      </c>
      <c r="K297" s="219">
        <f ca="1"/>
        <v>125</v>
      </c>
      <c r="L297" s="219">
        <f ca="1"/>
        <v>2275</v>
      </c>
      <c r="M297" s="219">
        <f ca="1"/>
        <v>3</v>
      </c>
      <c r="N297" s="212" t="str">
        <f ca="1"/>
        <v>DAY</v>
      </c>
      <c r="O297" s="220">
        <f ca="1"/>
        <v>0.94791666666666652</v>
      </c>
      <c r="P297" s="221">
        <f ca="1"/>
        <v>2400</v>
      </c>
      <c r="Q297" s="221">
        <f ca="1"/>
        <v>0</v>
      </c>
    </row>
    <row r="298" spans="1:17" ht="18" customHeight="1">
      <c r="A298" s="212" t="str">
        <f ca="1"/>
        <v>C6-MAY</v>
      </c>
      <c r="B298" s="218">
        <f ca="1"/>
        <v>46158</v>
      </c>
      <c r="C298" s="212" t="str">
        <f ca="1"/>
        <v>chakki1,2,3</v>
      </c>
      <c r="D298" s="212" t="str">
        <f ca="1"/>
        <v>C6</v>
      </c>
      <c r="E298" s="212" t="str">
        <f ca="1"/>
        <v>jowar grains</v>
      </c>
      <c r="F298" s="219">
        <f ca="1"/>
        <v>1030</v>
      </c>
      <c r="G298" s="219">
        <f ca="1"/>
        <v>10</v>
      </c>
      <c r="H298" s="219">
        <f ca="1"/>
        <v>14</v>
      </c>
      <c r="I298" s="219">
        <f ca="1"/>
        <v>1</v>
      </c>
      <c r="J298" s="219">
        <f ca="1"/>
        <v>50</v>
      </c>
      <c r="K298" s="219">
        <f ca="1"/>
        <v>76</v>
      </c>
      <c r="L298" s="219">
        <f ca="1"/>
        <v>954</v>
      </c>
      <c r="M298" s="219">
        <f ca="1"/>
        <v>6</v>
      </c>
      <c r="N298" s="212" t="str">
        <f ca="1"/>
        <v>DAY</v>
      </c>
      <c r="O298" s="220">
        <f ca="1"/>
        <v>0.9262135922330097</v>
      </c>
      <c r="P298" s="221">
        <f ca="1"/>
        <v>1030</v>
      </c>
      <c r="Q298" s="221">
        <f ca="1"/>
        <v>0</v>
      </c>
    </row>
    <row r="299" spans="1:17" ht="18" customHeight="1">
      <c r="A299" s="212" t="str">
        <f ca="1"/>
        <v>C6-MAY</v>
      </c>
      <c r="B299" s="218">
        <f ca="1"/>
        <v>46158</v>
      </c>
      <c r="C299" s="212" t="str">
        <f ca="1"/>
        <v>chakki1,2,3</v>
      </c>
      <c r="D299" s="212" t="str">
        <f ca="1"/>
        <v>NEW PLANT</v>
      </c>
      <c r="E299" s="212" t="str">
        <f ca="1"/>
        <v>khapli Multigrain</v>
      </c>
      <c r="F299" s="219">
        <f ca="1"/>
        <v>2350</v>
      </c>
      <c r="G299" s="219">
        <f ca="1"/>
        <v>0</v>
      </c>
      <c r="H299" s="219">
        <f ca="1"/>
        <v>60</v>
      </c>
      <c r="I299" s="219">
        <f ca="1"/>
        <v>2</v>
      </c>
      <c r="J299" s="219">
        <f ca="1"/>
        <v>86</v>
      </c>
      <c r="K299" s="219">
        <f ca="1"/>
        <v>148</v>
      </c>
      <c r="L299" s="219">
        <f ca="1"/>
        <v>2202</v>
      </c>
      <c r="M299" s="219">
        <f ca="1"/>
        <v>6</v>
      </c>
      <c r="N299" s="212" t="str">
        <f ca="1"/>
        <v>DAY</v>
      </c>
      <c r="O299" s="220">
        <f ca="1"/>
        <v>0.93702127659574463</v>
      </c>
      <c r="P299" s="221">
        <f ca="1"/>
        <v>2350</v>
      </c>
      <c r="Q299" s="221">
        <f ca="1"/>
        <v>0</v>
      </c>
    </row>
    <row r="300" spans="1:17" ht="18" customHeight="1">
      <c r="A300" s="212" t="str">
        <f ca="1"/>
        <v>C6-MAY</v>
      </c>
      <c r="B300" s="218">
        <f ca="1"/>
        <v>46160</v>
      </c>
      <c r="C300" s="212" t="str">
        <f ca="1"/>
        <v>chakki1,2,3</v>
      </c>
      <c r="D300" s="212" t="str">
        <f ca="1"/>
        <v>NEW PLANT</v>
      </c>
      <c r="E300" s="212" t="str">
        <f ca="1"/>
        <v>khapli Multigrain</v>
      </c>
      <c r="F300" s="219">
        <f ca="1"/>
        <v>3450</v>
      </c>
      <c r="G300" s="219">
        <f ca="1"/>
        <v>0</v>
      </c>
      <c r="H300" s="219">
        <f ca="1"/>
        <v>77</v>
      </c>
      <c r="I300" s="219">
        <f ca="1"/>
        <v>3</v>
      </c>
      <c r="J300" s="219">
        <f ca="1"/>
        <v>150</v>
      </c>
      <c r="K300" s="219">
        <f ca="1"/>
        <v>230</v>
      </c>
      <c r="L300" s="219">
        <f ca="1"/>
        <v>3220</v>
      </c>
      <c r="M300" s="219">
        <f ca="1"/>
        <v>3</v>
      </c>
      <c r="N300" s="212" t="str">
        <f ca="1"/>
        <v>DAY</v>
      </c>
      <c r="O300" s="220">
        <f ca="1"/>
        <v>0.93333333333333324</v>
      </c>
      <c r="P300" s="221">
        <f ca="1"/>
        <v>3450</v>
      </c>
      <c r="Q300" s="221">
        <f ca="1"/>
        <v>0</v>
      </c>
    </row>
    <row r="301" spans="1:17" ht="18" customHeight="1">
      <c r="A301" s="212" t="str">
        <f ca="1"/>
        <v>C6-MAY</v>
      </c>
      <c r="B301" s="218">
        <f ca="1"/>
        <v>46160</v>
      </c>
      <c r="C301" s="212" t="str">
        <f ca="1"/>
        <v>chakki1,2,3</v>
      </c>
      <c r="D301" s="212" t="str">
        <f ca="1"/>
        <v>NEW PLANT</v>
      </c>
      <c r="E301" s="212" t="str">
        <f ca="1"/>
        <v>HIGH PROTEIN ATTA</v>
      </c>
      <c r="F301" s="219">
        <f ca="1"/>
        <v>1450</v>
      </c>
      <c r="G301" s="219">
        <f ca="1"/>
        <v>0</v>
      </c>
      <c r="H301" s="219">
        <f ca="1"/>
        <v>19</v>
      </c>
      <c r="I301" s="219">
        <f ca="1"/>
        <v>2</v>
      </c>
      <c r="J301" s="219">
        <f ca="1"/>
        <v>55.5</v>
      </c>
      <c r="K301" s="219">
        <f ca="1"/>
        <v>76.5</v>
      </c>
      <c r="L301" s="219">
        <f ca="1"/>
        <v>1373.5</v>
      </c>
      <c r="M301" s="219">
        <f ca="1"/>
        <v>0</v>
      </c>
      <c r="N301" s="212">
        <f ca="1"/>
        <v>0</v>
      </c>
      <c r="O301" s="220">
        <f ca="1"/>
        <v>0.9472413793103448</v>
      </c>
      <c r="P301" s="221">
        <f ca="1"/>
        <v>1450</v>
      </c>
      <c r="Q301" s="221">
        <f ca="1"/>
        <v>0</v>
      </c>
    </row>
    <row r="302" spans="1:17" ht="18" customHeight="1">
      <c r="A302" s="212" t="str">
        <f ca="1"/>
        <v>C6-MAY</v>
      </c>
      <c r="B302" s="218">
        <f ca="1"/>
        <v>46161</v>
      </c>
      <c r="C302" s="212" t="str">
        <f ca="1"/>
        <v>chakki1,2,3</v>
      </c>
      <c r="D302" s="212" t="str">
        <f ca="1"/>
        <v>NEW PLANT</v>
      </c>
      <c r="E302" s="212" t="str">
        <f ca="1"/>
        <v>khapli Multigrain</v>
      </c>
      <c r="F302" s="219">
        <f ca="1"/>
        <v>1800</v>
      </c>
      <c r="G302" s="219">
        <f ca="1"/>
        <v>0</v>
      </c>
      <c r="H302" s="219">
        <f ca="1"/>
        <v>45</v>
      </c>
      <c r="I302" s="219">
        <f ca="1"/>
        <v>2</v>
      </c>
      <c r="J302" s="219">
        <f ca="1"/>
        <v>79</v>
      </c>
      <c r="K302" s="219">
        <f ca="1"/>
        <v>126</v>
      </c>
      <c r="L302" s="219">
        <f ca="1"/>
        <v>1674</v>
      </c>
      <c r="M302" s="219">
        <f ca="1"/>
        <v>4</v>
      </c>
      <c r="N302" s="212" t="str">
        <f ca="1"/>
        <v>DAY</v>
      </c>
      <c r="O302" s="220">
        <f ca="1"/>
        <v>0.93</v>
      </c>
      <c r="P302" s="221">
        <f ca="1"/>
        <v>1800</v>
      </c>
      <c r="Q302" s="221">
        <f ca="1"/>
        <v>0</v>
      </c>
    </row>
    <row r="303" spans="1:17" ht="18" customHeight="1">
      <c r="A303" s="212" t="str">
        <f ca="1"/>
        <v>C6-MAY</v>
      </c>
      <c r="B303" s="218">
        <f ca="1"/>
        <v>46161</v>
      </c>
      <c r="C303" s="212" t="str">
        <f ca="1"/>
        <v>chakki1,2,3</v>
      </c>
      <c r="D303" s="212" t="str">
        <f ca="1"/>
        <v>OLD PLANT</v>
      </c>
      <c r="E303" s="212" t="str">
        <f ca="1"/>
        <v xml:space="preserve">KHAPLI </v>
      </c>
      <c r="F303" s="219">
        <f ca="1"/>
        <v>1050</v>
      </c>
      <c r="G303" s="219">
        <f ca="1"/>
        <v>6</v>
      </c>
      <c r="H303" s="219">
        <f ca="1"/>
        <v>15</v>
      </c>
      <c r="I303" s="219">
        <f ca="1"/>
        <v>1</v>
      </c>
      <c r="J303" s="219">
        <f ca="1"/>
        <v>68</v>
      </c>
      <c r="K303" s="219">
        <f ca="1"/>
        <v>90</v>
      </c>
      <c r="L303" s="219">
        <f ca="1"/>
        <v>960</v>
      </c>
      <c r="M303" s="219">
        <f ca="1"/>
        <v>4</v>
      </c>
      <c r="N303" s="212" t="str">
        <f ca="1"/>
        <v>DAY</v>
      </c>
      <c r="O303" s="220">
        <f ca="1"/>
        <v>0.91428571428571426</v>
      </c>
      <c r="P303" s="221">
        <f ca="1"/>
        <v>1050</v>
      </c>
      <c r="Q303" s="221">
        <f ca="1"/>
        <v>0</v>
      </c>
    </row>
    <row r="304" spans="1:17" ht="18" customHeight="1">
      <c r="A304" s="212" t="str">
        <f ca="1"/>
        <v>C6-MAY</v>
      </c>
      <c r="B304" s="218">
        <f ca="1"/>
        <v>46162</v>
      </c>
      <c r="C304" s="212" t="str">
        <f ca="1"/>
        <v>chakki1,2,3</v>
      </c>
      <c r="D304" s="212" t="str">
        <f ca="1"/>
        <v>OLD PLANT</v>
      </c>
      <c r="E304" s="212" t="str">
        <f ca="1"/>
        <v>KHAPLI</v>
      </c>
      <c r="F304" s="219">
        <f ca="1"/>
        <v>820</v>
      </c>
      <c r="G304" s="219">
        <f ca="1"/>
        <v>5</v>
      </c>
      <c r="H304" s="219">
        <f ca="1"/>
        <v>15</v>
      </c>
      <c r="I304" s="219">
        <f ca="1"/>
        <v>1</v>
      </c>
      <c r="J304" s="219">
        <f ca="1"/>
        <v>45</v>
      </c>
      <c r="K304" s="219">
        <f ca="1"/>
        <v>66</v>
      </c>
      <c r="L304" s="219">
        <f ca="1"/>
        <v>754</v>
      </c>
      <c r="M304" s="219">
        <f ca="1"/>
        <v>3</v>
      </c>
      <c r="N304" s="212" t="str">
        <f ca="1"/>
        <v>DAY</v>
      </c>
      <c r="O304" s="220">
        <f ca="1"/>
        <v>0.91951219512195126</v>
      </c>
      <c r="P304" s="221">
        <f ca="1"/>
        <v>820</v>
      </c>
      <c r="Q304" s="221">
        <f ca="1"/>
        <v>0</v>
      </c>
    </row>
    <row r="305" spans="1:17" ht="18" customHeight="1">
      <c r="A305" s="212" t="str">
        <f ca="1"/>
        <v>C6-MAY</v>
      </c>
      <c r="B305" s="218">
        <f ca="1"/>
        <v>46162</v>
      </c>
      <c r="C305" s="212" t="str">
        <f ca="1"/>
        <v>chakki1,2,3</v>
      </c>
      <c r="D305" s="212" t="str">
        <f ca="1"/>
        <v>OLD PLANT</v>
      </c>
      <c r="E305" s="212" t="str">
        <f ca="1"/>
        <v>JOWAR</v>
      </c>
      <c r="F305" s="219">
        <f ca="1"/>
        <v>1650</v>
      </c>
      <c r="G305" s="219">
        <f ca="1"/>
        <v>0</v>
      </c>
      <c r="H305" s="219">
        <f ca="1"/>
        <v>39</v>
      </c>
      <c r="I305" s="219">
        <f ca="1"/>
        <v>1</v>
      </c>
      <c r="J305" s="219">
        <f ca="1"/>
        <v>90</v>
      </c>
      <c r="K305" s="219">
        <f ca="1"/>
        <v>130</v>
      </c>
      <c r="L305" s="219">
        <f ca="1"/>
        <v>1520</v>
      </c>
      <c r="M305" s="219">
        <f ca="1"/>
        <v>3</v>
      </c>
      <c r="N305" s="212" t="str">
        <f ca="1"/>
        <v>DAY</v>
      </c>
      <c r="O305" s="220">
        <f ca="1"/>
        <v>0.92121212121212126</v>
      </c>
      <c r="P305" s="221">
        <f ca="1"/>
        <v>1650</v>
      </c>
      <c r="Q305" s="221">
        <f ca="1"/>
        <v>0</v>
      </c>
    </row>
    <row r="306" spans="1:17" ht="18" customHeight="1">
      <c r="A306" s="212" t="str">
        <f ca="1"/>
        <v>C6-MAY</v>
      </c>
      <c r="B306" s="218">
        <f ca="1"/>
        <v>46163</v>
      </c>
      <c r="C306" s="212" t="str">
        <f ca="1"/>
        <v>chakki1,2,3</v>
      </c>
      <c r="D306" s="212" t="str">
        <f ca="1"/>
        <v>OLD PLANT</v>
      </c>
      <c r="E306" s="212" t="str">
        <f ca="1"/>
        <v>jowar</v>
      </c>
      <c r="F306" s="219">
        <f ca="1"/>
        <v>350</v>
      </c>
      <c r="G306" s="219">
        <f ca="1"/>
        <v>5</v>
      </c>
      <c r="H306" s="219">
        <f ca="1"/>
        <v>7</v>
      </c>
      <c r="I306" s="219">
        <f ca="1"/>
        <v>1</v>
      </c>
      <c r="J306" s="219">
        <f ca="1"/>
        <v>67</v>
      </c>
      <c r="K306" s="219">
        <f ca="1"/>
        <v>80</v>
      </c>
      <c r="L306" s="219">
        <f ca="1"/>
        <v>270</v>
      </c>
      <c r="M306" s="219">
        <f ca="1"/>
        <v>2</v>
      </c>
      <c r="N306" s="212" t="str">
        <f ca="1"/>
        <v>DAY</v>
      </c>
      <c r="O306" s="220">
        <f ca="1"/>
        <v>0.77142857142857157</v>
      </c>
      <c r="P306" s="221">
        <f ca="1"/>
        <v>350</v>
      </c>
      <c r="Q306" s="221">
        <f ca="1"/>
        <v>0</v>
      </c>
    </row>
    <row r="307" spans="1:17" ht="18" customHeight="1">
      <c r="A307" s="212" t="str">
        <f ca="1"/>
        <v>C6-MAY</v>
      </c>
      <c r="B307" s="218">
        <f ca="1"/>
        <v>46163</v>
      </c>
      <c r="C307" s="212" t="str">
        <f ca="1"/>
        <v>chakki1,2,3</v>
      </c>
      <c r="D307" s="212" t="str">
        <f ca="1"/>
        <v>OLD PLANT</v>
      </c>
      <c r="E307" s="212" t="str">
        <f ca="1"/>
        <v>HIGH PROTEIN ATTA</v>
      </c>
      <c r="F307" s="219">
        <f ca="1"/>
        <v>339.5</v>
      </c>
      <c r="G307" s="219">
        <f ca="1"/>
        <v>0</v>
      </c>
      <c r="H307" s="219">
        <f ca="1"/>
        <v>9</v>
      </c>
      <c r="I307" s="219">
        <f ca="1"/>
        <v>0.5</v>
      </c>
      <c r="J307" s="219">
        <f ca="1"/>
        <v>21</v>
      </c>
      <c r="K307" s="219">
        <f ca="1"/>
        <v>30.5</v>
      </c>
      <c r="L307" s="219">
        <f ca="1"/>
        <v>309</v>
      </c>
      <c r="M307" s="219">
        <f ca="1"/>
        <v>2</v>
      </c>
      <c r="N307" s="212" t="str">
        <f ca="1"/>
        <v>DAY</v>
      </c>
      <c r="O307" s="220">
        <f ca="1"/>
        <v>0.91016200294550809</v>
      </c>
      <c r="P307" s="221">
        <f ca="1"/>
        <v>339.5</v>
      </c>
      <c r="Q307" s="221">
        <f ca="1"/>
        <v>0</v>
      </c>
    </row>
    <row r="308" spans="1:17" ht="18" customHeight="1">
      <c r="A308" s="212" t="str">
        <f ca="1"/>
        <v>C6-MAY</v>
      </c>
      <c r="B308" s="218">
        <f ca="1"/>
        <v>46164</v>
      </c>
      <c r="C308" s="212" t="str">
        <f ca="1"/>
        <v>chakki1,2,3</v>
      </c>
      <c r="D308" s="212" t="str">
        <f ca="1"/>
        <v>NEW PLANT</v>
      </c>
      <c r="E308" s="212" t="str">
        <f ca="1"/>
        <v>HIGH PROTEIN ATTA</v>
      </c>
      <c r="F308" s="219">
        <f ca="1"/>
        <v>3346.5</v>
      </c>
      <c r="G308" s="219">
        <f ca="1"/>
        <v>0</v>
      </c>
      <c r="H308" s="219">
        <f ca="1"/>
        <v>54</v>
      </c>
      <c r="I308" s="219">
        <f ca="1"/>
        <v>2</v>
      </c>
      <c r="J308" s="219">
        <f ca="1"/>
        <v>140.5</v>
      </c>
      <c r="K308" s="219">
        <f ca="1"/>
        <v>196.5</v>
      </c>
      <c r="L308" s="219">
        <f ca="1"/>
        <v>3150</v>
      </c>
      <c r="M308" s="219">
        <f ca="1"/>
        <v>4</v>
      </c>
      <c r="N308" s="212" t="str">
        <f ca="1"/>
        <v>DAY</v>
      </c>
      <c r="O308" s="220">
        <f ca="1"/>
        <v>0.94128193635141189</v>
      </c>
      <c r="P308" s="221">
        <f ca="1"/>
        <v>3346.5</v>
      </c>
      <c r="Q308" s="221">
        <f ca="1"/>
        <v>0</v>
      </c>
    </row>
    <row r="309" spans="1:17" ht="18" customHeight="1">
      <c r="A309" s="212" t="str">
        <f ca="1"/>
        <v>C6-MAY</v>
      </c>
      <c r="B309" s="218">
        <f ca="1"/>
        <v>46165</v>
      </c>
      <c r="C309" s="212" t="str">
        <f ca="1"/>
        <v>chakki1,2,3</v>
      </c>
      <c r="D309" s="212" t="str">
        <f ca="1"/>
        <v>OLD PLANT</v>
      </c>
      <c r="E309" s="212" t="str">
        <f ca="1"/>
        <v>HIGH PROTEIN ATTA</v>
      </c>
      <c r="F309" s="219">
        <f ca="1"/>
        <v>2279.5</v>
      </c>
      <c r="G309" s="219">
        <f ca="1"/>
        <v>10</v>
      </c>
      <c r="H309" s="219">
        <f ca="1"/>
        <v>54</v>
      </c>
      <c r="I309" s="219">
        <f ca="1"/>
        <v>1</v>
      </c>
      <c r="J309" s="219">
        <f ca="1"/>
        <v>89.5</v>
      </c>
      <c r="K309" s="219">
        <f ca="1"/>
        <v>144.5</v>
      </c>
      <c r="L309" s="219">
        <f ca="1"/>
        <v>2135</v>
      </c>
      <c r="M309" s="219">
        <f ca="1"/>
        <v>3</v>
      </c>
      <c r="N309" s="212" t="str">
        <f ca="1"/>
        <v>DAY</v>
      </c>
      <c r="O309" s="220">
        <f ca="1"/>
        <v>0.93660890546172415</v>
      </c>
      <c r="P309" s="221">
        <f ca="1"/>
        <v>2279.5</v>
      </c>
      <c r="Q309" s="221">
        <f ca="1"/>
        <v>0</v>
      </c>
    </row>
    <row r="310" spans="1:17" ht="18" customHeight="1">
      <c r="A310" s="212" t="str">
        <f ca="1"/>
        <v>C6-MAY</v>
      </c>
      <c r="B310" s="218">
        <f ca="1"/>
        <v>46167</v>
      </c>
      <c r="C310" s="212" t="str">
        <f ca="1"/>
        <v>chakki1,2,3</v>
      </c>
      <c r="D310" s="212" t="str">
        <f ca="1"/>
        <v>NEW PLANT</v>
      </c>
      <c r="E310" s="212" t="str">
        <f ca="1"/>
        <v>HIGH PROTEIN ATTA</v>
      </c>
      <c r="F310" s="219">
        <f ca="1"/>
        <v>2958.5</v>
      </c>
      <c r="G310" s="219">
        <f ca="1"/>
        <v>0</v>
      </c>
      <c r="H310" s="219">
        <f ca="1"/>
        <v>75</v>
      </c>
      <c r="I310" s="219">
        <f ca="1"/>
        <v>2</v>
      </c>
      <c r="J310" s="219">
        <f ca="1"/>
        <v>161.5</v>
      </c>
      <c r="K310" s="219">
        <f ca="1"/>
        <v>238.5</v>
      </c>
      <c r="L310" s="219">
        <f ca="1"/>
        <v>2720</v>
      </c>
      <c r="M310" s="219">
        <f ca="1"/>
        <v>3</v>
      </c>
      <c r="N310" s="212" t="str">
        <f ca="1"/>
        <v>DAY</v>
      </c>
      <c r="O310" s="220">
        <f ca="1"/>
        <v>0.91938482339023153</v>
      </c>
      <c r="P310" s="221">
        <f ca="1"/>
        <v>2958.5</v>
      </c>
      <c r="Q310" s="221">
        <f ca="1"/>
        <v>0</v>
      </c>
    </row>
    <row r="311" spans="1:17" ht="18" customHeight="1">
      <c r="A311" s="212" t="str">
        <f ca="1"/>
        <v>C6-MAY</v>
      </c>
      <c r="B311" s="218">
        <f ca="1"/>
        <v>46168</v>
      </c>
      <c r="C311" s="212" t="str">
        <f ca="1"/>
        <v>chakki1,2,3</v>
      </c>
      <c r="D311" s="212" t="str">
        <f ca="1"/>
        <v>NEW PLANT</v>
      </c>
      <c r="E311" s="212" t="str">
        <f ca="1"/>
        <v>HIGH PROTEIN ATTA</v>
      </c>
      <c r="F311" s="219">
        <f ca="1"/>
        <v>990</v>
      </c>
      <c r="G311" s="219">
        <f ca="1"/>
        <v>0</v>
      </c>
      <c r="H311" s="219">
        <f ca="1"/>
        <v>15</v>
      </c>
      <c r="I311" s="219">
        <f ca="1"/>
        <v>1</v>
      </c>
      <c r="J311" s="219">
        <f ca="1"/>
        <v>59</v>
      </c>
      <c r="K311" s="219">
        <f ca="1"/>
        <v>75</v>
      </c>
      <c r="L311" s="219">
        <f ca="1"/>
        <v>915</v>
      </c>
      <c r="M311" s="219">
        <f ca="1"/>
        <v>3</v>
      </c>
      <c r="N311" s="212" t="str">
        <f ca="1"/>
        <v>DAY</v>
      </c>
      <c r="O311" s="220">
        <f ca="1"/>
        <v>0.9242424242424242</v>
      </c>
      <c r="P311" s="221">
        <f ca="1"/>
        <v>990</v>
      </c>
      <c r="Q311" s="221">
        <f ca="1"/>
        <v>0</v>
      </c>
    </row>
    <row r="312" spans="1:17" ht="18" customHeight="1">
      <c r="A312" s="212" t="str">
        <f ca="1"/>
        <v>C6-MAY</v>
      </c>
      <c r="B312" s="218">
        <f ca="1"/>
        <v>46169</v>
      </c>
      <c r="C312" s="212" t="str">
        <f ca="1"/>
        <v>chakki1,2,3</v>
      </c>
      <c r="D312" s="212" t="str">
        <f ca="1"/>
        <v>OLD PLANT</v>
      </c>
      <c r="E312" s="212" t="str">
        <f ca="1"/>
        <v>jowar grains</v>
      </c>
      <c r="F312" s="219">
        <f ca="1"/>
        <v>400</v>
      </c>
      <c r="G312" s="219">
        <f ca="1"/>
        <v>4</v>
      </c>
      <c r="H312" s="219">
        <f ca="1"/>
        <v>9</v>
      </c>
      <c r="I312" s="219">
        <f ca="1"/>
        <v>2</v>
      </c>
      <c r="J312" s="219">
        <f ca="1"/>
        <v>15</v>
      </c>
      <c r="K312" s="219">
        <f ca="1"/>
        <v>30</v>
      </c>
      <c r="L312" s="219">
        <f ca="1"/>
        <v>370</v>
      </c>
      <c r="M312" s="219">
        <f ca="1"/>
        <v>3</v>
      </c>
      <c r="N312" s="212" t="str">
        <f ca="1"/>
        <v>DAY</v>
      </c>
      <c r="O312" s="220">
        <f ca="1"/>
        <v>0.92500000000000004</v>
      </c>
      <c r="P312" s="221">
        <f ca="1"/>
        <v>400</v>
      </c>
      <c r="Q312" s="221">
        <f ca="1"/>
        <v>0</v>
      </c>
    </row>
    <row r="313" spans="1:17" ht="18" customHeight="1">
      <c r="A313" s="212" t="str">
        <f ca="1"/>
        <v>C6-MAY</v>
      </c>
      <c r="B313" s="218">
        <f ca="1"/>
        <v>46169</v>
      </c>
      <c r="C313" s="212" t="str">
        <f ca="1"/>
        <v>chakki1,2,3</v>
      </c>
      <c r="D313" s="212" t="str">
        <f ca="1"/>
        <v>NEW PLANT</v>
      </c>
      <c r="E313" s="212" t="str">
        <f ca="1"/>
        <v>HIGH PROTEIN ATTA</v>
      </c>
      <c r="F313" s="219">
        <f ca="1"/>
        <v>1649</v>
      </c>
      <c r="G313" s="219">
        <f ca="1"/>
        <v>0</v>
      </c>
      <c r="H313" s="219">
        <f ca="1"/>
        <v>40</v>
      </c>
      <c r="I313" s="219">
        <f ca="1"/>
        <v>2</v>
      </c>
      <c r="J313" s="219">
        <f ca="1"/>
        <v>67</v>
      </c>
      <c r="K313" s="219">
        <f ca="1"/>
        <v>109</v>
      </c>
      <c r="L313" s="219">
        <f ca="1"/>
        <v>1540</v>
      </c>
      <c r="M313" s="219">
        <f ca="1"/>
        <v>3</v>
      </c>
      <c r="N313" s="212" t="str">
        <f ca="1"/>
        <v>DAY</v>
      </c>
      <c r="O313" s="220">
        <f ca="1"/>
        <v>0.93389933292904781</v>
      </c>
      <c r="P313" s="221">
        <f ca="1"/>
        <v>1649</v>
      </c>
      <c r="Q313" s="221">
        <f ca="1"/>
        <v>0</v>
      </c>
    </row>
    <row r="314" spans="1:17" ht="18" customHeight="1">
      <c r="A314" s="212" t="str">
        <f ca="1"/>
        <v>C6-MAY</v>
      </c>
      <c r="B314" s="218">
        <f ca="1"/>
        <v>46170</v>
      </c>
      <c r="C314" s="212" t="str">
        <f ca="1"/>
        <v>chakki1,2,3</v>
      </c>
      <c r="D314" s="212" t="str">
        <f ca="1"/>
        <v>OLD PLANT</v>
      </c>
      <c r="E314" s="212" t="str">
        <f ca="1"/>
        <v>jowar grains</v>
      </c>
      <c r="F314" s="219">
        <f ca="1"/>
        <v>3100</v>
      </c>
      <c r="G314" s="219">
        <f ca="1"/>
        <v>0</v>
      </c>
      <c r="H314" s="219">
        <f ca="1"/>
        <v>63</v>
      </c>
      <c r="I314" s="219">
        <f ca="1"/>
        <v>2</v>
      </c>
      <c r="J314" s="219">
        <f ca="1"/>
        <v>101</v>
      </c>
      <c r="K314" s="219">
        <f ca="1"/>
        <v>166</v>
      </c>
      <c r="L314" s="219">
        <f ca="1"/>
        <v>2934</v>
      </c>
      <c r="M314" s="219">
        <f ca="1"/>
        <v>3</v>
      </c>
      <c r="N314" s="212" t="str">
        <f ca="1"/>
        <v>DAY</v>
      </c>
      <c r="O314" s="220">
        <f ca="1"/>
        <v>0.94645161290322577</v>
      </c>
      <c r="P314" s="221">
        <f ca="1"/>
        <v>3100</v>
      </c>
      <c r="Q314" s="221">
        <f ca="1"/>
        <v>0</v>
      </c>
    </row>
    <row r="315" spans="1:17" ht="18" customHeight="1">
      <c r="A315" s="212" t="str">
        <f ca="1"/>
        <v>C6-MAY</v>
      </c>
      <c r="B315" s="218">
        <f ca="1"/>
        <v>46171</v>
      </c>
      <c r="C315" s="212" t="str">
        <f ca="1"/>
        <v>chakki1,2,3</v>
      </c>
      <c r="D315" s="212" t="str">
        <f ca="1"/>
        <v>NEW PLANT</v>
      </c>
      <c r="E315" s="212" t="str">
        <f ca="1"/>
        <v>HIGH PROTEIN ATTA</v>
      </c>
      <c r="F315" s="219">
        <f ca="1"/>
        <v>2813</v>
      </c>
      <c r="G315" s="219">
        <f ca="1"/>
        <v>10</v>
      </c>
      <c r="H315" s="219">
        <f ca="1"/>
        <v>46</v>
      </c>
      <c r="I315" s="219">
        <f ca="1"/>
        <v>2</v>
      </c>
      <c r="J315" s="219">
        <f ca="1"/>
        <v>142</v>
      </c>
      <c r="K315" s="219">
        <f ca="1"/>
        <v>200</v>
      </c>
      <c r="L315" s="219">
        <f ca="1"/>
        <v>2613</v>
      </c>
      <c r="M315" s="219">
        <f ca="1"/>
        <v>3</v>
      </c>
      <c r="N315" s="212" t="str">
        <f ca="1"/>
        <v>DAY</v>
      </c>
      <c r="O315" s="220">
        <f ca="1"/>
        <v>0.92890152861713471</v>
      </c>
      <c r="P315" s="221">
        <f ca="1"/>
        <v>2813</v>
      </c>
      <c r="Q315" s="221">
        <f ca="1"/>
        <v>0</v>
      </c>
    </row>
    <row r="316" spans="1:17" ht="18" customHeight="1">
      <c r="A316" s="212" t="str">
        <f ca="1"/>
        <v>C6-MAY</v>
      </c>
      <c r="B316" s="218">
        <f ca="1"/>
        <v>46171</v>
      </c>
      <c r="C316" s="212" t="str">
        <f ca="1"/>
        <v>chakki1,2,3</v>
      </c>
      <c r="D316" s="212" t="str">
        <f ca="1"/>
        <v>NEW PLANT</v>
      </c>
      <c r="E316" s="212" t="str">
        <f ca="1"/>
        <v>jowar grains</v>
      </c>
      <c r="F316" s="219">
        <f ca="1"/>
        <v>500</v>
      </c>
      <c r="G316" s="219">
        <f ca="1"/>
        <v>0</v>
      </c>
      <c r="H316" s="219">
        <f ca="1"/>
        <v>12</v>
      </c>
      <c r="I316" s="219">
        <f ca="1"/>
        <v>1</v>
      </c>
      <c r="J316" s="219">
        <f ca="1"/>
        <v>27</v>
      </c>
      <c r="K316" s="219">
        <f ca="1"/>
        <v>40</v>
      </c>
      <c r="L316" s="219">
        <f ca="1"/>
        <v>460</v>
      </c>
      <c r="M316" s="219">
        <f ca="1"/>
        <v>3</v>
      </c>
      <c r="N316" s="212" t="str">
        <f ca="1"/>
        <v>DAY</v>
      </c>
      <c r="O316" s="220">
        <f ca="1"/>
        <v>0.92</v>
      </c>
      <c r="P316" s="221">
        <f ca="1"/>
        <v>500</v>
      </c>
      <c r="Q316" s="221">
        <f ca="1"/>
        <v>0</v>
      </c>
    </row>
    <row r="317" spans="1:17" ht="18" customHeight="1">
      <c r="A317" s="212" t="str">
        <f ca="1"/>
        <v>C6-MAY</v>
      </c>
      <c r="B317" s="218">
        <f ca="1"/>
        <v>46172</v>
      </c>
      <c r="C317" s="212" t="str">
        <f ca="1"/>
        <v>chakki1,2,3</v>
      </c>
      <c r="D317" s="212" t="str">
        <f ca="1"/>
        <v>OLD PLANT</v>
      </c>
      <c r="E317" s="212" t="str">
        <f ca="1"/>
        <v>jowar grains</v>
      </c>
      <c r="F317" s="219">
        <f ca="1"/>
        <v>2550</v>
      </c>
      <c r="G317" s="219">
        <f ca="1"/>
        <v>5</v>
      </c>
      <c r="H317" s="219">
        <f ca="1"/>
        <v>58</v>
      </c>
      <c r="I317" s="219">
        <f ca="1"/>
        <v>2</v>
      </c>
      <c r="J317" s="219">
        <f ca="1"/>
        <v>105</v>
      </c>
      <c r="K317" s="219">
        <f ca="1"/>
        <v>170</v>
      </c>
      <c r="L317" s="219">
        <f ca="1"/>
        <v>2380</v>
      </c>
      <c r="M317" s="219">
        <f ca="1"/>
        <v>3</v>
      </c>
      <c r="N317" s="212" t="str">
        <f ca="1"/>
        <v>DAY</v>
      </c>
      <c r="O317" s="220">
        <f ca="1"/>
        <v>0.93333333333333324</v>
      </c>
      <c r="P317" s="221">
        <f ca="1"/>
        <v>2550</v>
      </c>
      <c r="Q317" s="221">
        <f ca="1"/>
        <v>0</v>
      </c>
    </row>
    <row r="318" spans="1:17" ht="18" customHeight="1">
      <c r="A318" s="212" t="str">
        <f ca="1"/>
        <v>C39-MAY</v>
      </c>
      <c r="B318" s="218">
        <f ca="1"/>
        <v>46144</v>
      </c>
      <c r="C318" s="212" t="str">
        <f ca="1"/>
        <v>123&amp;4</v>
      </c>
      <c r="D318" s="212" t="str">
        <f ca="1"/>
        <v>C39</v>
      </c>
      <c r="E318" s="212" t="str">
        <f ca="1"/>
        <v xml:space="preserve">khapli </v>
      </c>
      <c r="F318" s="219">
        <f ca="1"/>
        <v>7500</v>
      </c>
      <c r="G318" s="219">
        <f ca="1"/>
        <v>80</v>
      </c>
      <c r="H318" s="219">
        <f ca="1"/>
        <v>190</v>
      </c>
      <c r="I318" s="219">
        <f ca="1"/>
        <v>35</v>
      </c>
      <c r="J318" s="219">
        <f ca="1"/>
        <v>235</v>
      </c>
      <c r="K318" s="219">
        <f ca="1"/>
        <v>540</v>
      </c>
      <c r="L318" s="219">
        <f ca="1"/>
        <v>6960</v>
      </c>
      <c r="M318" s="219">
        <f ca="1"/>
        <v>4</v>
      </c>
      <c r="N318" s="212" t="str">
        <f ca="1"/>
        <v>Day</v>
      </c>
      <c r="O318" s="220">
        <f ca="1"/>
        <v>0.92800000000000016</v>
      </c>
      <c r="P318" s="221">
        <f ca="1"/>
        <v>7500</v>
      </c>
      <c r="Q318" s="221">
        <f ca="1"/>
        <v>0</v>
      </c>
    </row>
    <row r="319" spans="1:17" ht="18" customHeight="1">
      <c r="A319" s="212" t="str">
        <f ca="1"/>
        <v>C39-MAY</v>
      </c>
      <c r="B319" s="218">
        <f ca="1"/>
        <v>46144</v>
      </c>
      <c r="C319" s="212" t="str">
        <f ca="1"/>
        <v>Blender</v>
      </c>
      <c r="D319" s="212" t="str">
        <f ca="1"/>
        <v>C39</v>
      </c>
      <c r="E319" s="212" t="str">
        <f ca="1"/>
        <v>chana dal</v>
      </c>
      <c r="F319" s="219">
        <f ca="1"/>
        <v>330</v>
      </c>
      <c r="G319" s="219">
        <f ca="1"/>
        <v>0</v>
      </c>
      <c r="H319" s="219">
        <f ca="1"/>
        <v>0</v>
      </c>
      <c r="I319" s="219">
        <f ca="1"/>
        <v>3</v>
      </c>
      <c r="J319" s="219">
        <f ca="1"/>
        <v>7</v>
      </c>
      <c r="K319" s="219">
        <f ca="1"/>
        <v>10</v>
      </c>
      <c r="L319" s="219">
        <f ca="1"/>
        <v>320</v>
      </c>
      <c r="M319" s="219">
        <f ca="1"/>
        <v>1</v>
      </c>
      <c r="N319" s="212" t="str">
        <f ca="1"/>
        <v>NIGH</v>
      </c>
      <c r="O319" s="220">
        <f ca="1"/>
        <v>0.96969696969696972</v>
      </c>
      <c r="P319" s="221">
        <f ca="1"/>
        <v>330</v>
      </c>
      <c r="Q319" s="221">
        <f ca="1"/>
        <v>0</v>
      </c>
    </row>
    <row r="320" spans="1:17" ht="18" customHeight="1">
      <c r="A320" s="212" t="str">
        <f ca="1"/>
        <v>C39-MAY</v>
      </c>
      <c r="B320" s="218">
        <f ca="1"/>
        <v>46146</v>
      </c>
      <c r="C320" s="212" t="str">
        <f ca="1"/>
        <v>123&amp;4</v>
      </c>
      <c r="D320" s="212" t="str">
        <f ca="1"/>
        <v>C39</v>
      </c>
      <c r="E320" s="212" t="str">
        <f ca="1"/>
        <v xml:space="preserve">khapli </v>
      </c>
      <c r="F320" s="219">
        <f ca="1"/>
        <v>8300</v>
      </c>
      <c r="G320" s="219">
        <f ca="1"/>
        <v>85</v>
      </c>
      <c r="H320" s="219">
        <f ca="1"/>
        <v>187</v>
      </c>
      <c r="I320" s="219">
        <f ca="1"/>
        <v>25</v>
      </c>
      <c r="J320" s="219">
        <f ca="1"/>
        <v>283</v>
      </c>
      <c r="K320" s="219">
        <f ca="1"/>
        <v>580</v>
      </c>
      <c r="L320" s="219">
        <f ca="1"/>
        <v>7720</v>
      </c>
      <c r="M320" s="219">
        <f ca="1"/>
        <v>5</v>
      </c>
      <c r="N320" s="212" t="str">
        <f ca="1"/>
        <v>DAY</v>
      </c>
      <c r="O320" s="220">
        <f ca="1"/>
        <v>0.9301204819277108</v>
      </c>
      <c r="P320" s="221">
        <f ca="1"/>
        <v>8300</v>
      </c>
      <c r="Q320" s="221">
        <f ca="1"/>
        <v>0</v>
      </c>
    </row>
    <row r="321" spans="1:17" ht="18" customHeight="1">
      <c r="A321" s="212" t="str">
        <f ca="1"/>
        <v>C39-MAY</v>
      </c>
      <c r="B321" s="218">
        <f ca="1"/>
        <v>46146</v>
      </c>
      <c r="C321" s="212" t="str">
        <f ca="1"/>
        <v>123&amp;4</v>
      </c>
      <c r="D321" s="212" t="str">
        <f ca="1"/>
        <v>C39</v>
      </c>
      <c r="E321" s="212" t="str">
        <f ca="1"/>
        <v xml:space="preserve">Khapli </v>
      </c>
      <c r="F321" s="219">
        <f ca="1"/>
        <v>3534</v>
      </c>
      <c r="G321" s="219">
        <f ca="1"/>
        <v>20</v>
      </c>
      <c r="H321" s="219">
        <f ca="1"/>
        <v>43</v>
      </c>
      <c r="I321" s="219">
        <f ca="1"/>
        <v>14</v>
      </c>
      <c r="J321" s="219">
        <f ca="1"/>
        <v>190</v>
      </c>
      <c r="K321" s="219">
        <f ca="1"/>
        <v>267</v>
      </c>
      <c r="L321" s="219">
        <f ca="1"/>
        <v>3267</v>
      </c>
      <c r="M321" s="219">
        <f ca="1"/>
        <v>4</v>
      </c>
      <c r="N321" s="212" t="str">
        <f ca="1"/>
        <v>day</v>
      </c>
      <c r="O321" s="220">
        <f ca="1"/>
        <v>0.93342857142857139</v>
      </c>
      <c r="P321" s="221">
        <f ca="1"/>
        <v>3534</v>
      </c>
      <c r="Q321" s="221">
        <f ca="1"/>
        <v>0</v>
      </c>
    </row>
    <row r="322" spans="1:17" ht="18" customHeight="1">
      <c r="A322" s="212" t="str">
        <f ca="1"/>
        <v>C39-MAY</v>
      </c>
      <c r="B322" s="218">
        <f ca="1"/>
        <v>46146</v>
      </c>
      <c r="C322" s="212" t="str">
        <f ca="1"/>
        <v>Blender</v>
      </c>
      <c r="D322" s="212" t="str">
        <f ca="1"/>
        <v>C39</v>
      </c>
      <c r="E322" s="212" t="str">
        <f ca="1"/>
        <v>chana dal</v>
      </c>
      <c r="F322" s="219">
        <f ca="1"/>
        <v>200</v>
      </c>
      <c r="G322" s="219">
        <f ca="1"/>
        <v>0</v>
      </c>
      <c r="H322" s="219">
        <f ca="1"/>
        <v>0</v>
      </c>
      <c r="I322" s="219">
        <f ca="1"/>
        <v>3</v>
      </c>
      <c r="J322" s="219">
        <f ca="1"/>
        <v>7</v>
      </c>
      <c r="K322" s="219">
        <f ca="1"/>
        <v>10</v>
      </c>
      <c r="L322" s="219">
        <f ca="1"/>
        <v>190</v>
      </c>
      <c r="M322" s="219">
        <f ca="1"/>
        <v>1</v>
      </c>
      <c r="N322" s="212" t="str">
        <f ca="1"/>
        <v>night</v>
      </c>
      <c r="O322" s="220">
        <f ca="1"/>
        <v>0.95</v>
      </c>
      <c r="P322" s="221">
        <f ca="1"/>
        <v>200</v>
      </c>
      <c r="Q322" s="221">
        <f ca="1"/>
        <v>0</v>
      </c>
    </row>
    <row r="323" spans="1:17" ht="18" customHeight="1">
      <c r="A323" s="212" t="str">
        <f ca="1"/>
        <v>C39-MAY</v>
      </c>
      <c r="B323" s="218">
        <f ca="1"/>
        <v>46148</v>
      </c>
      <c r="C323" s="212" t="str">
        <f ca="1"/>
        <v>123&amp;4</v>
      </c>
      <c r="D323" s="212" t="str">
        <f ca="1"/>
        <v>C39</v>
      </c>
      <c r="E323" s="212" t="str">
        <f ca="1"/>
        <v xml:space="preserve">Khapli </v>
      </c>
      <c r="F323" s="219">
        <f ca="1"/>
        <v>8200</v>
      </c>
      <c r="G323" s="219">
        <f ca="1"/>
        <v>95</v>
      </c>
      <c r="H323" s="219">
        <f ca="1"/>
        <v>140</v>
      </c>
      <c r="I323" s="219">
        <f ca="1"/>
        <v>25</v>
      </c>
      <c r="J323" s="219">
        <f ca="1"/>
        <v>260</v>
      </c>
      <c r="K323" s="219">
        <f ca="1"/>
        <v>520</v>
      </c>
      <c r="L323" s="219">
        <f ca="1"/>
        <v>7680</v>
      </c>
      <c r="M323" s="219">
        <f ca="1"/>
        <v>4</v>
      </c>
      <c r="N323" s="212" t="str">
        <f ca="1"/>
        <v>Day</v>
      </c>
      <c r="O323" s="220">
        <f ca="1"/>
        <v>0.93500000000000005</v>
      </c>
      <c r="P323" s="221">
        <f ca="1"/>
        <v>8200</v>
      </c>
      <c r="Q323" s="221">
        <f ca="1"/>
        <v>0</v>
      </c>
    </row>
    <row r="324" spans="1:17" ht="18" customHeight="1">
      <c r="A324" s="212" t="str">
        <f ca="1"/>
        <v>C39-MAY</v>
      </c>
      <c r="B324" s="218">
        <f ca="1"/>
        <v>46148</v>
      </c>
      <c r="C324" s="212" t="str">
        <f ca="1"/>
        <v>bender</v>
      </c>
      <c r="D324" s="212" t="str">
        <f ca="1"/>
        <v>C39</v>
      </c>
      <c r="E324" s="212" t="str">
        <f ca="1"/>
        <v>chana dal</v>
      </c>
      <c r="F324" s="219">
        <f ca="1"/>
        <v>550</v>
      </c>
      <c r="G324" s="219">
        <f ca="1"/>
        <v>0</v>
      </c>
      <c r="H324" s="219">
        <f ca="1"/>
        <v>0</v>
      </c>
      <c r="I324" s="219">
        <f ca="1"/>
        <v>10</v>
      </c>
      <c r="J324" s="219">
        <f ca="1"/>
        <v>17</v>
      </c>
      <c r="K324" s="219">
        <f ca="1"/>
        <v>27</v>
      </c>
      <c r="L324" s="219">
        <f ca="1"/>
        <v>523</v>
      </c>
      <c r="M324" s="219">
        <f ca="1"/>
        <v>1</v>
      </c>
      <c r="N324" s="212" t="str">
        <f ca="1"/>
        <v>Night</v>
      </c>
      <c r="O324" s="220">
        <f ca="1"/>
        <v>0.95090000000000008</v>
      </c>
      <c r="P324" s="221">
        <f ca="1"/>
        <v>550</v>
      </c>
      <c r="Q324" s="221">
        <f ca="1"/>
        <v>0</v>
      </c>
    </row>
    <row r="325" spans="1:17" ht="18" customHeight="1">
      <c r="A325" s="212" t="str">
        <f ca="1"/>
        <v>C39-MAY</v>
      </c>
      <c r="B325" s="218">
        <f ca="1"/>
        <v>46149</v>
      </c>
      <c r="C325" s="212" t="str">
        <f ca="1"/>
        <v>1,2,3,4</v>
      </c>
      <c r="D325" s="212" t="str">
        <f ca="1"/>
        <v>C39</v>
      </c>
      <c r="E325" s="212" t="str">
        <f ca="1"/>
        <v xml:space="preserve">Khapli </v>
      </c>
      <c r="F325" s="219">
        <f ca="1"/>
        <v>8600</v>
      </c>
      <c r="G325" s="219">
        <f ca="1"/>
        <v>110</v>
      </c>
      <c r="H325" s="219">
        <f ca="1"/>
        <v>190</v>
      </c>
      <c r="I325" s="219">
        <f ca="1"/>
        <v>20</v>
      </c>
      <c r="J325" s="219">
        <f ca="1"/>
        <v>260</v>
      </c>
      <c r="K325" s="219">
        <f ca="1"/>
        <v>580</v>
      </c>
      <c r="L325" s="219">
        <f ca="1"/>
        <v>8020</v>
      </c>
      <c r="M325" s="219">
        <f ca="1"/>
        <v>4</v>
      </c>
      <c r="N325" s="212" t="str">
        <f ca="1"/>
        <v>Day</v>
      </c>
      <c r="O325" s="220">
        <f ca="1"/>
        <v>0.93255813953488376</v>
      </c>
      <c r="P325" s="221">
        <f ca="1"/>
        <v>8600</v>
      </c>
      <c r="Q325" s="221">
        <f ca="1"/>
        <v>0</v>
      </c>
    </row>
    <row r="326" spans="1:17" ht="18" customHeight="1">
      <c r="A326" s="212" t="str">
        <f ca="1"/>
        <v>C39-MAY</v>
      </c>
      <c r="B326" s="218">
        <f ca="1"/>
        <v>46150</v>
      </c>
      <c r="C326" s="212">
        <f ca="1"/>
        <v>1234</v>
      </c>
      <c r="D326" s="212" t="str">
        <f ca="1"/>
        <v>C39</v>
      </c>
      <c r="E326" s="212" t="str">
        <f ca="1"/>
        <v>Multigrain</v>
      </c>
      <c r="F326" s="219">
        <f ca="1"/>
        <v>7000</v>
      </c>
      <c r="G326" s="219">
        <f ca="1"/>
        <v>12</v>
      </c>
      <c r="H326" s="219">
        <f ca="1"/>
        <v>188</v>
      </c>
      <c r="I326" s="219">
        <f ca="1"/>
        <v>25</v>
      </c>
      <c r="J326" s="219">
        <f ca="1"/>
        <v>235</v>
      </c>
      <c r="K326" s="219">
        <f ca="1"/>
        <v>460</v>
      </c>
      <c r="L326" s="219">
        <f ca="1"/>
        <v>6540</v>
      </c>
      <c r="M326" s="219">
        <f ca="1"/>
        <v>4</v>
      </c>
      <c r="N326" s="212" t="str">
        <f ca="1"/>
        <v>Day</v>
      </c>
      <c r="O326" s="220">
        <f ca="1"/>
        <v>0.93400000000000005</v>
      </c>
      <c r="P326" s="221">
        <f ca="1"/>
        <v>7000</v>
      </c>
      <c r="Q326" s="221">
        <f ca="1"/>
        <v>0</v>
      </c>
    </row>
    <row r="327" spans="1:17" ht="18" customHeight="1">
      <c r="A327" s="212" t="str">
        <f ca="1"/>
        <v>C39-MAY</v>
      </c>
      <c r="B327" s="218">
        <f ca="1"/>
        <v>46151</v>
      </c>
      <c r="C327" s="212" t="str">
        <f ca="1"/>
        <v>1,2,3&amp;4</v>
      </c>
      <c r="D327" s="212" t="str">
        <f ca="1"/>
        <v>C39</v>
      </c>
      <c r="E327" s="212" t="str">
        <f ca="1"/>
        <v>Multigrain</v>
      </c>
      <c r="F327" s="219">
        <f ca="1"/>
        <v>6700</v>
      </c>
      <c r="G327" s="219">
        <f ca="1"/>
        <v>42</v>
      </c>
      <c r="H327" s="219">
        <f ca="1"/>
        <v>183</v>
      </c>
      <c r="I327" s="219">
        <f ca="1"/>
        <v>20</v>
      </c>
      <c r="J327" s="219">
        <f ca="1"/>
        <v>198</v>
      </c>
      <c r="K327" s="219">
        <f ca="1"/>
        <v>443</v>
      </c>
      <c r="L327" s="219">
        <f ca="1"/>
        <v>6257</v>
      </c>
      <c r="M327" s="219">
        <f ca="1"/>
        <v>4</v>
      </c>
      <c r="N327" s="212" t="str">
        <f ca="1"/>
        <v>Day</v>
      </c>
      <c r="O327" s="220">
        <f ca="1"/>
        <v>0.93299999999999994</v>
      </c>
      <c r="P327" s="221">
        <f ca="1"/>
        <v>6700</v>
      </c>
      <c r="Q327" s="221">
        <f ca="1"/>
        <v>0</v>
      </c>
    </row>
    <row r="328" spans="1:17" ht="18" customHeight="1">
      <c r="A328" s="212" t="str">
        <f ca="1"/>
        <v>C39-MAY</v>
      </c>
      <c r="B328" s="218">
        <f ca="1"/>
        <v>46154</v>
      </c>
      <c r="C328" s="212" t="str">
        <f ca="1"/>
        <v>1,2,3&amp;4</v>
      </c>
      <c r="D328" s="212" t="str">
        <f ca="1"/>
        <v>C39</v>
      </c>
      <c r="E328" s="212" t="str">
        <f ca="1"/>
        <v>Multigrain</v>
      </c>
      <c r="F328" s="219">
        <f ca="1"/>
        <v>7000</v>
      </c>
      <c r="G328" s="219">
        <f ca="1"/>
        <v>40</v>
      </c>
      <c r="H328" s="219">
        <f ca="1"/>
        <v>197</v>
      </c>
      <c r="I328" s="219">
        <f ca="1"/>
        <v>25</v>
      </c>
      <c r="J328" s="219">
        <f ca="1"/>
        <v>168</v>
      </c>
      <c r="K328" s="219">
        <f ca="1"/>
        <v>430</v>
      </c>
      <c r="L328" s="219">
        <f ca="1"/>
        <v>6570</v>
      </c>
      <c r="M328" s="219">
        <f ca="1"/>
        <v>7</v>
      </c>
      <c r="N328" s="212" t="str">
        <f ca="1"/>
        <v>day</v>
      </c>
      <c r="O328" s="220">
        <f ca="1"/>
        <v>0.93857142857142861</v>
      </c>
      <c r="P328" s="221">
        <f ca="1"/>
        <v>7000</v>
      </c>
      <c r="Q328" s="221">
        <f ca="1"/>
        <v>0</v>
      </c>
    </row>
    <row r="329" spans="1:17" ht="18" customHeight="1">
      <c r="A329" s="212" t="str">
        <f ca="1"/>
        <v>C39-MAY</v>
      </c>
      <c r="B329" s="218">
        <f ca="1"/>
        <v>46155</v>
      </c>
      <c r="C329" s="212" t="str">
        <f ca="1"/>
        <v>1,2,3,4</v>
      </c>
      <c r="D329" s="212" t="str">
        <f ca="1"/>
        <v>C39</v>
      </c>
      <c r="E329" s="212" t="str">
        <f ca="1"/>
        <v>Multigrain</v>
      </c>
      <c r="F329" s="219">
        <f ca="1"/>
        <v>7000</v>
      </c>
      <c r="G329" s="219">
        <f ca="1"/>
        <v>43</v>
      </c>
      <c r="H329" s="219">
        <f ca="1"/>
        <v>332</v>
      </c>
      <c r="I329" s="219">
        <f ca="1"/>
        <v>35</v>
      </c>
      <c r="J329" s="219">
        <f ca="1"/>
        <v>120</v>
      </c>
      <c r="K329" s="219">
        <f ca="1"/>
        <v>530</v>
      </c>
      <c r="L329" s="219">
        <f ca="1"/>
        <v>6470</v>
      </c>
      <c r="M329" s="219">
        <f ca="1"/>
        <v>6</v>
      </c>
      <c r="N329" s="212" t="str">
        <f ca="1"/>
        <v>Day</v>
      </c>
      <c r="O329" s="220">
        <f ca="1"/>
        <v>0.92400000000000004</v>
      </c>
      <c r="P329" s="221">
        <f ca="1"/>
        <v>7000</v>
      </c>
      <c r="Q329" s="221">
        <f ca="1"/>
        <v>0</v>
      </c>
    </row>
    <row r="330" spans="1:17" ht="18" customHeight="1">
      <c r="A330" s="212" t="str">
        <f ca="1"/>
        <v>C39-MAY</v>
      </c>
      <c r="B330" s="218">
        <f ca="1"/>
        <v>46156</v>
      </c>
      <c r="C330" s="212">
        <f ca="1"/>
        <v>1234</v>
      </c>
      <c r="D330" s="212" t="str">
        <f ca="1"/>
        <v>C39</v>
      </c>
      <c r="E330" s="212" t="str">
        <f ca="1"/>
        <v>Multigrain</v>
      </c>
      <c r="F330" s="219">
        <f ca="1"/>
        <v>2250</v>
      </c>
      <c r="G330" s="219">
        <f ca="1"/>
        <v>45</v>
      </c>
      <c r="H330" s="219">
        <f ca="1"/>
        <v>94</v>
      </c>
      <c r="I330" s="219">
        <f ca="1"/>
        <v>11</v>
      </c>
      <c r="J330" s="219">
        <f ca="1"/>
        <v>74</v>
      </c>
      <c r="K330" s="219">
        <f ca="1"/>
        <v>224</v>
      </c>
      <c r="L330" s="219">
        <f ca="1"/>
        <v>2026</v>
      </c>
      <c r="M330" s="219">
        <f ca="1"/>
        <v>6</v>
      </c>
      <c r="N330" s="212" t="str">
        <f ca="1"/>
        <v>dAY</v>
      </c>
      <c r="O330" s="220">
        <f ca="1"/>
        <v>0.90044444444444449</v>
      </c>
      <c r="P330" s="221">
        <f ca="1"/>
        <v>2250</v>
      </c>
      <c r="Q330" s="221">
        <f ca="1"/>
        <v>0</v>
      </c>
    </row>
    <row r="331" spans="1:17" ht="18" customHeight="1">
      <c r="A331" s="212" t="str">
        <f ca="1"/>
        <v>C39-MAY</v>
      </c>
      <c r="B331" s="218">
        <f ca="1"/>
        <v>46157</v>
      </c>
      <c r="C331" s="212" t="str">
        <f ca="1"/>
        <v>1,2,3,4</v>
      </c>
      <c r="D331" s="212" t="str">
        <f ca="1"/>
        <v>C39</v>
      </c>
      <c r="E331" s="212" t="str">
        <f ca="1"/>
        <v xml:space="preserve">Khapli </v>
      </c>
      <c r="F331" s="219">
        <f ca="1"/>
        <v>2000</v>
      </c>
      <c r="G331" s="219">
        <f ca="1"/>
        <v>0</v>
      </c>
      <c r="H331" s="219">
        <f ca="1"/>
        <v>89</v>
      </c>
      <c r="I331" s="219">
        <f ca="1"/>
        <v>40</v>
      </c>
      <c r="J331" s="219">
        <f ca="1"/>
        <v>41</v>
      </c>
      <c r="K331" s="219">
        <f ca="1"/>
        <v>170</v>
      </c>
      <c r="L331" s="219">
        <f ca="1"/>
        <v>1830</v>
      </c>
      <c r="M331" s="219">
        <f ca="1"/>
        <v>6</v>
      </c>
      <c r="N331" s="212" t="str">
        <f ca="1"/>
        <v>Day</v>
      </c>
      <c r="O331" s="220">
        <f ca="1"/>
        <v>0.91500000000000004</v>
      </c>
      <c r="P331" s="221">
        <f ca="1"/>
        <v>2000</v>
      </c>
      <c r="Q331" s="221">
        <f ca="1"/>
        <v>0</v>
      </c>
    </row>
    <row r="332" spans="1:17" ht="18" customHeight="1">
      <c r="A332" s="212" t="str">
        <f ca="1"/>
        <v>C39-MAY</v>
      </c>
      <c r="B332" s="218">
        <f ca="1"/>
        <v>46158</v>
      </c>
      <c r="C332" s="212" t="str">
        <f ca="1"/>
        <v>1,2,3,4</v>
      </c>
      <c r="D332" s="212" t="str">
        <f ca="1"/>
        <v>C39</v>
      </c>
      <c r="E332" s="212" t="str">
        <f ca="1"/>
        <v xml:space="preserve">Khapli </v>
      </c>
      <c r="F332" s="219">
        <f ca="1"/>
        <v>7000</v>
      </c>
      <c r="G332" s="219">
        <f ca="1"/>
        <v>40</v>
      </c>
      <c r="H332" s="219">
        <f ca="1"/>
        <v>288</v>
      </c>
      <c r="I332" s="219">
        <f ca="1"/>
        <v>30</v>
      </c>
      <c r="J332" s="219">
        <f ca="1"/>
        <v>146</v>
      </c>
      <c r="K332" s="219">
        <f ca="1"/>
        <v>504</v>
      </c>
      <c r="L332" s="219">
        <f ca="1"/>
        <v>6500</v>
      </c>
      <c r="M332" s="219">
        <f ca="1"/>
        <v>6</v>
      </c>
      <c r="N332" s="212" t="str">
        <f ca="1"/>
        <v>day</v>
      </c>
      <c r="O332" s="220">
        <f ca="1"/>
        <v>0.9285714285714286</v>
      </c>
      <c r="P332" s="221">
        <f ca="1"/>
        <v>7004</v>
      </c>
      <c r="Q332" s="221">
        <f ca="1"/>
        <v>4</v>
      </c>
    </row>
    <row r="333" spans="1:17" ht="18" customHeight="1">
      <c r="A333" s="212" t="str">
        <f ca="1"/>
        <v>C39-MAY</v>
      </c>
      <c r="B333" s="218">
        <f ca="1"/>
        <v>46160</v>
      </c>
      <c r="C333" s="212" t="str">
        <f ca="1"/>
        <v>1,2,3,4</v>
      </c>
      <c r="D333" s="212" t="str">
        <f ca="1"/>
        <v>C39</v>
      </c>
      <c r="E333" s="212" t="str">
        <f ca="1"/>
        <v xml:space="preserve">Khapli </v>
      </c>
      <c r="F333" s="219">
        <f ca="1"/>
        <v>8790</v>
      </c>
      <c r="G333" s="219">
        <f ca="1"/>
        <v>47</v>
      </c>
      <c r="H333" s="219">
        <f ca="1"/>
        <v>320</v>
      </c>
      <c r="I333" s="219">
        <f ca="1"/>
        <v>35</v>
      </c>
      <c r="J333" s="219">
        <f ca="1"/>
        <v>132</v>
      </c>
      <c r="K333" s="219">
        <f ca="1"/>
        <v>534</v>
      </c>
      <c r="L333" s="219">
        <f ca="1"/>
        <v>8250</v>
      </c>
      <c r="M333" s="219">
        <f ca="1"/>
        <v>6</v>
      </c>
      <c r="N333" s="212" t="str">
        <f ca="1"/>
        <v>DAy</v>
      </c>
      <c r="O333" s="220">
        <f ca="1"/>
        <v>0.93856655290102387</v>
      </c>
      <c r="P333" s="221">
        <f ca="1"/>
        <v>8784</v>
      </c>
      <c r="Q333" s="221">
        <f ca="1"/>
        <v>-6</v>
      </c>
    </row>
    <row r="334" spans="1:17" ht="18" customHeight="1">
      <c r="A334" s="212" t="str">
        <f ca="1"/>
        <v>C39-MAY</v>
      </c>
      <c r="B334" s="218">
        <f ca="1"/>
        <v>46161</v>
      </c>
      <c r="C334" s="212" t="str">
        <f ca="1"/>
        <v>1,23,4</v>
      </c>
      <c r="D334" s="212" t="str">
        <f ca="1"/>
        <v>C39</v>
      </c>
      <c r="E334" s="212" t="str">
        <f ca="1"/>
        <v>Multigrain</v>
      </c>
      <c r="F334" s="219">
        <f ca="1"/>
        <v>2300</v>
      </c>
      <c r="G334" s="219">
        <f ca="1"/>
        <v>23</v>
      </c>
      <c r="H334" s="219">
        <f ca="1"/>
        <v>70</v>
      </c>
      <c r="I334" s="219">
        <f ca="1"/>
        <v>17</v>
      </c>
      <c r="J334" s="219">
        <f ca="1"/>
        <v>40</v>
      </c>
      <c r="K334" s="219">
        <f ca="1"/>
        <v>150</v>
      </c>
      <c r="L334" s="219">
        <f ca="1"/>
        <v>2150</v>
      </c>
      <c r="M334" s="219">
        <f ca="1"/>
        <v>6</v>
      </c>
      <c r="N334" s="212" t="str">
        <f ca="1"/>
        <v>dAY</v>
      </c>
      <c r="O334" s="220">
        <f ca="1"/>
        <v>0.93478260869565222</v>
      </c>
      <c r="P334" s="221">
        <f ca="1"/>
        <v>2300</v>
      </c>
      <c r="Q334" s="221">
        <f ca="1"/>
        <v>0</v>
      </c>
    </row>
    <row r="335" spans="1:17" ht="18" customHeight="1">
      <c r="A335" s="212" t="str">
        <f ca="1"/>
        <v>C39-MAY</v>
      </c>
      <c r="B335" s="218">
        <f ca="1"/>
        <v>46162</v>
      </c>
      <c r="C335" s="212" t="str">
        <f ca="1"/>
        <v>1,2,3,4</v>
      </c>
      <c r="D335" s="212" t="str">
        <f ca="1"/>
        <v>C39</v>
      </c>
      <c r="E335" s="212" t="str">
        <f ca="1"/>
        <v>Multigrain</v>
      </c>
      <c r="F335" s="219">
        <f ca="1"/>
        <v>5800</v>
      </c>
      <c r="G335" s="219">
        <f ca="1"/>
        <v>69</v>
      </c>
      <c r="H335" s="219">
        <f ca="1"/>
        <v>210</v>
      </c>
      <c r="I335" s="219">
        <f ca="1"/>
        <v>31</v>
      </c>
      <c r="J335" s="219">
        <f ca="1"/>
        <v>90</v>
      </c>
      <c r="K335" s="219">
        <f ca="1"/>
        <v>400</v>
      </c>
      <c r="L335" s="219">
        <f ca="1"/>
        <v>5400</v>
      </c>
      <c r="M335" s="219">
        <f ca="1"/>
        <v>6</v>
      </c>
      <c r="N335" s="212" t="str">
        <f ca="1"/>
        <v>Day</v>
      </c>
      <c r="O335" s="220">
        <f ca="1"/>
        <v>0.93103448275862066</v>
      </c>
      <c r="P335" s="221">
        <f ca="1"/>
        <v>5800</v>
      </c>
      <c r="Q335" s="221">
        <f ca="1"/>
        <v>0</v>
      </c>
    </row>
    <row r="336" spans="1:17" ht="18" customHeight="1">
      <c r="A336" s="212" t="str">
        <f ca="1"/>
        <v>C39-MAY</v>
      </c>
      <c r="B336" s="218">
        <f ca="1"/>
        <v>46164</v>
      </c>
      <c r="C336" s="212">
        <f ca="1"/>
        <v>1234</v>
      </c>
      <c r="D336" s="212" t="str">
        <f ca="1"/>
        <v>C39</v>
      </c>
      <c r="E336" s="212" t="str">
        <f ca="1"/>
        <v>Multigrain</v>
      </c>
      <c r="F336" s="219">
        <f ca="1"/>
        <v>6650</v>
      </c>
      <c r="G336" s="219">
        <f ca="1"/>
        <v>70</v>
      </c>
      <c r="H336" s="219">
        <f ca="1"/>
        <v>205</v>
      </c>
      <c r="I336" s="219">
        <f ca="1"/>
        <v>30</v>
      </c>
      <c r="J336" s="219">
        <f ca="1"/>
        <v>145</v>
      </c>
      <c r="K336" s="219">
        <f ca="1"/>
        <v>450</v>
      </c>
      <c r="L336" s="219">
        <f ca="1"/>
        <v>6200</v>
      </c>
      <c r="M336" s="219">
        <f ca="1"/>
        <v>6</v>
      </c>
      <c r="N336" s="212" t="str">
        <f ca="1"/>
        <v>Day</v>
      </c>
      <c r="O336" s="220">
        <f ca="1"/>
        <v>0.93233082706766912</v>
      </c>
      <c r="P336" s="221">
        <f ca="1"/>
        <v>6650</v>
      </c>
      <c r="Q336" s="221">
        <f ca="1"/>
        <v>0</v>
      </c>
    </row>
    <row r="337" spans="1:17" ht="18" customHeight="1">
      <c r="A337" s="212" t="str">
        <f ca="1"/>
        <v>C39-MAY</v>
      </c>
      <c r="B337" s="218">
        <f ca="1"/>
        <v>46165</v>
      </c>
      <c r="C337" s="212">
        <f ca="1"/>
        <v>1234</v>
      </c>
      <c r="D337" s="212" t="str">
        <f ca="1"/>
        <v>C39</v>
      </c>
      <c r="E337" s="212" t="str">
        <f ca="1"/>
        <v>Multigrain</v>
      </c>
      <c r="F337" s="219">
        <f ca="1"/>
        <v>6000</v>
      </c>
      <c r="G337" s="219">
        <f ca="1"/>
        <v>75</v>
      </c>
      <c r="H337" s="219">
        <f ca="1"/>
        <v>182</v>
      </c>
      <c r="I337" s="219">
        <f ca="1"/>
        <v>20</v>
      </c>
      <c r="J337" s="219">
        <f ca="1"/>
        <v>108</v>
      </c>
      <c r="K337" s="219">
        <f ca="1"/>
        <v>385</v>
      </c>
      <c r="L337" s="219">
        <f ca="1"/>
        <v>5615</v>
      </c>
      <c r="M337" s="219">
        <f ca="1"/>
        <v>6</v>
      </c>
      <c r="N337" s="212" t="str">
        <f ca="1"/>
        <v>Day</v>
      </c>
      <c r="O337" s="220">
        <f ca="1"/>
        <v>0.93583333333333329</v>
      </c>
      <c r="P337" s="221">
        <f ca="1"/>
        <v>6000</v>
      </c>
      <c r="Q337" s="221">
        <f ca="1"/>
        <v>0</v>
      </c>
    </row>
    <row r="338" spans="1:17" ht="18" customHeight="1">
      <c r="A338" s="212" t="str">
        <f ca="1"/>
        <v>C39-MAY</v>
      </c>
      <c r="B338" s="218">
        <f ca="1"/>
        <v>46167</v>
      </c>
      <c r="C338" s="212">
        <f ca="1"/>
        <v>1234</v>
      </c>
      <c r="D338" s="212" t="str">
        <f ca="1"/>
        <v>C39</v>
      </c>
      <c r="E338" s="212" t="str">
        <f ca="1"/>
        <v>Multigrain</v>
      </c>
      <c r="F338" s="219">
        <f ca="1"/>
        <v>2000</v>
      </c>
      <c r="G338" s="219">
        <f ca="1"/>
        <v>2</v>
      </c>
      <c r="H338" s="219">
        <f ca="1"/>
        <v>37</v>
      </c>
      <c r="I338" s="219">
        <f ca="1"/>
        <v>10</v>
      </c>
      <c r="J338" s="219">
        <f ca="1"/>
        <v>69</v>
      </c>
      <c r="K338" s="219">
        <f ca="1"/>
        <v>118</v>
      </c>
      <c r="L338" s="219">
        <f ca="1"/>
        <v>1882</v>
      </c>
      <c r="M338" s="219">
        <f ca="1"/>
        <v>5</v>
      </c>
      <c r="N338" s="212" t="str">
        <f ca="1"/>
        <v>Day</v>
      </c>
      <c r="O338" s="220">
        <f ca="1"/>
        <v>0.94099999999999995</v>
      </c>
      <c r="P338" s="221">
        <f ca="1"/>
        <v>2000</v>
      </c>
      <c r="Q338" s="221">
        <f ca="1"/>
        <v>0</v>
      </c>
    </row>
    <row r="339" spans="1:17" ht="18" customHeight="1">
      <c r="A339" s="212" t="str">
        <f ca="1"/>
        <v>C39-MAY</v>
      </c>
      <c r="B339" s="218">
        <f ca="1"/>
        <v>46168</v>
      </c>
      <c r="C339" s="212">
        <f ca="1"/>
        <v>1234</v>
      </c>
      <c r="D339" s="212" t="str">
        <f ca="1"/>
        <v>C39</v>
      </c>
      <c r="E339" s="212" t="str">
        <f ca="1"/>
        <v>Multigrain</v>
      </c>
      <c r="F339" s="219">
        <f ca="1"/>
        <v>4100</v>
      </c>
      <c r="G339" s="219">
        <f ca="1"/>
        <v>40</v>
      </c>
      <c r="H339" s="219">
        <f ca="1"/>
        <v>82</v>
      </c>
      <c r="I339" s="219">
        <f ca="1"/>
        <v>20</v>
      </c>
      <c r="J339" s="219">
        <f ca="1"/>
        <v>108</v>
      </c>
      <c r="K339" s="219">
        <f ca="1"/>
        <v>250</v>
      </c>
      <c r="L339" s="219">
        <f ca="1"/>
        <v>3850</v>
      </c>
      <c r="M339" s="219">
        <f ca="1"/>
        <v>5</v>
      </c>
      <c r="N339" s="212" t="str">
        <f ca="1"/>
        <v>dAY</v>
      </c>
      <c r="O339" s="220">
        <f ca="1"/>
        <v>0.93902439024390238</v>
      </c>
      <c r="P339" s="221">
        <f ca="1"/>
        <v>4100</v>
      </c>
      <c r="Q339" s="221">
        <f ca="1"/>
        <v>0</v>
      </c>
    </row>
    <row r="340" spans="1:17" ht="18" customHeight="1">
      <c r="A340" s="212" t="str">
        <f ca="1"/>
        <v>C39-MAY</v>
      </c>
      <c r="B340" s="218">
        <f ca="1"/>
        <v>46169</v>
      </c>
      <c r="C340" s="212">
        <f ca="1"/>
        <v>1234</v>
      </c>
      <c r="D340" s="212" t="str">
        <f ca="1"/>
        <v>C39</v>
      </c>
      <c r="E340" s="212" t="str">
        <f ca="1"/>
        <v>Multigrain</v>
      </c>
      <c r="F340" s="219">
        <f ca="1"/>
        <v>6500</v>
      </c>
      <c r="G340" s="219">
        <f ca="1"/>
        <v>38</v>
      </c>
      <c r="H340" s="219">
        <f ca="1"/>
        <v>186</v>
      </c>
      <c r="I340" s="219">
        <f ca="1"/>
        <v>30</v>
      </c>
      <c r="J340" s="219">
        <f ca="1"/>
        <v>196</v>
      </c>
      <c r="K340" s="219">
        <f ca="1"/>
        <v>450</v>
      </c>
      <c r="L340" s="219">
        <f ca="1"/>
        <v>6050</v>
      </c>
      <c r="M340" s="219">
        <f ca="1"/>
        <v>5</v>
      </c>
      <c r="N340" s="212" t="str">
        <f ca="1"/>
        <v>Day</v>
      </c>
      <c r="O340" s="220">
        <f ca="1"/>
        <v>0.93076923076923079</v>
      </c>
      <c r="P340" s="221">
        <f ca="1"/>
        <v>6500</v>
      </c>
      <c r="Q340" s="221">
        <f ca="1"/>
        <v>0</v>
      </c>
    </row>
    <row r="341" spans="1:17" ht="18" customHeight="1">
      <c r="A341" s="212" t="str">
        <f ca="1"/>
        <v>C39-MAY</v>
      </c>
      <c r="B341" s="218">
        <f ca="1"/>
        <v>46170</v>
      </c>
      <c r="C341" s="212">
        <f ca="1"/>
        <v>1234</v>
      </c>
      <c r="D341" s="212" t="str">
        <f ca="1"/>
        <v>C39</v>
      </c>
      <c r="E341" s="212" t="str">
        <f ca="1"/>
        <v>Multigrain</v>
      </c>
      <c r="F341" s="219">
        <f ca="1"/>
        <v>6850</v>
      </c>
      <c r="G341" s="219">
        <f ca="1"/>
        <v>85</v>
      </c>
      <c r="H341" s="219">
        <f ca="1"/>
        <v>109</v>
      </c>
      <c r="I341" s="219">
        <f ca="1"/>
        <v>91</v>
      </c>
      <c r="J341" s="219">
        <f ca="1"/>
        <v>207</v>
      </c>
      <c r="K341" s="219">
        <f ca="1"/>
        <v>492</v>
      </c>
      <c r="L341" s="219">
        <f ca="1"/>
        <v>6358</v>
      </c>
      <c r="M341" s="219">
        <f ca="1"/>
        <v>5</v>
      </c>
      <c r="N341" s="212" t="str">
        <f ca="1"/>
        <v>Day</v>
      </c>
      <c r="O341" s="220">
        <f ca="1"/>
        <v>0.92817518248175179</v>
      </c>
      <c r="P341" s="221">
        <f ca="1"/>
        <v>6850</v>
      </c>
      <c r="Q341" s="221">
        <f ca="1"/>
        <v>0</v>
      </c>
    </row>
    <row r="342" spans="1:17" ht="18" customHeight="1">
      <c r="A342" s="212" t="str">
        <f ca="1"/>
        <v>C39-MAY</v>
      </c>
      <c r="B342" s="218">
        <f ca="1"/>
        <v>46171</v>
      </c>
      <c r="C342" s="212">
        <f ca="1"/>
        <v>1234</v>
      </c>
      <c r="D342" s="212" t="str">
        <f ca="1"/>
        <v>C39</v>
      </c>
      <c r="E342" s="212" t="str">
        <f ca="1"/>
        <v>Multigrain</v>
      </c>
      <c r="F342" s="219">
        <f ca="1"/>
        <v>2650</v>
      </c>
      <c r="G342" s="219">
        <f ca="1"/>
        <v>30</v>
      </c>
      <c r="H342" s="219">
        <f ca="1"/>
        <v>35</v>
      </c>
      <c r="I342" s="219">
        <f ca="1"/>
        <v>33</v>
      </c>
      <c r="J342" s="219">
        <f ca="1"/>
        <v>75</v>
      </c>
      <c r="K342" s="219">
        <f ca="1"/>
        <v>173</v>
      </c>
      <c r="L342" s="219">
        <f ca="1"/>
        <v>2477</v>
      </c>
      <c r="M342" s="219">
        <f ca="1"/>
        <v>5</v>
      </c>
      <c r="N342" s="212" t="str">
        <f ca="1"/>
        <v>Day</v>
      </c>
      <c r="O342" s="220">
        <f ca="1"/>
        <v>0.93471698113207546</v>
      </c>
      <c r="P342" s="221">
        <f ca="1"/>
        <v>2650</v>
      </c>
      <c r="Q342" s="221">
        <f ca="1"/>
        <v>0</v>
      </c>
    </row>
    <row r="343" spans="1:17" ht="18" customHeight="1">
      <c r="A343" s="212" t="str">
        <f ca="1"/>
        <v>C6-JUNE</v>
      </c>
      <c r="B343" s="218">
        <f ca="1"/>
        <v>46174</v>
      </c>
      <c r="C343" s="212" t="str">
        <f ca="1"/>
        <v>Chakki1,2,3</v>
      </c>
      <c r="D343" s="212" t="str">
        <f ca="1"/>
        <v>old plant</v>
      </c>
      <c r="E343" s="212" t="str">
        <f ca="1"/>
        <v>Jowar Grains</v>
      </c>
      <c r="F343" s="219">
        <f ca="1"/>
        <v>1450</v>
      </c>
      <c r="G343" s="219">
        <f ca="1"/>
        <v>5</v>
      </c>
      <c r="H343" s="219">
        <f ca="1"/>
        <v>18</v>
      </c>
      <c r="I343" s="219">
        <f ca="1"/>
        <v>1</v>
      </c>
      <c r="J343" s="219">
        <f ca="1"/>
        <v>46</v>
      </c>
      <c r="K343" s="219">
        <f ca="1"/>
        <v>70</v>
      </c>
      <c r="L343" s="219">
        <f ca="1"/>
        <v>1380</v>
      </c>
      <c r="M343" s="219">
        <f ca="1"/>
        <v>3</v>
      </c>
      <c r="N343" s="212" t="str">
        <f ca="1"/>
        <v>DAY</v>
      </c>
      <c r="O343" s="220">
        <f ca="1"/>
        <v>0.9517241379310345</v>
      </c>
      <c r="P343" s="221">
        <f ca="1"/>
        <v>1450</v>
      </c>
      <c r="Q343" s="221">
        <f ca="1"/>
        <v>0</v>
      </c>
    </row>
    <row r="344" spans="1:17" ht="18" customHeight="1">
      <c r="A344" s="212" t="str">
        <f ca="1"/>
        <v>C6-JUNE</v>
      </c>
      <c r="B344" s="218">
        <f ca="1"/>
        <v>46174</v>
      </c>
      <c r="C344" s="212" t="str">
        <f ca="1"/>
        <v>Chakki1,2,3</v>
      </c>
      <c r="D344" s="212" t="str">
        <f ca="1"/>
        <v>New Plant</v>
      </c>
      <c r="E344" s="212" t="str">
        <f ca="1"/>
        <v>High Protein Atta</v>
      </c>
      <c r="F344" s="219">
        <f ca="1"/>
        <v>727.5</v>
      </c>
      <c r="G344" s="219">
        <f ca="1"/>
        <v>4</v>
      </c>
      <c r="H344" s="219">
        <f ca="1"/>
        <v>12</v>
      </c>
      <c r="I344" s="219">
        <f ca="1"/>
        <v>0.5</v>
      </c>
      <c r="J344" s="219">
        <f ca="1"/>
        <v>31</v>
      </c>
      <c r="K344" s="219">
        <f ca="1"/>
        <v>47.5</v>
      </c>
      <c r="L344" s="219">
        <f ca="1"/>
        <v>680</v>
      </c>
      <c r="M344" s="219">
        <f ca="1"/>
        <v>3</v>
      </c>
      <c r="N344" s="212" t="str">
        <f ca="1"/>
        <v>DAY</v>
      </c>
      <c r="O344" s="220">
        <f ca="1"/>
        <v>0.93470790378006874</v>
      </c>
      <c r="P344" s="221">
        <f ca="1"/>
        <v>727.5</v>
      </c>
      <c r="Q344" s="221">
        <f ca="1"/>
        <v>0</v>
      </c>
    </row>
    <row r="345" spans="1:17" ht="18" customHeight="1">
      <c r="A345" s="212" t="str">
        <f ca="1"/>
        <v>C6-JUNE</v>
      </c>
      <c r="B345" s="218">
        <f ca="1"/>
        <v>46144</v>
      </c>
      <c r="C345" s="212" t="str">
        <f ca="1"/>
        <v>Chakki1,2,3</v>
      </c>
      <c r="D345" s="212" t="str">
        <f ca="1"/>
        <v>New Plant</v>
      </c>
      <c r="E345" s="212" t="str">
        <f ca="1"/>
        <v>High Protein Atta</v>
      </c>
      <c r="F345" s="219">
        <f ca="1"/>
        <v>2910</v>
      </c>
      <c r="G345" s="219">
        <f ca="1"/>
        <v>0</v>
      </c>
      <c r="H345" s="219">
        <f ca="1"/>
        <v>47</v>
      </c>
      <c r="I345" s="219">
        <f ca="1"/>
        <v>3</v>
      </c>
      <c r="J345" s="219">
        <f ca="1"/>
        <v>123</v>
      </c>
      <c r="K345" s="219">
        <f ca="1"/>
        <v>173</v>
      </c>
      <c r="L345" s="219">
        <f ca="1"/>
        <v>2737</v>
      </c>
      <c r="M345" s="219">
        <f ca="1"/>
        <v>3</v>
      </c>
      <c r="N345" s="212" t="str">
        <f ca="1"/>
        <v>DAY</v>
      </c>
      <c r="O345" s="220">
        <f ca="1"/>
        <v>0.94054982817869415</v>
      </c>
      <c r="P345" s="221">
        <f ca="1"/>
        <v>2910</v>
      </c>
      <c r="Q345" s="221">
        <f ca="1"/>
        <v>0</v>
      </c>
    </row>
    <row r="346" spans="1:17" ht="18" customHeight="1">
      <c r="A346" s="212" t="str">
        <f ca="1"/>
        <v>C6-JUNE</v>
      </c>
      <c r="B346" s="218">
        <f ca="1"/>
        <v>46176</v>
      </c>
      <c r="C346" s="212" t="str">
        <f ca="1"/>
        <v>Chakki1,2,3</v>
      </c>
      <c r="D346" s="212" t="str">
        <f ca="1"/>
        <v>New Plant</v>
      </c>
      <c r="E346" s="212" t="str">
        <f ca="1"/>
        <v>High Protein Atta</v>
      </c>
      <c r="F346" s="219">
        <f ca="1"/>
        <v>2958.5</v>
      </c>
      <c r="G346" s="219">
        <f ca="1"/>
        <v>0</v>
      </c>
      <c r="H346" s="219">
        <f ca="1"/>
        <v>73</v>
      </c>
      <c r="I346" s="219">
        <f ca="1"/>
        <v>2</v>
      </c>
      <c r="J346" s="219">
        <f ca="1"/>
        <v>100.5</v>
      </c>
      <c r="K346" s="219">
        <f ca="1"/>
        <v>175.5</v>
      </c>
      <c r="L346" s="219">
        <f ca="1"/>
        <v>2783</v>
      </c>
      <c r="M346" s="219">
        <f ca="1"/>
        <v>3</v>
      </c>
      <c r="N346" s="212" t="str">
        <f ca="1"/>
        <v>DAY</v>
      </c>
      <c r="O346" s="220">
        <f ca="1"/>
        <v>0.94067939834375525</v>
      </c>
      <c r="P346" s="221">
        <f ca="1"/>
        <v>2958.5</v>
      </c>
      <c r="Q346" s="221">
        <f ca="1"/>
        <v>0</v>
      </c>
    </row>
    <row r="347" spans="1:17" ht="18" customHeight="1">
      <c r="A347" s="212" t="str">
        <f ca="1"/>
        <v>C6-JUNE</v>
      </c>
      <c r="B347" s="218">
        <f ca="1"/>
        <v>46176</v>
      </c>
      <c r="C347" s="212" t="str">
        <f ca="1"/>
        <v>Chakki1,2,3</v>
      </c>
      <c r="D347" s="212" t="str">
        <f ca="1"/>
        <v>old plant</v>
      </c>
      <c r="E347" s="212" t="str">
        <f ca="1"/>
        <v>Khapli Grains</v>
      </c>
      <c r="F347" s="219">
        <f ca="1"/>
        <v>500</v>
      </c>
      <c r="G347" s="219">
        <f ca="1"/>
        <v>0</v>
      </c>
      <c r="H347" s="219">
        <f ca="1"/>
        <v>0.5</v>
      </c>
      <c r="I347" s="219">
        <f ca="1"/>
        <v>0.5</v>
      </c>
      <c r="J347" s="219">
        <f ca="1"/>
        <v>31</v>
      </c>
      <c r="K347" s="219">
        <f ca="1"/>
        <v>32</v>
      </c>
      <c r="L347" s="219">
        <f ca="1"/>
        <v>468</v>
      </c>
      <c r="M347" s="219">
        <f ca="1"/>
        <v>3</v>
      </c>
      <c r="N347" s="212" t="str">
        <f ca="1"/>
        <v>DAY</v>
      </c>
      <c r="O347" s="220">
        <f ca="1"/>
        <v>0.93600000000000005</v>
      </c>
      <c r="P347" s="221">
        <f ca="1"/>
        <v>500</v>
      </c>
      <c r="Q347" s="221">
        <f ca="1"/>
        <v>0</v>
      </c>
    </row>
    <row r="348" spans="1:17" ht="18" customHeight="1">
      <c r="A348" s="212" t="str">
        <f ca="1"/>
        <v>C6-JUNE</v>
      </c>
      <c r="B348" s="218">
        <f ca="1"/>
        <v>46176</v>
      </c>
      <c r="C348" s="212" t="str">
        <f ca="1"/>
        <v>Chakki1,2,3</v>
      </c>
      <c r="D348" s="212" t="str">
        <f ca="1"/>
        <v>old plant</v>
      </c>
      <c r="E348" s="212" t="str">
        <f ca="1"/>
        <v>Jowar Grains</v>
      </c>
      <c r="F348" s="219">
        <f ca="1"/>
        <v>510</v>
      </c>
      <c r="G348" s="219">
        <f ca="1"/>
        <v>0</v>
      </c>
      <c r="H348" s="219">
        <f ca="1"/>
        <v>15</v>
      </c>
      <c r="I348" s="219">
        <f ca="1"/>
        <v>0.5</v>
      </c>
      <c r="J348" s="219">
        <f ca="1"/>
        <v>18.5</v>
      </c>
      <c r="K348" s="219">
        <f ca="1"/>
        <v>34</v>
      </c>
      <c r="L348" s="219">
        <f ca="1"/>
        <v>476</v>
      </c>
      <c r="M348" s="219">
        <f ca="1"/>
        <v>3</v>
      </c>
      <c r="N348" s="212" t="str">
        <f ca="1"/>
        <v>DAY</v>
      </c>
      <c r="O348" s="220">
        <f ca="1"/>
        <v>0.93333333333333335</v>
      </c>
      <c r="P348" s="221">
        <f ca="1"/>
        <v>510</v>
      </c>
      <c r="Q348" s="221">
        <f ca="1"/>
        <v>0</v>
      </c>
    </row>
    <row r="349" spans="1:17" ht="18" customHeight="1">
      <c r="A349" s="212" t="str">
        <f ca="1"/>
        <v>C6-JUNE</v>
      </c>
      <c r="B349" s="218">
        <f ca="1"/>
        <v>46177</v>
      </c>
      <c r="C349" s="212" t="str">
        <f ca="1"/>
        <v>Chakki1,2,3</v>
      </c>
      <c r="D349" s="212" t="str">
        <f ca="1"/>
        <v>old plant</v>
      </c>
      <c r="E349" s="212" t="str">
        <f ca="1"/>
        <v>High Protein Atta</v>
      </c>
      <c r="F349" s="219">
        <f ca="1"/>
        <v>2522</v>
      </c>
      <c r="G349" s="219">
        <f ca="1"/>
        <v>5</v>
      </c>
      <c r="H349" s="219">
        <f ca="1"/>
        <v>30</v>
      </c>
      <c r="I349" s="219">
        <f ca="1"/>
        <v>2</v>
      </c>
      <c r="J349" s="219">
        <f ca="1"/>
        <v>120</v>
      </c>
      <c r="K349" s="219">
        <f ca="1"/>
        <v>157</v>
      </c>
      <c r="L349" s="219">
        <f ca="1"/>
        <v>2365</v>
      </c>
      <c r="M349" s="219">
        <f ca="1"/>
        <v>3</v>
      </c>
      <c r="N349" s="212" t="str">
        <f ca="1"/>
        <v>DAY</v>
      </c>
      <c r="O349" s="220">
        <f ca="1"/>
        <v>0.93774781919111816</v>
      </c>
      <c r="P349" s="221">
        <f ca="1"/>
        <v>2522</v>
      </c>
      <c r="Q349" s="221">
        <f ca="1"/>
        <v>0</v>
      </c>
    </row>
    <row r="350" spans="1:17" ht="18" customHeight="1">
      <c r="A350" s="212" t="str">
        <f ca="1"/>
        <v>C6-JUNE</v>
      </c>
      <c r="B350" s="218">
        <f ca="1"/>
        <v>46177</v>
      </c>
      <c r="C350" s="212" t="str">
        <f ca="1"/>
        <v>Chakki1,2,3</v>
      </c>
      <c r="D350" s="212" t="str">
        <f ca="1"/>
        <v>New Plant</v>
      </c>
      <c r="E350" s="212" t="str">
        <f ca="1"/>
        <v>High Protein Atta</v>
      </c>
      <c r="F350" s="219">
        <f ca="1"/>
        <v>2958.5</v>
      </c>
      <c r="G350" s="219">
        <f ca="1"/>
        <v>8</v>
      </c>
      <c r="H350" s="219">
        <f ca="1"/>
        <v>106</v>
      </c>
      <c r="I350" s="219">
        <f ca="1"/>
        <v>2</v>
      </c>
      <c r="J350" s="219">
        <f ca="1"/>
        <v>67.5</v>
      </c>
      <c r="K350" s="219">
        <f ca="1"/>
        <v>183.5</v>
      </c>
      <c r="L350" s="219">
        <f ca="1"/>
        <v>2775</v>
      </c>
      <c r="M350" s="219">
        <f ca="1"/>
        <v>3</v>
      </c>
      <c r="N350" s="212" t="str">
        <f ca="1"/>
        <v>DAY</v>
      </c>
      <c r="O350" s="220">
        <f ca="1"/>
        <v>0.93797532533378403</v>
      </c>
      <c r="P350" s="221">
        <f ca="1"/>
        <v>2958.5</v>
      </c>
      <c r="Q350" s="221">
        <f ca="1"/>
        <v>0</v>
      </c>
    </row>
    <row r="351" spans="1:17" ht="18" customHeight="1">
      <c r="A351" s="212" t="str">
        <f ca="1"/>
        <v>C6-JUNE</v>
      </c>
      <c r="B351" s="218">
        <f ca="1"/>
        <v>46178</v>
      </c>
      <c r="C351" s="212" t="str">
        <f ca="1"/>
        <v>Chakki1,2,3</v>
      </c>
      <c r="D351" s="212" t="str">
        <f ca="1"/>
        <v>New Plant</v>
      </c>
      <c r="E351" s="212" t="str">
        <f ca="1"/>
        <v>High Protein Atta</v>
      </c>
      <c r="F351" s="219">
        <f ca="1"/>
        <v>2667.5</v>
      </c>
      <c r="G351" s="219">
        <f ca="1"/>
        <v>0</v>
      </c>
      <c r="H351" s="219">
        <f ca="1"/>
        <v>80</v>
      </c>
      <c r="I351" s="219">
        <f ca="1"/>
        <v>2</v>
      </c>
      <c r="J351" s="219">
        <f ca="1"/>
        <v>122.5</v>
      </c>
      <c r="K351" s="219">
        <f ca="1"/>
        <v>204.5</v>
      </c>
      <c r="L351" s="219">
        <f ca="1"/>
        <v>2463</v>
      </c>
      <c r="M351" s="219">
        <f ca="1"/>
        <v>3</v>
      </c>
      <c r="N351" s="212" t="str">
        <f ca="1"/>
        <v>DAY</v>
      </c>
      <c r="O351" s="220">
        <f ca="1"/>
        <v>0.92333645735707592</v>
      </c>
      <c r="P351" s="221">
        <f ca="1"/>
        <v>2667.5</v>
      </c>
      <c r="Q351" s="221">
        <f ca="1"/>
        <v>0</v>
      </c>
    </row>
    <row r="352" spans="1:17" ht="18" customHeight="1">
      <c r="A352" s="212" t="str">
        <f ca="1"/>
        <v>C6-JUNE</v>
      </c>
      <c r="B352" s="218">
        <f ca="1"/>
        <v>46178</v>
      </c>
      <c r="C352" s="212" t="str">
        <f ca="1"/>
        <v>Chakki1,2,3</v>
      </c>
      <c r="D352" s="212" t="str">
        <f ca="1"/>
        <v>old plant</v>
      </c>
      <c r="E352" s="212" t="str">
        <f ca="1"/>
        <v>High Protein Atta</v>
      </c>
      <c r="F352" s="219">
        <f ca="1"/>
        <v>1309.5</v>
      </c>
      <c r="G352" s="219">
        <f ca="1"/>
        <v>0</v>
      </c>
      <c r="H352" s="219">
        <f ca="1"/>
        <v>10</v>
      </c>
      <c r="I352" s="219">
        <f ca="1"/>
        <v>1</v>
      </c>
      <c r="J352" s="219">
        <f ca="1"/>
        <v>79.5</v>
      </c>
      <c r="K352" s="219">
        <f ca="1"/>
        <v>90.5</v>
      </c>
      <c r="L352" s="219">
        <f ca="1"/>
        <v>1219</v>
      </c>
      <c r="M352" s="219">
        <f ca="1"/>
        <v>3</v>
      </c>
      <c r="N352" s="212" t="str">
        <f ca="1"/>
        <v>DAY</v>
      </c>
      <c r="O352" s="220">
        <f ca="1"/>
        <v>0.93088965253913702</v>
      </c>
      <c r="P352" s="221">
        <f ca="1"/>
        <v>1309.5</v>
      </c>
      <c r="Q352" s="221">
        <f ca="1"/>
        <v>0</v>
      </c>
    </row>
    <row r="353" spans="1:17" ht="18" customHeight="1">
      <c r="A353" s="212" t="str">
        <f ca="1"/>
        <v>C6-JUNE</v>
      </c>
      <c r="B353" s="218">
        <f ca="1"/>
        <v>46179</v>
      </c>
      <c r="C353" s="212" t="str">
        <f ca="1"/>
        <v>Chakki1,2,3</v>
      </c>
      <c r="D353" s="212" t="str">
        <f ca="1"/>
        <v>New Plant</v>
      </c>
      <c r="E353" s="212" t="str">
        <f ca="1"/>
        <v>High Protein Atta</v>
      </c>
      <c r="F353" s="219">
        <f ca="1"/>
        <v>2764.5</v>
      </c>
      <c r="G353" s="219">
        <f ca="1"/>
        <v>5</v>
      </c>
      <c r="H353" s="219">
        <f ca="1"/>
        <v>64</v>
      </c>
      <c r="I353" s="219">
        <f ca="1"/>
        <v>2</v>
      </c>
      <c r="J353" s="219">
        <f ca="1"/>
        <v>98.5</v>
      </c>
      <c r="K353" s="219">
        <f ca="1"/>
        <v>169.5</v>
      </c>
      <c r="L353" s="219">
        <f ca="1"/>
        <v>2595</v>
      </c>
      <c r="M353" s="219">
        <f ca="1"/>
        <v>3</v>
      </c>
      <c r="N353" s="212" t="str">
        <f ca="1"/>
        <v>DAY</v>
      </c>
      <c r="O353" s="220">
        <f ca="1"/>
        <v>0.93868692349430272</v>
      </c>
      <c r="P353" s="221">
        <f ca="1"/>
        <v>2764.5</v>
      </c>
      <c r="Q353" s="221">
        <f ca="1"/>
        <v>0</v>
      </c>
    </row>
    <row r="354" spans="1:17" ht="18" customHeight="1">
      <c r="A354" s="212" t="str">
        <f ca="1"/>
        <v>C6-JUNE</v>
      </c>
      <c r="B354" s="218">
        <f ca="1"/>
        <v>46181</v>
      </c>
      <c r="C354" s="212" t="str">
        <f ca="1"/>
        <v>Chakki1,2,3</v>
      </c>
      <c r="D354" s="212" t="str">
        <f ca="1"/>
        <v>New Plant</v>
      </c>
      <c r="E354" s="212" t="str">
        <f ca="1"/>
        <v>High Protein Atta</v>
      </c>
      <c r="F354" s="219">
        <f ca="1"/>
        <v>2279.5</v>
      </c>
      <c r="G354" s="219">
        <f ca="1"/>
        <v>3</v>
      </c>
      <c r="H354" s="219">
        <f ca="1"/>
        <v>75</v>
      </c>
      <c r="I354" s="219">
        <f ca="1"/>
        <v>2</v>
      </c>
      <c r="J354" s="219">
        <f ca="1"/>
        <v>74.5</v>
      </c>
      <c r="K354" s="219">
        <f ca="1"/>
        <v>154.5</v>
      </c>
      <c r="L354" s="219">
        <f ca="1"/>
        <v>2125</v>
      </c>
      <c r="M354" s="219">
        <f ca="1"/>
        <v>3</v>
      </c>
      <c r="N354" s="212" t="str">
        <f ca="1"/>
        <v>DAY</v>
      </c>
      <c r="O354" s="220">
        <f ca="1"/>
        <v>0.92060047024778446</v>
      </c>
      <c r="P354" s="221">
        <f ca="1"/>
        <v>2279.5</v>
      </c>
      <c r="Q354" s="221">
        <f ca="1"/>
        <v>0</v>
      </c>
    </row>
    <row r="355" spans="1:17" ht="18" customHeight="1">
      <c r="A355" s="212" t="str">
        <f ca="1"/>
        <v>C6-JUNE</v>
      </c>
      <c r="B355" s="218">
        <f ca="1"/>
        <v>46181</v>
      </c>
      <c r="C355" s="212" t="str">
        <f ca="1"/>
        <v>Chakki1,2,3</v>
      </c>
      <c r="D355" s="212" t="str">
        <f ca="1"/>
        <v>New Plant</v>
      </c>
      <c r="E355" s="212" t="str">
        <f ca="1"/>
        <v>High Protein Atta</v>
      </c>
      <c r="F355" s="219">
        <f ca="1"/>
        <v>485</v>
      </c>
      <c r="G355" s="219">
        <f ca="1"/>
        <v>0</v>
      </c>
      <c r="H355" s="219">
        <f ca="1"/>
        <v>3</v>
      </c>
      <c r="I355" s="219">
        <f ca="1"/>
        <v>2</v>
      </c>
      <c r="J355" s="219">
        <f ca="1"/>
        <v>60</v>
      </c>
      <c r="K355" s="219">
        <f ca="1"/>
        <v>65</v>
      </c>
      <c r="L355" s="219">
        <f ca="1"/>
        <v>420</v>
      </c>
      <c r="M355" s="219">
        <f ca="1"/>
        <v>3</v>
      </c>
      <c r="N355" s="212" t="str">
        <f ca="1"/>
        <v>DAY</v>
      </c>
      <c r="O355" s="220">
        <f ca="1"/>
        <v>0.92060047024778446</v>
      </c>
      <c r="P355" s="221">
        <f ca="1"/>
        <v>485</v>
      </c>
      <c r="Q355" s="221">
        <f ca="1"/>
        <v>0</v>
      </c>
    </row>
    <row r="356" spans="1:17" ht="18" customHeight="1">
      <c r="A356" s="212" t="str">
        <f ca="1"/>
        <v>C6-JUNE</v>
      </c>
      <c r="B356" s="218">
        <f ca="1"/>
        <v>46182</v>
      </c>
      <c r="C356" s="212" t="str">
        <f ca="1"/>
        <v>Chakki1,2,3</v>
      </c>
      <c r="D356" s="212" t="str">
        <f ca="1"/>
        <v>old plant</v>
      </c>
      <c r="E356" s="212" t="str">
        <f ca="1"/>
        <v>High Protein Atta</v>
      </c>
      <c r="F356" s="219">
        <f ca="1"/>
        <v>2619</v>
      </c>
      <c r="G356" s="219">
        <f ca="1"/>
        <v>5</v>
      </c>
      <c r="H356" s="219">
        <f ca="1"/>
        <v>85</v>
      </c>
      <c r="I356" s="219">
        <f ca="1"/>
        <v>2</v>
      </c>
      <c r="J356" s="219">
        <f ca="1"/>
        <v>92</v>
      </c>
      <c r="K356" s="219">
        <f ca="1"/>
        <v>184</v>
      </c>
      <c r="L356" s="219">
        <f ca="1"/>
        <v>2435</v>
      </c>
      <c r="M356" s="219">
        <f ca="1"/>
        <v>5</v>
      </c>
      <c r="N356" s="212" t="str">
        <f ca="1"/>
        <v>DAY</v>
      </c>
      <c r="O356" s="220">
        <f ca="1"/>
        <v>0.92974417716685753</v>
      </c>
      <c r="P356" s="221">
        <f ca="1"/>
        <v>2619</v>
      </c>
      <c r="Q356" s="221">
        <f ca="1"/>
        <v>0</v>
      </c>
    </row>
    <row r="357" spans="1:17" ht="18" customHeight="1">
      <c r="A357" s="212" t="str">
        <f ca="1"/>
        <v>C6-JUNE</v>
      </c>
      <c r="B357" s="218">
        <f ca="1"/>
        <v>46182</v>
      </c>
      <c r="C357" s="212" t="str">
        <f ca="1"/>
        <v>Chakki1,2,3</v>
      </c>
      <c r="D357" s="212" t="str">
        <f ca="1"/>
        <v>New Plant</v>
      </c>
      <c r="E357" s="212" t="str">
        <f ca="1"/>
        <v>High Protein Atta</v>
      </c>
      <c r="F357" s="219">
        <f ca="1"/>
        <v>2667.5</v>
      </c>
      <c r="G357" s="219">
        <f ca="1"/>
        <v>5</v>
      </c>
      <c r="H357" s="219">
        <f ca="1"/>
        <v>105</v>
      </c>
      <c r="I357" s="219">
        <f ca="1"/>
        <v>2</v>
      </c>
      <c r="J357" s="219">
        <f ca="1"/>
        <v>84.5</v>
      </c>
      <c r="K357" s="219">
        <f ca="1"/>
        <v>196.5</v>
      </c>
      <c r="L357" s="219">
        <f ca="1"/>
        <v>2471</v>
      </c>
      <c r="M357" s="219">
        <f ca="1"/>
        <v>5</v>
      </c>
      <c r="N357" s="212" t="str">
        <f ca="1"/>
        <v>DAY</v>
      </c>
      <c r="O357" s="220">
        <f ca="1"/>
        <v>0.92633552014995313</v>
      </c>
      <c r="P357" s="221">
        <f ca="1"/>
        <v>2667.5</v>
      </c>
      <c r="Q357" s="221">
        <f ca="1"/>
        <v>0</v>
      </c>
    </row>
    <row r="358" spans="1:17" ht="18" customHeight="1">
      <c r="A358" s="212" t="str">
        <f ca="1"/>
        <v>C6-JUNE</v>
      </c>
      <c r="B358" s="218">
        <f ca="1"/>
        <v>46183</v>
      </c>
      <c r="C358" s="212" t="str">
        <f ca="1"/>
        <v>Chakki1,2,3</v>
      </c>
      <c r="D358" s="212" t="str">
        <f ca="1"/>
        <v>New Plant</v>
      </c>
      <c r="E358" s="212" t="str">
        <f ca="1"/>
        <v>High Protein Atta</v>
      </c>
      <c r="F358" s="219">
        <f ca="1"/>
        <v>2570.2800000000002</v>
      </c>
      <c r="G358" s="219">
        <f ca="1"/>
        <v>2</v>
      </c>
      <c r="H358" s="219">
        <f ca="1"/>
        <v>104</v>
      </c>
      <c r="I358" s="219">
        <f ca="1"/>
        <v>1.78</v>
      </c>
      <c r="J358" s="219">
        <f ca="1"/>
        <v>108.5</v>
      </c>
      <c r="K358" s="219">
        <f ca="1"/>
        <v>216.28</v>
      </c>
      <c r="L358" s="219">
        <f ca="1"/>
        <v>2354</v>
      </c>
      <c r="M358" s="219">
        <f ca="1"/>
        <v>3</v>
      </c>
      <c r="N358" s="212" t="str">
        <f ca="1"/>
        <v>DAY</v>
      </c>
      <c r="O358" s="220">
        <f ca="1"/>
        <v>0.91585352568591738</v>
      </c>
      <c r="P358" s="221">
        <f ca="1"/>
        <v>2570.2800000000002</v>
      </c>
      <c r="Q358" s="221">
        <f ca="1"/>
        <v>0</v>
      </c>
    </row>
    <row r="359" spans="1:17" ht="18" customHeight="1">
      <c r="A359" s="212" t="str">
        <f ca="1"/>
        <v>C6-JUNE</v>
      </c>
      <c r="B359" s="218">
        <f ca="1"/>
        <v>46183</v>
      </c>
      <c r="C359" s="212" t="str">
        <f ca="1"/>
        <v>Chakki1,2,3</v>
      </c>
      <c r="D359" s="212" t="str">
        <f ca="1"/>
        <v>old plant</v>
      </c>
      <c r="E359" s="212" t="str">
        <f ca="1"/>
        <v>High Protein Atta</v>
      </c>
      <c r="F359" s="219">
        <f ca="1"/>
        <v>2619</v>
      </c>
      <c r="G359" s="219">
        <f ca="1"/>
        <v>5</v>
      </c>
      <c r="H359" s="219">
        <f ca="1"/>
        <v>45</v>
      </c>
      <c r="I359" s="219">
        <f ca="1"/>
        <v>2</v>
      </c>
      <c r="J359" s="219">
        <f ca="1"/>
        <v>107</v>
      </c>
      <c r="K359" s="219">
        <f ca="1"/>
        <v>159</v>
      </c>
      <c r="L359" s="219">
        <f ca="1"/>
        <v>2460</v>
      </c>
      <c r="M359" s="219">
        <f ca="1"/>
        <v>3</v>
      </c>
      <c r="N359" s="212" t="str">
        <f ca="1"/>
        <v>DAY</v>
      </c>
      <c r="O359" s="220">
        <f ca="1"/>
        <v>0.93928980526918671</v>
      </c>
      <c r="P359" s="221">
        <f ca="1"/>
        <v>2619</v>
      </c>
      <c r="Q359" s="221">
        <f ca="1"/>
        <v>0</v>
      </c>
    </row>
    <row r="360" spans="1:17" ht="18" customHeight="1">
      <c r="A360" s="212" t="str">
        <f ca="1"/>
        <v>C6-JUNE</v>
      </c>
      <c r="B360" s="218">
        <f ca="1"/>
        <v>46184</v>
      </c>
      <c r="C360" s="212" t="str">
        <f ca="1"/>
        <v>Chakki1,2,3</v>
      </c>
      <c r="D360" s="212" t="str">
        <f ca="1"/>
        <v>old plant</v>
      </c>
      <c r="E360" s="212" t="str">
        <f ca="1"/>
        <v>High Protein Atta</v>
      </c>
      <c r="F360" s="219">
        <f ca="1"/>
        <v>2085.5</v>
      </c>
      <c r="G360" s="219">
        <f ca="1"/>
        <v>2</v>
      </c>
      <c r="H360" s="219">
        <f ca="1"/>
        <v>35</v>
      </c>
      <c r="I360" s="219">
        <f ca="1"/>
        <v>2</v>
      </c>
      <c r="J360" s="219">
        <f ca="1"/>
        <v>96.5</v>
      </c>
      <c r="K360" s="219">
        <f ca="1"/>
        <v>135.5</v>
      </c>
      <c r="L360" s="219">
        <f ca="1"/>
        <v>1950</v>
      </c>
      <c r="M360" s="219">
        <f ca="1"/>
        <v>3</v>
      </c>
      <c r="N360" s="212" t="str">
        <f ca="1"/>
        <v>DAY</v>
      </c>
      <c r="O360" s="220">
        <f ca="1"/>
        <v>0.93502757132582115</v>
      </c>
      <c r="P360" s="221">
        <f ca="1"/>
        <v>2085.5</v>
      </c>
      <c r="Q360" s="221">
        <f ca="1"/>
        <v>0</v>
      </c>
    </row>
    <row r="361" spans="1:17" ht="18" customHeight="1">
      <c r="A361" s="212" t="str">
        <f ca="1"/>
        <v>C6-JUNE</v>
      </c>
      <c r="B361" s="218">
        <f ca="1"/>
        <v>46185</v>
      </c>
      <c r="C361" s="212" t="str">
        <f ca="1"/>
        <v>Chakki1,2,3</v>
      </c>
      <c r="D361" s="212" t="str">
        <f ca="1"/>
        <v>old plant</v>
      </c>
      <c r="E361" s="212" t="str">
        <f ca="1"/>
        <v>High Protein Atta</v>
      </c>
      <c r="F361" s="219">
        <f ca="1"/>
        <v>2619</v>
      </c>
      <c r="G361" s="219">
        <f ca="1"/>
        <v>5</v>
      </c>
      <c r="H361" s="219">
        <f ca="1"/>
        <v>40</v>
      </c>
      <c r="I361" s="219">
        <f ca="1"/>
        <v>2</v>
      </c>
      <c r="J361" s="219">
        <f ca="1"/>
        <v>112</v>
      </c>
      <c r="K361" s="219">
        <f ca="1"/>
        <v>159</v>
      </c>
      <c r="L361" s="219">
        <f ca="1"/>
        <v>2460</v>
      </c>
      <c r="M361" s="219">
        <f ca="1"/>
        <v>3</v>
      </c>
      <c r="N361" s="212" t="str">
        <f ca="1"/>
        <v>DAY</v>
      </c>
      <c r="O361" s="220">
        <f ca="1"/>
        <v>0.93928980526918671</v>
      </c>
      <c r="P361" s="221">
        <f ca="1"/>
        <v>2619</v>
      </c>
      <c r="Q361" s="221">
        <f ca="1"/>
        <v>0</v>
      </c>
    </row>
    <row r="362" spans="1:17" ht="18" customHeight="1">
      <c r="A362" s="212" t="str">
        <f ca="1"/>
        <v>C6-JUNE</v>
      </c>
      <c r="B362" s="218">
        <f ca="1"/>
        <v>46186</v>
      </c>
      <c r="C362" s="212" t="str">
        <f ca="1"/>
        <v>Chakki1,2,3</v>
      </c>
      <c r="D362" s="212" t="str">
        <f ca="1"/>
        <v>old plant</v>
      </c>
      <c r="E362" s="212" t="str">
        <f ca="1"/>
        <v>High Protein Atta</v>
      </c>
      <c r="F362" s="219">
        <f ca="1"/>
        <v>650</v>
      </c>
      <c r="G362" s="219">
        <f ca="1"/>
        <v>2</v>
      </c>
      <c r="H362" s="219">
        <f ca="1"/>
        <v>15</v>
      </c>
      <c r="I362" s="219">
        <f ca="1"/>
        <v>1</v>
      </c>
      <c r="J362" s="219">
        <f ca="1"/>
        <v>37</v>
      </c>
      <c r="K362" s="219">
        <f ca="1"/>
        <v>55</v>
      </c>
      <c r="L362" s="219">
        <f ca="1"/>
        <v>595</v>
      </c>
      <c r="M362" s="219">
        <f ca="1"/>
        <v>3</v>
      </c>
      <c r="N362" s="212" t="str">
        <f ca="1"/>
        <v>DAY</v>
      </c>
      <c r="O362" s="220">
        <f ca="1"/>
        <v>0.91538461538461535</v>
      </c>
      <c r="P362" s="221">
        <f ca="1"/>
        <v>650</v>
      </c>
      <c r="Q362" s="221">
        <f ca="1"/>
        <v>0</v>
      </c>
    </row>
    <row r="363" spans="1:17" ht="18" customHeight="1">
      <c r="A363" s="212" t="str">
        <f ca="1"/>
        <v>C6-JUNE</v>
      </c>
      <c r="B363" s="218">
        <f ca="1"/>
        <v>46186</v>
      </c>
      <c r="C363" s="212" t="str">
        <f ca="1"/>
        <v>Chakki1,2,3</v>
      </c>
      <c r="D363" s="212" t="str">
        <f ca="1"/>
        <v>New Plant</v>
      </c>
      <c r="E363" s="212" t="str">
        <f ca="1"/>
        <v>Khapli Grains</v>
      </c>
      <c r="F363" s="219">
        <f ca="1"/>
        <v>420</v>
      </c>
      <c r="G363" s="219">
        <f ca="1"/>
        <v>3</v>
      </c>
      <c r="H363" s="219">
        <f ca="1"/>
        <v>8</v>
      </c>
      <c r="I363" s="219">
        <f ca="1"/>
        <v>1</v>
      </c>
      <c r="J363" s="219">
        <f ca="1"/>
        <v>25</v>
      </c>
      <c r="K363" s="219">
        <f ca="1"/>
        <v>37</v>
      </c>
      <c r="L363" s="219">
        <f ca="1"/>
        <v>383</v>
      </c>
      <c r="M363" s="219">
        <f ca="1"/>
        <v>3</v>
      </c>
      <c r="N363" s="212" t="str">
        <f ca="1"/>
        <v>DAY</v>
      </c>
      <c r="O363" s="220">
        <f ca="1"/>
        <v>0.91190476190476188</v>
      </c>
      <c r="P363" s="221">
        <f ca="1"/>
        <v>420</v>
      </c>
      <c r="Q363" s="221">
        <f ca="1"/>
        <v>0</v>
      </c>
    </row>
    <row r="364" spans="1:17" ht="18" customHeight="1">
      <c r="A364" s="212" t="str">
        <f ca="1"/>
        <v>C6-JUNE</v>
      </c>
      <c r="B364" s="218">
        <f ca="1"/>
        <v>46188</v>
      </c>
      <c r="C364" s="212" t="str">
        <f ca="1"/>
        <v>Chakki1,2,3</v>
      </c>
      <c r="D364" s="212" t="str">
        <f ca="1"/>
        <v>New Plant</v>
      </c>
      <c r="E364" s="212" t="str">
        <f ca="1"/>
        <v>Bajra Grains</v>
      </c>
      <c r="F364" s="219">
        <f ca="1"/>
        <v>580</v>
      </c>
      <c r="G364" s="219">
        <f ca="1"/>
        <v>0</v>
      </c>
      <c r="H364" s="219">
        <f ca="1"/>
        <v>26</v>
      </c>
      <c r="I364" s="219">
        <f ca="1"/>
        <v>1</v>
      </c>
      <c r="J364" s="219">
        <f ca="1"/>
        <v>33</v>
      </c>
      <c r="K364" s="219">
        <f ca="1"/>
        <v>60</v>
      </c>
      <c r="L364" s="219">
        <f ca="1"/>
        <v>520</v>
      </c>
      <c r="M364" s="219">
        <f ca="1"/>
        <v>3</v>
      </c>
      <c r="N364" s="212" t="str">
        <f ca="1"/>
        <v>DAY</v>
      </c>
      <c r="O364" s="220">
        <f ca="1"/>
        <v>0.89655172413793105</v>
      </c>
      <c r="P364" s="221">
        <f ca="1"/>
        <v>580</v>
      </c>
      <c r="Q364" s="221">
        <f ca="1"/>
        <v>0</v>
      </c>
    </row>
    <row r="365" spans="1:17" ht="18" customHeight="1">
      <c r="A365" s="212" t="str">
        <f ca="1"/>
        <v>C6-JUNE</v>
      </c>
      <c r="B365" s="218">
        <f ca="1"/>
        <v>46189</v>
      </c>
      <c r="C365" s="212" t="str">
        <f ca="1"/>
        <v>Chakki1,2,3</v>
      </c>
      <c r="D365" s="212" t="str">
        <f ca="1"/>
        <v>New Plant</v>
      </c>
      <c r="E365" s="212" t="str">
        <f ca="1"/>
        <v>Khapli Grains</v>
      </c>
      <c r="F365" s="219">
        <f ca="1"/>
        <v>1550</v>
      </c>
      <c r="G365" s="219">
        <f ca="1"/>
        <v>3</v>
      </c>
      <c r="H365" s="219">
        <f ca="1"/>
        <v>22</v>
      </c>
      <c r="I365" s="219">
        <f ca="1"/>
        <v>2</v>
      </c>
      <c r="J365" s="219">
        <f ca="1"/>
        <v>78</v>
      </c>
      <c r="K365" s="219">
        <f ca="1"/>
        <v>105</v>
      </c>
      <c r="L365" s="219">
        <f ca="1"/>
        <v>1445</v>
      </c>
      <c r="M365" s="219">
        <f ca="1"/>
        <v>5</v>
      </c>
      <c r="N365" s="212" t="str">
        <f ca="1"/>
        <v>DAY</v>
      </c>
      <c r="O365" s="220">
        <f ca="1"/>
        <v>0.93225806451612903</v>
      </c>
      <c r="P365" s="221">
        <f ca="1"/>
        <v>1550</v>
      </c>
      <c r="Q365" s="221">
        <f ca="1"/>
        <v>0</v>
      </c>
    </row>
    <row r="366" spans="1:17" ht="18" customHeight="1">
      <c r="A366" s="212" t="str">
        <f ca="1"/>
        <v>C6-JUNE</v>
      </c>
      <c r="B366" s="218">
        <f ca="1"/>
        <v>46189</v>
      </c>
      <c r="C366" s="212" t="str">
        <f ca="1"/>
        <v>Chakki1,2,3</v>
      </c>
      <c r="D366" s="212" t="str">
        <f ca="1"/>
        <v>old plant</v>
      </c>
      <c r="E366" s="212" t="str">
        <f ca="1"/>
        <v>Jowar Grains</v>
      </c>
      <c r="F366" s="219">
        <f ca="1"/>
        <v>1100</v>
      </c>
      <c r="G366" s="219">
        <f ca="1"/>
        <v>2</v>
      </c>
      <c r="H366" s="219">
        <f ca="1"/>
        <v>21</v>
      </c>
      <c r="I366" s="219">
        <f ca="1"/>
        <v>2</v>
      </c>
      <c r="J366" s="219">
        <f ca="1"/>
        <v>78</v>
      </c>
      <c r="K366" s="219">
        <f ca="1"/>
        <v>103</v>
      </c>
      <c r="L366" s="219">
        <f ca="1"/>
        <v>997</v>
      </c>
      <c r="M366" s="219">
        <f ca="1"/>
        <v>5</v>
      </c>
      <c r="N366" s="212" t="str">
        <f ca="1"/>
        <v>DAY</v>
      </c>
      <c r="O366" s="220">
        <f ca="1"/>
        <v>0.90636363636363637</v>
      </c>
      <c r="P366" s="221">
        <f ca="1"/>
        <v>1100</v>
      </c>
      <c r="Q366" s="221">
        <f ca="1"/>
        <v>0</v>
      </c>
    </row>
    <row r="367" spans="1:17" ht="18" customHeight="1">
      <c r="A367" s="212" t="str">
        <f ca="1"/>
        <v>C6-JUNE</v>
      </c>
      <c r="B367" s="218">
        <f ca="1"/>
        <v>46190</v>
      </c>
      <c r="C367" s="212" t="str">
        <f ca="1"/>
        <v>Chakki1,2,3</v>
      </c>
      <c r="D367" s="212" t="str">
        <f ca="1"/>
        <v>New Plant</v>
      </c>
      <c r="E367" s="212" t="str">
        <f ca="1"/>
        <v>Khapli Grains</v>
      </c>
      <c r="F367" s="219">
        <f ca="1"/>
        <v>2450</v>
      </c>
      <c r="G367" s="219">
        <f ca="1"/>
        <v>0</v>
      </c>
      <c r="H367" s="219">
        <f ca="1"/>
        <v>43</v>
      </c>
      <c r="I367" s="219">
        <f ca="1"/>
        <v>2</v>
      </c>
      <c r="J367" s="219">
        <f ca="1"/>
        <v>103</v>
      </c>
      <c r="K367" s="219">
        <f ca="1"/>
        <v>148</v>
      </c>
      <c r="L367" s="219">
        <f ca="1"/>
        <v>2302</v>
      </c>
      <c r="M367" s="219">
        <f ca="1"/>
        <v>3</v>
      </c>
      <c r="N367" s="212" t="str">
        <f ca="1"/>
        <v>DAY</v>
      </c>
      <c r="O367" s="220">
        <f ca="1"/>
        <v>0.93959183673469393</v>
      </c>
      <c r="P367" s="221">
        <f ca="1"/>
        <v>2450</v>
      </c>
      <c r="Q367" s="221">
        <f ca="1"/>
        <v>0</v>
      </c>
    </row>
    <row r="368" spans="1:17" ht="18" customHeight="1">
      <c r="A368" s="212" t="str">
        <f ca="1"/>
        <v>C6-JUNE</v>
      </c>
      <c r="B368" s="218">
        <f ca="1"/>
        <v>46191</v>
      </c>
      <c r="C368" s="212" t="str">
        <f ca="1"/>
        <v>Chakki1,2,3</v>
      </c>
      <c r="D368" s="212" t="str">
        <f ca="1"/>
        <v>New Plant</v>
      </c>
      <c r="E368" s="212" t="str">
        <f ca="1"/>
        <v>Khapli Grains</v>
      </c>
      <c r="F368" s="219">
        <f ca="1"/>
        <v>3500</v>
      </c>
      <c r="G368" s="219">
        <f ca="1"/>
        <v>4</v>
      </c>
      <c r="H368" s="219">
        <f ca="1"/>
        <v>72</v>
      </c>
      <c r="I368" s="219">
        <f ca="1"/>
        <v>2</v>
      </c>
      <c r="J368" s="219">
        <f ca="1"/>
        <v>142</v>
      </c>
      <c r="K368" s="219">
        <f ca="1"/>
        <v>220</v>
      </c>
      <c r="L368" s="219">
        <f ca="1"/>
        <v>3280</v>
      </c>
      <c r="M368" s="219">
        <f ca="1"/>
        <v>3</v>
      </c>
      <c r="N368" s="212" t="str">
        <f ca="1"/>
        <v>Day</v>
      </c>
      <c r="O368" s="220">
        <f ca="1"/>
        <v>0.93714285714285717</v>
      </c>
      <c r="P368" s="221">
        <f ca="1"/>
        <v>3500</v>
      </c>
      <c r="Q368" s="221">
        <f ca="1"/>
        <v>0</v>
      </c>
    </row>
    <row r="369" spans="1:17" ht="18" customHeight="1">
      <c r="A369" s="212" t="str">
        <f ca="1"/>
        <v>C6-JUNE</v>
      </c>
      <c r="B369" s="218">
        <f ca="1"/>
        <v>46192</v>
      </c>
      <c r="C369" s="212" t="str">
        <f ca="1"/>
        <v>Chakki1,2,3</v>
      </c>
      <c r="D369" s="212" t="str">
        <f ca="1"/>
        <v>New Plant</v>
      </c>
      <c r="E369" s="212" t="str">
        <f ca="1"/>
        <v>Khapli Grains</v>
      </c>
      <c r="F369" s="219">
        <f ca="1"/>
        <v>630</v>
      </c>
      <c r="G369" s="219">
        <f ca="1"/>
        <v>0</v>
      </c>
      <c r="H369" s="219">
        <f ca="1"/>
        <v>11</v>
      </c>
      <c r="I369" s="219">
        <f ca="1"/>
        <v>2</v>
      </c>
      <c r="J369" s="219">
        <f ca="1"/>
        <v>29</v>
      </c>
      <c r="K369" s="219">
        <f ca="1"/>
        <v>42</v>
      </c>
      <c r="L369" s="219">
        <f ca="1"/>
        <v>588</v>
      </c>
      <c r="M369" s="219">
        <f ca="1"/>
        <v>3</v>
      </c>
      <c r="N369" s="212" t="str">
        <f ca="1"/>
        <v>DAY</v>
      </c>
      <c r="O369" s="220">
        <f ca="1"/>
        <v>0.93333333333333335</v>
      </c>
      <c r="P369" s="221">
        <f ca="1"/>
        <v>630</v>
      </c>
      <c r="Q369" s="221">
        <f ca="1"/>
        <v>0</v>
      </c>
    </row>
    <row r="370" spans="1:17" ht="18" customHeight="1">
      <c r="A370" s="212" t="str">
        <f ca="1"/>
        <v>C6-JUNE</v>
      </c>
      <c r="B370" s="218">
        <f ca="1"/>
        <v>46192</v>
      </c>
      <c r="C370" s="212" t="str">
        <f ca="1"/>
        <v>Chakki1,2,3</v>
      </c>
      <c r="D370" s="212" t="str">
        <f ca="1"/>
        <v>New Plant</v>
      </c>
      <c r="E370" s="212" t="str">
        <f ca="1"/>
        <v>High Protein Atta</v>
      </c>
      <c r="F370" s="219">
        <f ca="1"/>
        <v>3104</v>
      </c>
      <c r="G370" s="219">
        <f ca="1"/>
        <v>0</v>
      </c>
      <c r="H370" s="219">
        <f ca="1"/>
        <v>105</v>
      </c>
      <c r="I370" s="219">
        <f ca="1"/>
        <v>3</v>
      </c>
      <c r="J370" s="219">
        <f ca="1"/>
        <v>121</v>
      </c>
      <c r="K370" s="219">
        <f ca="1"/>
        <v>229</v>
      </c>
      <c r="L370" s="219">
        <f ca="1"/>
        <v>2875</v>
      </c>
      <c r="M370" s="219">
        <f ca="1"/>
        <v>3</v>
      </c>
      <c r="N370" s="212" t="str">
        <f ca="1"/>
        <v>DAY</v>
      </c>
      <c r="O370" s="220">
        <f ca="1"/>
        <v>0.92622422680412375</v>
      </c>
      <c r="P370" s="221">
        <f ca="1"/>
        <v>3104</v>
      </c>
      <c r="Q370" s="221">
        <f ca="1"/>
        <v>0</v>
      </c>
    </row>
    <row r="371" spans="1:17" ht="18" customHeight="1">
      <c r="A371" s="212" t="str">
        <f ca="1"/>
        <v>C6-JUNE</v>
      </c>
      <c r="B371" s="218">
        <f ca="1"/>
        <v>46193</v>
      </c>
      <c r="C371" s="212" t="str">
        <f ca="1"/>
        <v>Chakki1,2,3</v>
      </c>
      <c r="D371" s="212" t="str">
        <f ca="1"/>
        <v>New Plant</v>
      </c>
      <c r="E371" s="212" t="str">
        <f ca="1"/>
        <v>High Protein Atta</v>
      </c>
      <c r="F371" s="219">
        <f ca="1"/>
        <v>3492</v>
      </c>
      <c r="G371" s="219">
        <f ca="1"/>
        <v>0</v>
      </c>
      <c r="H371" s="219">
        <f ca="1"/>
        <v>106</v>
      </c>
      <c r="I371" s="219">
        <f ca="1"/>
        <v>4</v>
      </c>
      <c r="J371" s="219">
        <f ca="1"/>
        <v>118</v>
      </c>
      <c r="K371" s="219">
        <f ca="1"/>
        <v>228</v>
      </c>
      <c r="L371" s="219">
        <f ca="1"/>
        <v>3264</v>
      </c>
      <c r="M371" s="219">
        <f ca="1"/>
        <v>4</v>
      </c>
      <c r="N371" s="212" t="str">
        <f ca="1"/>
        <v>DAY</v>
      </c>
      <c r="O371" s="220">
        <f ca="1"/>
        <v>0.93470790378006874</v>
      </c>
      <c r="P371" s="221">
        <f ca="1"/>
        <v>3492</v>
      </c>
      <c r="Q371" s="221">
        <f ca="1"/>
        <v>0</v>
      </c>
    </row>
    <row r="372" spans="1:17" ht="18" customHeight="1">
      <c r="A372" s="212" t="str">
        <f ca="1"/>
        <v>C6-JUNE</v>
      </c>
      <c r="B372" s="218">
        <f ca="1"/>
        <v>46195</v>
      </c>
      <c r="C372" s="212" t="str">
        <f ca="1"/>
        <v>Chakki1,2,3</v>
      </c>
      <c r="D372" s="212" t="str">
        <f ca="1"/>
        <v>New Plant</v>
      </c>
      <c r="E372" s="212" t="str">
        <f ca="1"/>
        <v>High Protein Atta</v>
      </c>
      <c r="F372" s="219">
        <f ca="1"/>
        <v>2619</v>
      </c>
      <c r="G372" s="219">
        <f ca="1"/>
        <v>0</v>
      </c>
      <c r="H372" s="219">
        <f ca="1"/>
        <v>48</v>
      </c>
      <c r="I372" s="219">
        <f ca="1"/>
        <v>2</v>
      </c>
      <c r="J372" s="219">
        <f ca="1"/>
        <v>105</v>
      </c>
      <c r="K372" s="219">
        <f ca="1"/>
        <v>155</v>
      </c>
      <c r="L372" s="219">
        <f ca="1"/>
        <v>2464</v>
      </c>
      <c r="M372" s="219">
        <f ca="1"/>
        <v>3</v>
      </c>
      <c r="N372" s="212" t="str">
        <f ca="1"/>
        <v>DAY</v>
      </c>
      <c r="O372" s="220">
        <f ca="1"/>
        <v>0.94081710576555933</v>
      </c>
      <c r="P372" s="221">
        <f ca="1"/>
        <v>2619</v>
      </c>
      <c r="Q372" s="221">
        <f ca="1"/>
        <v>0</v>
      </c>
    </row>
    <row r="373" spans="1:17" ht="18" customHeight="1">
      <c r="A373" s="212" t="str">
        <f ca="1"/>
        <v>C6-JUNE</v>
      </c>
      <c r="B373" s="218">
        <f ca="1"/>
        <v>46196</v>
      </c>
      <c r="C373" s="212" t="str">
        <f ca="1"/>
        <v>Chakki1,2,3</v>
      </c>
      <c r="D373" s="212" t="str">
        <f ca="1"/>
        <v>New Plant</v>
      </c>
      <c r="E373" s="212" t="str">
        <f ca="1"/>
        <v>High Protein Atta</v>
      </c>
      <c r="F373" s="219">
        <f ca="1"/>
        <v>582</v>
      </c>
      <c r="G373" s="219">
        <f ca="1"/>
        <v>0</v>
      </c>
      <c r="H373" s="219">
        <f ca="1"/>
        <v>6</v>
      </c>
      <c r="I373" s="219">
        <f ca="1"/>
        <v>1</v>
      </c>
      <c r="J373" s="219">
        <f ca="1"/>
        <v>37</v>
      </c>
      <c r="K373" s="219">
        <f ca="1"/>
        <v>44</v>
      </c>
      <c r="L373" s="219">
        <f ca="1"/>
        <v>538</v>
      </c>
      <c r="M373" s="219">
        <f ca="1"/>
        <v>2</v>
      </c>
      <c r="N373" s="212" t="str">
        <f ca="1"/>
        <v>DAY</v>
      </c>
      <c r="O373" s="220">
        <f ca="1"/>
        <v>0.92439862542955331</v>
      </c>
      <c r="P373" s="221">
        <f ca="1"/>
        <v>582</v>
      </c>
      <c r="Q373" s="221">
        <f ca="1"/>
        <v>0</v>
      </c>
    </row>
    <row r="374" spans="1:17" ht="18" customHeight="1">
      <c r="A374" s="212" t="str">
        <f ca="1"/>
        <v>C6-JUNE</v>
      </c>
      <c r="B374" s="218">
        <f ca="1"/>
        <v>46199</v>
      </c>
      <c r="C374" s="212" t="str">
        <f ca="1"/>
        <v>Chakki1,2,3</v>
      </c>
      <c r="D374" s="212" t="str">
        <f ca="1"/>
        <v>New Plant</v>
      </c>
      <c r="E374" s="212" t="str">
        <f ca="1"/>
        <v>High Protein Atta</v>
      </c>
      <c r="F374" s="219">
        <f ca="1"/>
        <v>1092</v>
      </c>
      <c r="G374" s="219">
        <f ca="1"/>
        <v>0</v>
      </c>
      <c r="H374" s="219">
        <f ca="1"/>
        <v>25</v>
      </c>
      <c r="I374" s="219">
        <f ca="1"/>
        <v>4</v>
      </c>
      <c r="J374" s="219">
        <f ca="1"/>
        <v>48</v>
      </c>
      <c r="K374" s="219">
        <f ca="1"/>
        <v>77</v>
      </c>
      <c r="L374" s="219">
        <f ca="1"/>
        <v>1015</v>
      </c>
      <c r="M374" s="219">
        <f ca="1"/>
        <v>2</v>
      </c>
      <c r="N374" s="212" t="str">
        <f ca="1"/>
        <v>DAY</v>
      </c>
      <c r="O374" s="220">
        <f ca="1"/>
        <v>0.92948717948717952</v>
      </c>
      <c r="P374" s="221">
        <f ca="1"/>
        <v>1092</v>
      </c>
      <c r="Q374" s="221">
        <f ca="1"/>
        <v>0</v>
      </c>
    </row>
    <row r="375" spans="1:17" ht="18" customHeight="1">
      <c r="A375" s="212" t="str">
        <f ca="1"/>
        <v>C6-JUNE</v>
      </c>
      <c r="B375" s="218">
        <f ca="1"/>
        <v>46199</v>
      </c>
      <c r="C375" s="212" t="str">
        <f ca="1"/>
        <v>Chakki1,2,3</v>
      </c>
      <c r="D375" s="212" t="str">
        <f ca="1"/>
        <v>old plant</v>
      </c>
      <c r="E375" s="212" t="str">
        <f ca="1"/>
        <v>Jowar Grains</v>
      </c>
      <c r="F375" s="219">
        <f ca="1"/>
        <v>310</v>
      </c>
      <c r="G375" s="219">
        <f ca="1"/>
        <v>2</v>
      </c>
      <c r="H375" s="219">
        <f ca="1"/>
        <v>2</v>
      </c>
      <c r="I375" s="219">
        <f ca="1"/>
        <v>1</v>
      </c>
      <c r="J375" s="219">
        <f ca="1"/>
        <v>8</v>
      </c>
      <c r="K375" s="219">
        <f ca="1"/>
        <v>13</v>
      </c>
      <c r="L375" s="219">
        <f ca="1"/>
        <v>297</v>
      </c>
      <c r="M375" s="219">
        <f ca="1"/>
        <v>2</v>
      </c>
      <c r="N375" s="212" t="str">
        <f ca="1"/>
        <v>DAY</v>
      </c>
      <c r="O375" s="220">
        <f ca="1"/>
        <v>0.95806451612903221</v>
      </c>
      <c r="P375" s="221">
        <f ca="1"/>
        <v>310</v>
      </c>
      <c r="Q375" s="221">
        <f ca="1"/>
        <v>0</v>
      </c>
    </row>
    <row r="376" spans="1:17" ht="18" customHeight="1">
      <c r="A376" s="212" t="str">
        <f ca="1"/>
        <v>C6-JUNE</v>
      </c>
      <c r="B376" s="218">
        <f ca="1"/>
        <v>46200</v>
      </c>
      <c r="C376" s="212" t="str">
        <f ca="1"/>
        <v>Chakki1,2,3</v>
      </c>
      <c r="D376" s="212" t="str">
        <f ca="1"/>
        <v>old plant</v>
      </c>
      <c r="E376" s="212" t="str">
        <f ca="1"/>
        <v>High Protein Atta</v>
      </c>
      <c r="F376" s="219">
        <f ca="1"/>
        <v>2134</v>
      </c>
      <c r="G376" s="219">
        <f ca="1"/>
        <v>2</v>
      </c>
      <c r="H376" s="219">
        <f ca="1"/>
        <v>48</v>
      </c>
      <c r="I376" s="219">
        <f ca="1"/>
        <v>2</v>
      </c>
      <c r="J376" s="219">
        <f ca="1"/>
        <v>113</v>
      </c>
      <c r="K376" s="219">
        <f ca="1"/>
        <v>165</v>
      </c>
      <c r="L376" s="219">
        <f ca="1"/>
        <v>1969</v>
      </c>
      <c r="M376" s="219">
        <f ca="1"/>
        <v>3</v>
      </c>
      <c r="N376" s="212" t="str">
        <f ca="1"/>
        <v>DAY</v>
      </c>
      <c r="O376" s="220">
        <f ca="1"/>
        <v>0.92268041237113407</v>
      </c>
      <c r="P376" s="221">
        <f ca="1"/>
        <v>2134</v>
      </c>
      <c r="Q376" s="221">
        <f ca="1"/>
        <v>0</v>
      </c>
    </row>
    <row r="377" spans="1:17" ht="18" customHeight="1">
      <c r="A377" s="212" t="str">
        <f ca="1"/>
        <v>C6-JUNE</v>
      </c>
      <c r="B377" s="218">
        <f ca="1"/>
        <v>46203</v>
      </c>
      <c r="C377" s="212" t="str">
        <f ca="1"/>
        <v>Chakki1,2,3</v>
      </c>
      <c r="D377" s="212" t="str">
        <f ca="1"/>
        <v>old plant</v>
      </c>
      <c r="E377" s="212" t="str">
        <f ca="1"/>
        <v>Bajra grains</v>
      </c>
      <c r="F377" s="219">
        <f ca="1"/>
        <v>229</v>
      </c>
      <c r="G377" s="219">
        <f ca="1"/>
        <v>0</v>
      </c>
      <c r="H377" s="219">
        <f ca="1"/>
        <v>0.5</v>
      </c>
      <c r="I377" s="219">
        <f ca="1"/>
        <v>0.5</v>
      </c>
      <c r="J377" s="219">
        <f ca="1"/>
        <v>21</v>
      </c>
      <c r="K377" s="219">
        <f ca="1"/>
        <v>22</v>
      </c>
      <c r="L377" s="219">
        <f ca="1"/>
        <v>207</v>
      </c>
      <c r="M377" s="219">
        <f ca="1"/>
        <v>3</v>
      </c>
      <c r="N377" s="212" t="str">
        <f ca="1"/>
        <v>DAY</v>
      </c>
      <c r="O377" s="220">
        <f ca="1"/>
        <v>0.90393013100436681</v>
      </c>
      <c r="P377" s="221">
        <f ca="1"/>
        <v>229</v>
      </c>
      <c r="Q377" s="221">
        <f ca="1"/>
        <v>0</v>
      </c>
    </row>
    <row r="378" spans="1:17" ht="18" customHeight="1">
      <c r="A378" s="212" t="str">
        <f ca="1"/>
        <v>C6-JUNE</v>
      </c>
      <c r="B378" s="218">
        <f ca="1"/>
        <v>46203</v>
      </c>
      <c r="C378" s="212" t="str">
        <f ca="1"/>
        <v>Chakki1,2,3</v>
      </c>
      <c r="D378" s="212" t="str">
        <f ca="1"/>
        <v>New Plant</v>
      </c>
      <c r="E378" s="212" t="str">
        <f ca="1"/>
        <v>High Protein Atta</v>
      </c>
      <c r="F378" s="219">
        <f ca="1"/>
        <v>970</v>
      </c>
      <c r="G378" s="219">
        <f ca="1"/>
        <v>0</v>
      </c>
      <c r="H378" s="219">
        <f ca="1"/>
        <v>24</v>
      </c>
      <c r="I378" s="219">
        <f ca="1"/>
        <v>2</v>
      </c>
      <c r="J378" s="219">
        <f ca="1"/>
        <v>53</v>
      </c>
      <c r="K378" s="219">
        <f ca="1"/>
        <v>79</v>
      </c>
      <c r="L378" s="219">
        <f ca="1"/>
        <v>891</v>
      </c>
      <c r="M378" s="219">
        <f ca="1"/>
        <v>3</v>
      </c>
      <c r="N378" s="212" t="str">
        <f ca="1"/>
        <v>DAY</v>
      </c>
      <c r="O378" s="220">
        <f ca="1"/>
        <v>0.91855670103092779</v>
      </c>
      <c r="P378" s="221">
        <f ca="1"/>
        <v>970</v>
      </c>
      <c r="Q378" s="221">
        <f ca="1"/>
        <v>0</v>
      </c>
    </row>
    <row r="379" spans="1:17" ht="18" customHeight="1">
      <c r="A379" s="212" t="str">
        <f ca="1"/>
        <v>C6-JUNE</v>
      </c>
      <c r="B379" s="218">
        <f ca="1"/>
        <v>46203</v>
      </c>
      <c r="C379" s="212" t="str">
        <f ca="1"/>
        <v>Chakki1</v>
      </c>
      <c r="D379" s="212" t="str">
        <f ca="1"/>
        <v>old plant</v>
      </c>
      <c r="E379" s="212" t="str">
        <f ca="1"/>
        <v>multigrains</v>
      </c>
      <c r="F379" s="219">
        <f ca="1"/>
        <v>100</v>
      </c>
      <c r="G379" s="219">
        <f ca="1"/>
        <v>0</v>
      </c>
      <c r="H379" s="219">
        <f ca="1"/>
        <v>0.5</v>
      </c>
      <c r="I379" s="219">
        <f ca="1"/>
        <v>0.5</v>
      </c>
      <c r="J379" s="219">
        <f ca="1"/>
        <v>5</v>
      </c>
      <c r="K379" s="219">
        <f ca="1"/>
        <v>6</v>
      </c>
      <c r="L379" s="219">
        <f ca="1"/>
        <v>94</v>
      </c>
      <c r="M379" s="219">
        <f ca="1"/>
        <v>3</v>
      </c>
      <c r="N379" s="212" t="str">
        <f ca="1"/>
        <v>DAY</v>
      </c>
      <c r="O379" s="220">
        <f ca="1"/>
        <v>0.94</v>
      </c>
      <c r="P379" s="221">
        <f ca="1"/>
        <v>100</v>
      </c>
      <c r="Q379" s="221">
        <f ca="1"/>
        <v>0</v>
      </c>
    </row>
    <row r="380" spans="1:17" ht="18" customHeight="1">
      <c r="A380" s="212" t="str">
        <f ca="1"/>
        <v>C39-JUNE</v>
      </c>
      <c r="B380" s="218">
        <f ca="1"/>
        <v>46174</v>
      </c>
      <c r="C380" s="212" t="str">
        <f ca="1"/>
        <v>1,2,3,4</v>
      </c>
      <c r="D380" s="212" t="str">
        <f ca="1"/>
        <v>C39</v>
      </c>
      <c r="E380" s="212" t="str">
        <f ca="1"/>
        <v>MULTIGRAIN</v>
      </c>
      <c r="F380" s="219">
        <f ca="1"/>
        <v>6650</v>
      </c>
      <c r="G380" s="219">
        <f ca="1"/>
        <v>20</v>
      </c>
      <c r="H380" s="219">
        <f ca="1"/>
        <v>190</v>
      </c>
      <c r="I380" s="219">
        <f ca="1"/>
        <v>30</v>
      </c>
      <c r="J380" s="219">
        <f ca="1"/>
        <v>210</v>
      </c>
      <c r="K380" s="219">
        <f ca="1"/>
        <v>450</v>
      </c>
      <c r="L380" s="219">
        <f ca="1"/>
        <v>6200</v>
      </c>
      <c r="M380" s="219">
        <f ca="1"/>
        <v>5</v>
      </c>
      <c r="N380" s="212" t="str">
        <f ca="1"/>
        <v>Day</v>
      </c>
      <c r="O380" s="220">
        <f ca="1"/>
        <v>0.93233082706766912</v>
      </c>
      <c r="P380" s="221">
        <f ca="1"/>
        <v>6650</v>
      </c>
      <c r="Q380" s="221">
        <f ca="1"/>
        <v>0</v>
      </c>
    </row>
    <row r="381" spans="1:17" ht="18" customHeight="1">
      <c r="A381" s="212" t="str">
        <f ca="1"/>
        <v>C39-JUNE</v>
      </c>
      <c r="B381" s="218">
        <f ca="1"/>
        <v>46175</v>
      </c>
      <c r="C381" s="212" t="str">
        <f ca="1"/>
        <v>1,2,3,4</v>
      </c>
      <c r="D381" s="212" t="str">
        <f ca="1"/>
        <v>C39</v>
      </c>
      <c r="E381" s="212" t="str">
        <f ca="1"/>
        <v>MULTIGRAIN</v>
      </c>
      <c r="F381" s="219">
        <f ca="1"/>
        <v>5200</v>
      </c>
      <c r="G381" s="219">
        <f ca="1"/>
        <v>40</v>
      </c>
      <c r="H381" s="219">
        <f ca="1"/>
        <v>165</v>
      </c>
      <c r="I381" s="219">
        <f ca="1"/>
        <v>25</v>
      </c>
      <c r="J381" s="219">
        <f ca="1"/>
        <v>170</v>
      </c>
      <c r="K381" s="219">
        <f ca="1"/>
        <v>400</v>
      </c>
      <c r="L381" s="219">
        <f ca="1"/>
        <v>4800</v>
      </c>
      <c r="M381" s="219">
        <f ca="1"/>
        <v>5</v>
      </c>
      <c r="N381" s="212" t="str">
        <f ca="1"/>
        <v>Day</v>
      </c>
      <c r="O381" s="220">
        <f ca="1"/>
        <v>0.92307692307692313</v>
      </c>
      <c r="P381" s="221">
        <f ca="1"/>
        <v>5200</v>
      </c>
      <c r="Q381" s="221">
        <f ca="1"/>
        <v>0</v>
      </c>
    </row>
    <row r="382" spans="1:17" ht="18" customHeight="1">
      <c r="A382" s="212" t="str">
        <f ca="1"/>
        <v>C39-JUNE</v>
      </c>
      <c r="B382" s="218">
        <f ca="1"/>
        <v>46176</v>
      </c>
      <c r="C382" s="212" t="str">
        <f ca="1"/>
        <v>1,2,3,4</v>
      </c>
      <c r="D382" s="212" t="str">
        <f ca="1"/>
        <v>C39</v>
      </c>
      <c r="E382" s="212" t="str">
        <f ca="1"/>
        <v>MULTIGRAIN</v>
      </c>
      <c r="F382" s="219">
        <f ca="1"/>
        <v>6100</v>
      </c>
      <c r="G382" s="219">
        <f ca="1"/>
        <v>42</v>
      </c>
      <c r="H382" s="219">
        <f ca="1"/>
        <v>201</v>
      </c>
      <c r="I382" s="219">
        <f ca="1"/>
        <v>32</v>
      </c>
      <c r="J382" s="219">
        <f ca="1"/>
        <v>125</v>
      </c>
      <c r="K382" s="219">
        <f ca="1"/>
        <v>400</v>
      </c>
      <c r="L382" s="219">
        <f ca="1"/>
        <v>5700</v>
      </c>
      <c r="M382" s="219">
        <f ca="1"/>
        <v>5</v>
      </c>
      <c r="N382" s="212" t="str">
        <f ca="1"/>
        <v>Day</v>
      </c>
      <c r="O382" s="220">
        <f ca="1"/>
        <v>0.93442622950819676</v>
      </c>
      <c r="P382" s="221">
        <f ca="1"/>
        <v>6100</v>
      </c>
      <c r="Q382" s="221">
        <f ca="1"/>
        <v>0</v>
      </c>
    </row>
    <row r="383" spans="1:17" ht="18" customHeight="1">
      <c r="A383" s="212" t="str">
        <f ca="1"/>
        <v>C39-JUNE</v>
      </c>
      <c r="B383" s="218">
        <f ca="1"/>
        <v>46177</v>
      </c>
      <c r="C383" s="212" t="str">
        <f ca="1"/>
        <v>1,2,3,4</v>
      </c>
      <c r="D383" s="212" t="str">
        <f ca="1"/>
        <v>C39</v>
      </c>
      <c r="E383" s="212" t="str">
        <f ca="1"/>
        <v>MULTIGRAIN</v>
      </c>
      <c r="F383" s="219">
        <f ca="1"/>
        <v>4400</v>
      </c>
      <c r="G383" s="219">
        <f ca="1"/>
        <v>37</v>
      </c>
      <c r="H383" s="219">
        <f ca="1"/>
        <v>124</v>
      </c>
      <c r="I383" s="219">
        <f ca="1"/>
        <v>27</v>
      </c>
      <c r="J383" s="219">
        <f ca="1"/>
        <v>112</v>
      </c>
      <c r="K383" s="219">
        <f ca="1"/>
        <v>300</v>
      </c>
      <c r="L383" s="219">
        <f ca="1"/>
        <v>4100</v>
      </c>
      <c r="M383" s="219">
        <f ca="1"/>
        <v>5</v>
      </c>
      <c r="N383" s="212" t="str">
        <f ca="1"/>
        <v>Day</v>
      </c>
      <c r="O383" s="220">
        <f ca="1"/>
        <v>0.93181818181818177</v>
      </c>
      <c r="P383" s="221">
        <f ca="1"/>
        <v>4400</v>
      </c>
      <c r="Q383" s="221">
        <f ca="1"/>
        <v>0</v>
      </c>
    </row>
    <row r="384" spans="1:17" ht="18" customHeight="1">
      <c r="A384" s="212" t="str">
        <f ca="1"/>
        <v>C39-JUNE</v>
      </c>
      <c r="B384" s="218">
        <f ca="1"/>
        <v>46178</v>
      </c>
      <c r="C384" s="212" t="str">
        <f ca="1"/>
        <v>1,2,3,4</v>
      </c>
      <c r="D384" s="212" t="str">
        <f ca="1"/>
        <v>C39</v>
      </c>
      <c r="E384" s="212" t="str">
        <f ca="1"/>
        <v>MULTIGRAIN</v>
      </c>
      <c r="F384" s="219">
        <f ca="1"/>
        <v>1400</v>
      </c>
      <c r="G384" s="219">
        <f ca="1"/>
        <v>10</v>
      </c>
      <c r="H384" s="219">
        <f ca="1"/>
        <v>35</v>
      </c>
      <c r="I384" s="219">
        <f ca="1"/>
        <v>5</v>
      </c>
      <c r="J384" s="219">
        <f ca="1"/>
        <v>20</v>
      </c>
      <c r="K384" s="219">
        <f ca="1"/>
        <v>70</v>
      </c>
      <c r="L384" s="219">
        <f ca="1"/>
        <v>1330</v>
      </c>
      <c r="M384" s="219">
        <f ca="1"/>
        <v>5</v>
      </c>
      <c r="N384" s="212" t="str">
        <f ca="1"/>
        <v>Day</v>
      </c>
      <c r="O384" s="220">
        <f ca="1"/>
        <v>0.95</v>
      </c>
      <c r="P384" s="221">
        <f ca="1"/>
        <v>1400</v>
      </c>
      <c r="Q384" s="221">
        <f ca="1"/>
        <v>0</v>
      </c>
    </row>
    <row r="385" spans="1:17" ht="18" customHeight="1">
      <c r="A385" s="212" t="str">
        <f ca="1"/>
        <v>C39-JUNE</v>
      </c>
      <c r="B385" s="218">
        <f ca="1"/>
        <v>46178</v>
      </c>
      <c r="C385" s="212" t="str">
        <f ca="1"/>
        <v>Blender</v>
      </c>
      <c r="D385" s="212" t="str">
        <f ca="1"/>
        <v>C39</v>
      </c>
      <c r="E385" s="212" t="str">
        <f ca="1"/>
        <v>besan</v>
      </c>
      <c r="F385" s="219">
        <f ca="1"/>
        <v>204</v>
      </c>
      <c r="G385" s="219">
        <f ca="1"/>
        <v>0</v>
      </c>
      <c r="H385" s="219">
        <f ca="1"/>
        <v>0</v>
      </c>
      <c r="I385" s="219">
        <f ca="1"/>
        <v>1</v>
      </c>
      <c r="J385" s="219">
        <f ca="1"/>
        <v>3</v>
      </c>
      <c r="K385" s="219">
        <f ca="1"/>
        <v>4</v>
      </c>
      <c r="L385" s="219">
        <f ca="1"/>
        <v>200</v>
      </c>
      <c r="M385" s="219">
        <f ca="1"/>
        <v>1</v>
      </c>
      <c r="N385" s="212" t="str">
        <f ca="1"/>
        <v>Day</v>
      </c>
      <c r="O385" s="220">
        <f ca="1"/>
        <v>0.98039215686274506</v>
      </c>
      <c r="P385" s="221">
        <f ca="1"/>
        <v>204</v>
      </c>
      <c r="Q385" s="221">
        <f ca="1"/>
        <v>0</v>
      </c>
    </row>
    <row r="386" spans="1:17" ht="18" customHeight="1">
      <c r="A386" s="212" t="str">
        <f ca="1"/>
        <v>C39-JUNE</v>
      </c>
      <c r="B386" s="218">
        <f ca="1"/>
        <v>46179</v>
      </c>
      <c r="C386" s="212">
        <f ca="1"/>
        <v>1234</v>
      </c>
      <c r="D386" s="212" t="str">
        <f ca="1"/>
        <v>C39</v>
      </c>
      <c r="E386" s="212" t="str">
        <f ca="1"/>
        <v>MULTIGRAIN</v>
      </c>
      <c r="F386" s="219">
        <f ca="1"/>
        <v>6250</v>
      </c>
      <c r="G386" s="219">
        <f ca="1"/>
        <v>60</v>
      </c>
      <c r="H386" s="219">
        <f ca="1"/>
        <v>125</v>
      </c>
      <c r="I386" s="219">
        <f ca="1"/>
        <v>17</v>
      </c>
      <c r="J386" s="219">
        <f ca="1"/>
        <v>188</v>
      </c>
      <c r="K386" s="219">
        <f ca="1"/>
        <v>390</v>
      </c>
      <c r="L386" s="219">
        <f ca="1"/>
        <v>5860</v>
      </c>
      <c r="M386" s="219">
        <f ca="1"/>
        <v>5</v>
      </c>
      <c r="N386" s="212" t="str">
        <f ca="1"/>
        <v>DAY</v>
      </c>
      <c r="O386" s="220">
        <f ca="1"/>
        <v>0.93759999999999999</v>
      </c>
      <c r="P386" s="221">
        <f ca="1"/>
        <v>6250</v>
      </c>
      <c r="Q386" s="221">
        <f ca="1"/>
        <v>0</v>
      </c>
    </row>
    <row r="387" spans="1:17" ht="18" customHeight="1">
      <c r="A387" s="212" t="str">
        <f ca="1"/>
        <v>C39-JUNE</v>
      </c>
      <c r="B387" s="218">
        <f ca="1"/>
        <v>46181</v>
      </c>
      <c r="C387" s="212" t="str">
        <f ca="1"/>
        <v>Blender</v>
      </c>
      <c r="D387" s="212" t="str">
        <f ca="1"/>
        <v>C39</v>
      </c>
      <c r="E387" s="212" t="str">
        <f ca="1"/>
        <v>besan</v>
      </c>
      <c r="F387" s="219">
        <f ca="1"/>
        <v>160</v>
      </c>
      <c r="G387" s="219" t="str">
        <f ca="1"/>
        <v>-</v>
      </c>
      <c r="H387" s="219" t="str">
        <f ca="1"/>
        <v>-</v>
      </c>
      <c r="I387" s="219">
        <f ca="1"/>
        <v>2</v>
      </c>
      <c r="J387" s="219">
        <f ca="1"/>
        <v>3</v>
      </c>
      <c r="K387" s="219">
        <f ca="1"/>
        <v>5</v>
      </c>
      <c r="L387" s="219">
        <f ca="1"/>
        <v>155</v>
      </c>
      <c r="M387" s="219">
        <f ca="1"/>
        <v>1</v>
      </c>
      <c r="N387" s="212" t="str">
        <f ca="1"/>
        <v>Day</v>
      </c>
      <c r="O387" s="220">
        <f ca="1"/>
        <v>0.96875</v>
      </c>
      <c r="P387" s="221">
        <f ca="1"/>
        <v>160</v>
      </c>
      <c r="Q387" s="221">
        <f ca="1"/>
        <v>0</v>
      </c>
    </row>
    <row r="388" spans="1:17" ht="18" customHeight="1">
      <c r="A388" s="212" t="str">
        <f ca="1"/>
        <v>C39-JUNE</v>
      </c>
      <c r="B388" s="218">
        <f ca="1"/>
        <v>46180</v>
      </c>
      <c r="C388" s="212" t="str">
        <f ca="1"/>
        <v>Blender</v>
      </c>
      <c r="D388" s="212" t="str">
        <f ca="1"/>
        <v>C39</v>
      </c>
      <c r="E388" s="212" t="str">
        <f ca="1"/>
        <v>BESAN</v>
      </c>
      <c r="F388" s="219">
        <f ca="1"/>
        <v>70</v>
      </c>
      <c r="G388" s="219" t="str">
        <f ca="1"/>
        <v>-</v>
      </c>
      <c r="H388" s="219" t="str">
        <f ca="1"/>
        <v>-</v>
      </c>
      <c r="I388" s="219">
        <f ca="1"/>
        <v>1</v>
      </c>
      <c r="J388" s="219">
        <f ca="1"/>
        <v>4</v>
      </c>
      <c r="K388" s="219">
        <f ca="1"/>
        <v>5</v>
      </c>
      <c r="L388" s="219">
        <f ca="1"/>
        <v>65</v>
      </c>
      <c r="M388" s="219">
        <f ca="1"/>
        <v>1</v>
      </c>
      <c r="N388" s="212" t="str">
        <f ca="1"/>
        <v>DAY</v>
      </c>
      <c r="O388" s="220">
        <f ca="1"/>
        <v>0.9285714285714286</v>
      </c>
      <c r="P388" s="221">
        <f ca="1"/>
        <v>70</v>
      </c>
      <c r="Q388" s="221">
        <f ca="1"/>
        <v>0</v>
      </c>
    </row>
    <row r="389" spans="1:17" ht="18" customHeight="1">
      <c r="A389" s="212" t="str">
        <f ca="1"/>
        <v>C39-JUNE</v>
      </c>
      <c r="B389" s="218">
        <f ca="1"/>
        <v>46182</v>
      </c>
      <c r="C389" s="212" t="str">
        <f ca="1"/>
        <v>1,2,3,4</v>
      </c>
      <c r="D389" s="212" t="str">
        <f ca="1"/>
        <v>C39</v>
      </c>
      <c r="E389" s="212" t="str">
        <f ca="1"/>
        <v>MULTIGRAIN</v>
      </c>
      <c r="F389" s="219">
        <f ca="1"/>
        <v>6650</v>
      </c>
      <c r="G389" s="219">
        <f ca="1"/>
        <v>85</v>
      </c>
      <c r="H389" s="219">
        <f ca="1"/>
        <v>285</v>
      </c>
      <c r="I389" s="219">
        <f ca="1"/>
        <v>35</v>
      </c>
      <c r="J389" s="219">
        <f ca="1"/>
        <v>95</v>
      </c>
      <c r="K389" s="219">
        <f ca="1"/>
        <v>500</v>
      </c>
      <c r="L389" s="219">
        <f ca="1"/>
        <v>6150</v>
      </c>
      <c r="M389" s="219">
        <f ca="1"/>
        <v>5</v>
      </c>
      <c r="N389" s="212" t="str">
        <f ca="1"/>
        <v>Day</v>
      </c>
      <c r="O389" s="220">
        <f ca="1"/>
        <v>0.92481203007518797</v>
      </c>
      <c r="P389" s="221">
        <f ca="1"/>
        <v>6650</v>
      </c>
      <c r="Q389" s="221">
        <f ca="1"/>
        <v>0</v>
      </c>
    </row>
    <row r="390" spans="1:17" ht="18" customHeight="1">
      <c r="A390" s="212" t="str">
        <f ca="1"/>
        <v>C39-JUNE</v>
      </c>
      <c r="B390" s="218">
        <f ca="1"/>
        <v>46183</v>
      </c>
      <c r="C390" s="212" t="str">
        <f ca="1"/>
        <v>1,2,3,4</v>
      </c>
      <c r="D390" s="212" t="str">
        <f ca="1"/>
        <v>C39</v>
      </c>
      <c r="E390" s="212" t="str">
        <f ca="1"/>
        <v>MULTIGRAIN</v>
      </c>
      <c r="F390" s="219">
        <f ca="1"/>
        <v>5200</v>
      </c>
      <c r="G390" s="219">
        <f ca="1"/>
        <v>22</v>
      </c>
      <c r="H390" s="219">
        <f ca="1"/>
        <v>231</v>
      </c>
      <c r="I390" s="219">
        <f ca="1"/>
        <v>25</v>
      </c>
      <c r="J390" s="219">
        <f ca="1"/>
        <v>102</v>
      </c>
      <c r="K390" s="219">
        <f ca="1"/>
        <v>380</v>
      </c>
      <c r="L390" s="219">
        <f ca="1"/>
        <v>4820</v>
      </c>
      <c r="M390" s="219">
        <f ca="1"/>
        <v>5</v>
      </c>
      <c r="N390" s="212" t="str">
        <f ca="1"/>
        <v>Day</v>
      </c>
      <c r="O390" s="220">
        <f ca="1"/>
        <v>0.92692307692307696</v>
      </c>
      <c r="P390" s="221">
        <f ca="1"/>
        <v>5200</v>
      </c>
      <c r="Q390" s="221">
        <f ca="1"/>
        <v>0</v>
      </c>
    </row>
    <row r="391" spans="1:17" ht="18" customHeight="1">
      <c r="A391" s="212" t="str">
        <f ca="1"/>
        <v>C39-JUNE</v>
      </c>
      <c r="B391" s="218">
        <f ca="1"/>
        <v>46184</v>
      </c>
      <c r="C391" s="212" t="str">
        <f ca="1"/>
        <v>1.2.3.4</v>
      </c>
      <c r="D391" s="212" t="str">
        <f ca="1"/>
        <v>C39</v>
      </c>
      <c r="E391" s="212" t="str">
        <f ca="1"/>
        <v>MULTIGRAIN</v>
      </c>
      <c r="F391" s="219">
        <f ca="1"/>
        <v>4500</v>
      </c>
      <c r="G391" s="219">
        <f ca="1"/>
        <v>23</v>
      </c>
      <c r="H391" s="219">
        <f ca="1"/>
        <v>170</v>
      </c>
      <c r="I391" s="219">
        <f ca="1"/>
        <v>30</v>
      </c>
      <c r="J391" s="219">
        <f ca="1"/>
        <v>92</v>
      </c>
      <c r="K391" s="219">
        <f ca="1"/>
        <v>315</v>
      </c>
      <c r="L391" s="219">
        <f ca="1"/>
        <v>4185</v>
      </c>
      <c r="M391" s="219">
        <f ca="1"/>
        <v>5</v>
      </c>
      <c r="N391" s="212" t="str">
        <f ca="1"/>
        <v>Day</v>
      </c>
      <c r="O391" s="220">
        <f ca="1"/>
        <v>0.93</v>
      </c>
      <c r="P391" s="221">
        <f ca="1"/>
        <v>4500</v>
      </c>
      <c r="Q391" s="221">
        <f ca="1"/>
        <v>0</v>
      </c>
    </row>
    <row r="392" spans="1:17" ht="18" customHeight="1">
      <c r="A392" s="212" t="str">
        <f ca="1"/>
        <v>C39-JUNE</v>
      </c>
      <c r="B392" s="218">
        <f ca="1"/>
        <v>46186</v>
      </c>
      <c r="C392" s="212" t="str">
        <f ca="1"/>
        <v>1,2,3,4</v>
      </c>
      <c r="D392" s="212" t="str">
        <f ca="1"/>
        <v>C39</v>
      </c>
      <c r="E392" s="212" t="str">
        <f ca="1"/>
        <v>khapli</v>
      </c>
      <c r="F392" s="219">
        <f ca="1"/>
        <v>2000</v>
      </c>
      <c r="G392" s="219">
        <f ca="1"/>
        <v>22</v>
      </c>
      <c r="H392" s="219">
        <f ca="1"/>
        <v>58</v>
      </c>
      <c r="I392" s="219">
        <f ca="1"/>
        <v>15</v>
      </c>
      <c r="J392" s="219">
        <f ca="1"/>
        <v>65</v>
      </c>
      <c r="K392" s="219">
        <f ca="1"/>
        <v>160</v>
      </c>
      <c r="L392" s="219">
        <f ca="1"/>
        <v>1840</v>
      </c>
      <c r="M392" s="219">
        <f ca="1"/>
        <v>5</v>
      </c>
      <c r="N392" s="212" t="str">
        <f ca="1"/>
        <v>Day</v>
      </c>
      <c r="O392" s="220">
        <f ca="1"/>
        <v>0.92</v>
      </c>
      <c r="P392" s="221">
        <f ca="1"/>
        <v>2000</v>
      </c>
      <c r="Q392" s="221">
        <f ca="1"/>
        <v>0</v>
      </c>
    </row>
    <row r="393" spans="1:17" ht="18" customHeight="1">
      <c r="A393" s="212" t="str">
        <f ca="1"/>
        <v>C39-JUNE</v>
      </c>
      <c r="B393" s="218">
        <f ca="1"/>
        <v>46188</v>
      </c>
      <c r="C393" s="212" t="str">
        <f ca="1"/>
        <v>1,2,3,4</v>
      </c>
      <c r="D393" s="212" t="str">
        <f ca="1"/>
        <v>C39</v>
      </c>
      <c r="E393" s="212" t="str">
        <f ca="1"/>
        <v>khapli</v>
      </c>
      <c r="F393" s="219">
        <f ca="1"/>
        <v>5200</v>
      </c>
      <c r="G393" s="219">
        <f ca="1"/>
        <v>104</v>
      </c>
      <c r="H393" s="219">
        <f ca="1"/>
        <v>181</v>
      </c>
      <c r="I393" s="219">
        <f ca="1"/>
        <v>20</v>
      </c>
      <c r="J393" s="219">
        <f ca="1"/>
        <v>155</v>
      </c>
      <c r="K393" s="219">
        <f ca="1"/>
        <v>460</v>
      </c>
      <c r="L393" s="219">
        <f ca="1"/>
        <v>4740</v>
      </c>
      <c r="M393" s="219">
        <f ca="1"/>
        <v>5</v>
      </c>
      <c r="N393" s="212" t="str">
        <f ca="1"/>
        <v>Day</v>
      </c>
      <c r="O393" s="220">
        <f ca="1"/>
        <v>0.91153846153846152</v>
      </c>
      <c r="P393" s="221">
        <f ca="1"/>
        <v>5200</v>
      </c>
      <c r="Q393" s="221">
        <f ca="1"/>
        <v>0</v>
      </c>
    </row>
    <row r="394" spans="1:17" ht="18" customHeight="1">
      <c r="A394" s="212" t="str">
        <f ca="1"/>
        <v>C39-JUNE</v>
      </c>
      <c r="B394" s="218">
        <f ca="1"/>
        <v>46189</v>
      </c>
      <c r="C394" s="212" t="str">
        <f ca="1"/>
        <v>1,2,3,4</v>
      </c>
      <c r="D394" s="212" t="str">
        <f ca="1"/>
        <v>C39</v>
      </c>
      <c r="E394" s="212" t="str">
        <f ca="1"/>
        <v>khapli</v>
      </c>
      <c r="F394" s="219">
        <f ca="1"/>
        <v>1700</v>
      </c>
      <c r="G394" s="219">
        <f ca="1"/>
        <v>25</v>
      </c>
      <c r="H394" s="219">
        <f ca="1"/>
        <v>70</v>
      </c>
      <c r="I394" s="219">
        <f ca="1"/>
        <v>30</v>
      </c>
      <c r="J394" s="219">
        <f ca="1"/>
        <v>15</v>
      </c>
      <c r="K394" s="219">
        <f ca="1"/>
        <v>140</v>
      </c>
      <c r="L394" s="219">
        <f ca="1"/>
        <v>1560</v>
      </c>
      <c r="M394" s="219">
        <f ca="1"/>
        <v>5</v>
      </c>
      <c r="N394" s="212" t="str">
        <f ca="1"/>
        <v>Day</v>
      </c>
      <c r="O394" s="220">
        <f ca="1"/>
        <v>0.91764705882352937</v>
      </c>
      <c r="P394" s="221">
        <f ca="1"/>
        <v>1700</v>
      </c>
      <c r="Q394" s="221">
        <f ca="1"/>
        <v>0</v>
      </c>
    </row>
    <row r="395" spans="1:17" ht="18" customHeight="1">
      <c r="A395" s="212" t="str">
        <f ca="1"/>
        <v>C39-JUNE</v>
      </c>
      <c r="B395" s="218">
        <f ca="1"/>
        <v>46190</v>
      </c>
      <c r="C395" s="212" t="str">
        <f ca="1"/>
        <v>1,2,3,4</v>
      </c>
      <c r="D395" s="212" t="str">
        <f ca="1"/>
        <v>C39</v>
      </c>
      <c r="E395" s="212" t="str">
        <f ca="1"/>
        <v>Khapli</v>
      </c>
      <c r="F395" s="219">
        <f ca="1"/>
        <v>6000</v>
      </c>
      <c r="G395" s="219">
        <f ca="1"/>
        <v>90</v>
      </c>
      <c r="H395" s="219">
        <f ca="1"/>
        <v>240</v>
      </c>
      <c r="I395" s="219">
        <f ca="1"/>
        <v>35</v>
      </c>
      <c r="J395" s="219">
        <f ca="1"/>
        <v>235</v>
      </c>
      <c r="K395" s="219">
        <f ca="1"/>
        <v>600</v>
      </c>
      <c r="L395" s="219">
        <f ca="1"/>
        <v>5400</v>
      </c>
      <c r="M395" s="219">
        <f ca="1"/>
        <v>5</v>
      </c>
      <c r="N395" s="212" t="str">
        <f ca="1"/>
        <v>Day</v>
      </c>
      <c r="O395" s="220">
        <f ca="1"/>
        <v>0.9</v>
      </c>
      <c r="P395" s="221">
        <f ca="1"/>
        <v>6000</v>
      </c>
      <c r="Q395" s="221">
        <f ca="1"/>
        <v>0</v>
      </c>
    </row>
    <row r="396" spans="1:17" ht="18" customHeight="1">
      <c r="A396" s="212" t="str">
        <f ca="1"/>
        <v>C39-JUNE</v>
      </c>
      <c r="B396" s="218">
        <f ca="1"/>
        <v>46191</v>
      </c>
      <c r="C396" s="212" t="str">
        <f ca="1"/>
        <v>1,2,3,4</v>
      </c>
      <c r="D396" s="212" t="str">
        <f ca="1"/>
        <v>C39</v>
      </c>
      <c r="E396" s="212" t="str">
        <f ca="1"/>
        <v>khapli</v>
      </c>
      <c r="F396" s="219">
        <f ca="1"/>
        <v>6500</v>
      </c>
      <c r="G396" s="219">
        <f ca="1"/>
        <v>95</v>
      </c>
      <c r="H396" s="219">
        <f ca="1"/>
        <v>220</v>
      </c>
      <c r="I396" s="219">
        <f ca="1"/>
        <v>39</v>
      </c>
      <c r="J396" s="219">
        <f ca="1"/>
        <v>176</v>
      </c>
      <c r="K396" s="219">
        <f ca="1"/>
        <v>530</v>
      </c>
      <c r="L396" s="219">
        <f ca="1"/>
        <v>5970</v>
      </c>
      <c r="M396" s="219">
        <f ca="1"/>
        <v>5</v>
      </c>
      <c r="N396" s="212" t="str">
        <f ca="1"/>
        <v>Day</v>
      </c>
      <c r="O396" s="220">
        <f ca="1"/>
        <v>0.91846153846153844</v>
      </c>
      <c r="P396" s="221">
        <f ca="1"/>
        <v>6500</v>
      </c>
      <c r="Q396" s="221">
        <f ca="1"/>
        <v>0</v>
      </c>
    </row>
    <row r="397" spans="1:17" ht="18" customHeight="1">
      <c r="A397" s="212" t="str">
        <f ca="1"/>
        <v>C39-JUNE</v>
      </c>
      <c r="B397" s="218">
        <f ca="1"/>
        <v>46192</v>
      </c>
      <c r="C397" s="212" t="str">
        <f ca="1"/>
        <v>1,2,3,4</v>
      </c>
      <c r="D397" s="212" t="str">
        <f ca="1"/>
        <v>C39</v>
      </c>
      <c r="E397" s="212" t="str">
        <f ca="1"/>
        <v>Khapli</v>
      </c>
      <c r="F397" s="219">
        <f ca="1"/>
        <v>6650</v>
      </c>
      <c r="G397" s="219">
        <f ca="1"/>
        <v>78</v>
      </c>
      <c r="H397" s="219">
        <f ca="1"/>
        <v>202</v>
      </c>
      <c r="I397" s="219">
        <f ca="1"/>
        <v>40</v>
      </c>
      <c r="J397" s="219">
        <f ca="1"/>
        <v>190</v>
      </c>
      <c r="K397" s="219">
        <f ca="1"/>
        <v>510</v>
      </c>
      <c r="L397" s="219">
        <f ca="1"/>
        <v>6140</v>
      </c>
      <c r="M397" s="219">
        <f ca="1"/>
        <v>5</v>
      </c>
      <c r="N397" s="212" t="str">
        <f ca="1"/>
        <v>Day</v>
      </c>
      <c r="O397" s="220">
        <f ca="1"/>
        <v>0.92330827067669174</v>
      </c>
      <c r="P397" s="221">
        <f ca="1"/>
        <v>6650</v>
      </c>
      <c r="Q397" s="221">
        <f ca="1"/>
        <v>0</v>
      </c>
    </row>
    <row r="398" spans="1:17" ht="18" customHeight="1">
      <c r="A398" s="212" t="str">
        <f ca="1"/>
        <v>C39-JUNE</v>
      </c>
      <c r="B398" s="218">
        <f ca="1"/>
        <v>46195</v>
      </c>
      <c r="C398" s="212" t="str">
        <f ca="1"/>
        <v>1,2,3,4</v>
      </c>
      <c r="D398" s="212" t="str">
        <f ca="1"/>
        <v>C39</v>
      </c>
      <c r="E398" s="212" t="str">
        <f ca="1"/>
        <v>khapli</v>
      </c>
      <c r="F398" s="219">
        <f ca="1"/>
        <v>3350</v>
      </c>
      <c r="G398" s="219">
        <f ca="1"/>
        <v>20</v>
      </c>
      <c r="H398" s="219">
        <f ca="1"/>
        <v>160</v>
      </c>
      <c r="I398" s="219">
        <f ca="1"/>
        <v>30</v>
      </c>
      <c r="J398" s="219">
        <f ca="1"/>
        <v>60</v>
      </c>
      <c r="K398" s="219">
        <f ca="1"/>
        <v>270</v>
      </c>
      <c r="L398" s="219">
        <f ca="1"/>
        <v>3080</v>
      </c>
      <c r="M398" s="219">
        <f ca="1"/>
        <v>5</v>
      </c>
      <c r="N398" s="212" t="str">
        <f ca="1"/>
        <v>Day</v>
      </c>
      <c r="O398" s="220">
        <f ca="1"/>
        <v>0.91940298507462681</v>
      </c>
      <c r="P398" s="221">
        <f ca="1"/>
        <v>3350</v>
      </c>
      <c r="Q398" s="221">
        <f ca="1"/>
        <v>0</v>
      </c>
    </row>
    <row r="399" spans="1:17" ht="18" customHeight="1">
      <c r="A399" s="212" t="str">
        <f ca="1"/>
        <v>C39-JUNE</v>
      </c>
      <c r="B399" s="218">
        <f ca="1"/>
        <v>46195</v>
      </c>
      <c r="C399" s="212" t="str">
        <f ca="1"/>
        <v>blender</v>
      </c>
      <c r="D399" s="212" t="str">
        <f ca="1"/>
        <v>C39</v>
      </c>
      <c r="E399" s="212" t="str">
        <f ca="1"/>
        <v>besan</v>
      </c>
      <c r="F399" s="219">
        <f ca="1"/>
        <v>200</v>
      </c>
      <c r="G399" s="219">
        <f ca="1"/>
        <v>0</v>
      </c>
      <c r="H399" s="219">
        <f ca="1"/>
        <v>0</v>
      </c>
      <c r="I399" s="219">
        <f ca="1"/>
        <v>15</v>
      </c>
      <c r="J399" s="219">
        <f ca="1"/>
        <v>5</v>
      </c>
      <c r="K399" s="219">
        <f ca="1"/>
        <v>20</v>
      </c>
      <c r="L399" s="219">
        <f ca="1"/>
        <v>180</v>
      </c>
      <c r="M399" s="219">
        <f ca="1"/>
        <v>1</v>
      </c>
      <c r="N399" s="212" t="str">
        <f ca="1"/>
        <v>Day</v>
      </c>
      <c r="O399" s="220">
        <f ca="1"/>
        <v>0.9</v>
      </c>
      <c r="P399" s="221">
        <f ca="1"/>
        <v>200</v>
      </c>
      <c r="Q399" s="221">
        <f ca="1"/>
        <v>0</v>
      </c>
    </row>
    <row r="400" spans="1:17" ht="18" customHeight="1">
      <c r="A400" s="212" t="str">
        <f ca="1"/>
        <v>C39-JUNE</v>
      </c>
      <c r="B400" s="218">
        <f ca="1"/>
        <v>46196</v>
      </c>
      <c r="C400" s="212" t="str">
        <f ca="1"/>
        <v>1,2,3,4</v>
      </c>
      <c r="D400" s="212" t="str">
        <f ca="1"/>
        <v>C39</v>
      </c>
      <c r="E400" s="212" t="str">
        <f ca="1"/>
        <v>khapli</v>
      </c>
      <c r="F400" s="219">
        <f ca="1"/>
        <v>5000</v>
      </c>
      <c r="G400" s="219">
        <f ca="1"/>
        <v>55</v>
      </c>
      <c r="H400" s="219">
        <f ca="1"/>
        <v>198</v>
      </c>
      <c r="I400" s="219">
        <f ca="1"/>
        <v>25</v>
      </c>
      <c r="J400" s="219">
        <f ca="1"/>
        <v>122</v>
      </c>
      <c r="K400" s="219">
        <f ca="1"/>
        <v>400</v>
      </c>
      <c r="L400" s="219">
        <f ca="1"/>
        <v>4600</v>
      </c>
      <c r="M400" s="219">
        <f ca="1"/>
        <v>5</v>
      </c>
      <c r="N400" s="212" t="str">
        <f ca="1"/>
        <v>Day</v>
      </c>
      <c r="O400" s="220">
        <f ca="1"/>
        <v>0.92</v>
      </c>
      <c r="P400" s="221">
        <f ca="1"/>
        <v>5000</v>
      </c>
      <c r="Q400" s="221">
        <f ca="1"/>
        <v>0</v>
      </c>
    </row>
    <row r="401" spans="1:17" ht="18" customHeight="1">
      <c r="A401" s="212" t="str">
        <f ca="1"/>
        <v>C39-JUNE</v>
      </c>
      <c r="B401" s="218">
        <f ca="1"/>
        <v>46197</v>
      </c>
      <c r="C401" s="212" t="str">
        <f ca="1"/>
        <v>1,2,3,4</v>
      </c>
      <c r="D401" s="212" t="str">
        <f ca="1"/>
        <v>C39</v>
      </c>
      <c r="E401" s="212" t="str">
        <f ca="1"/>
        <v>khapli</v>
      </c>
      <c r="F401" s="219">
        <f ca="1"/>
        <v>5500</v>
      </c>
      <c r="G401" s="219">
        <f ca="1"/>
        <v>46</v>
      </c>
      <c r="H401" s="219">
        <f ca="1"/>
        <v>209</v>
      </c>
      <c r="I401" s="219">
        <f ca="1"/>
        <v>15</v>
      </c>
      <c r="J401" s="219">
        <f ca="1"/>
        <v>110</v>
      </c>
      <c r="K401" s="219">
        <f ca="1"/>
        <v>380</v>
      </c>
      <c r="L401" s="219">
        <f ca="1"/>
        <v>5120</v>
      </c>
      <c r="M401" s="219">
        <f ca="1"/>
        <v>5</v>
      </c>
      <c r="N401" s="212" t="str">
        <f ca="1"/>
        <v>Day</v>
      </c>
      <c r="O401" s="220">
        <f ca="1"/>
        <v>0.93090909090909091</v>
      </c>
      <c r="P401" s="221">
        <f ca="1"/>
        <v>5500</v>
      </c>
      <c r="Q401" s="221">
        <f ca="1"/>
        <v>0</v>
      </c>
    </row>
    <row r="402" spans="1:17" ht="18" customHeight="1">
      <c r="A402" s="212" t="str">
        <f ca="1"/>
        <v>C39-JUNE</v>
      </c>
      <c r="B402" s="218">
        <f ca="1"/>
        <v>46199</v>
      </c>
      <c r="C402" s="212" t="str">
        <f ca="1"/>
        <v>1,2,3,4</v>
      </c>
      <c r="D402" s="212" t="str">
        <f ca="1"/>
        <v>C39</v>
      </c>
      <c r="E402" s="212" t="str">
        <f ca="1"/>
        <v>multigrain</v>
      </c>
      <c r="F402" s="219">
        <f ca="1"/>
        <v>5400</v>
      </c>
      <c r="G402" s="219">
        <f ca="1"/>
        <v>32</v>
      </c>
      <c r="H402" s="219">
        <f ca="1"/>
        <v>210</v>
      </c>
      <c r="I402" s="219">
        <f ca="1"/>
        <v>19</v>
      </c>
      <c r="J402" s="219">
        <f ca="1"/>
        <v>139</v>
      </c>
      <c r="K402" s="219">
        <f ca="1"/>
        <v>400</v>
      </c>
      <c r="L402" s="219">
        <f ca="1"/>
        <v>5000</v>
      </c>
      <c r="M402" s="219">
        <f ca="1"/>
        <v>5</v>
      </c>
      <c r="N402" s="212" t="str">
        <f ca="1"/>
        <v>Day</v>
      </c>
      <c r="O402" s="220">
        <f ca="1"/>
        <v>0.92592592592592593</v>
      </c>
      <c r="P402" s="221">
        <f ca="1"/>
        <v>5400</v>
      </c>
      <c r="Q402" s="221">
        <f ca="1"/>
        <v>0</v>
      </c>
    </row>
    <row r="403" spans="1:17" ht="18" customHeight="1">
      <c r="A403" s="212" t="str">
        <f ca="1"/>
        <v>C39-JUNE</v>
      </c>
      <c r="B403" s="218">
        <f ca="1"/>
        <v>46200</v>
      </c>
      <c r="C403" s="212" t="str">
        <f ca="1"/>
        <v>1,2,3,4</v>
      </c>
      <c r="D403" s="212" t="str">
        <f ca="1"/>
        <v>C39</v>
      </c>
      <c r="E403" s="212" t="str">
        <f ca="1"/>
        <v>MULTIGRAIN</v>
      </c>
      <c r="F403" s="219">
        <f ca="1"/>
        <v>5500</v>
      </c>
      <c r="G403" s="219">
        <f ca="1"/>
        <v>47</v>
      </c>
      <c r="H403" s="219">
        <f ca="1"/>
        <v>165</v>
      </c>
      <c r="I403" s="219">
        <f ca="1"/>
        <v>45</v>
      </c>
      <c r="J403" s="219">
        <f ca="1"/>
        <v>143</v>
      </c>
      <c r="K403" s="219">
        <f ca="1"/>
        <v>400</v>
      </c>
      <c r="L403" s="219">
        <f ca="1"/>
        <v>5100</v>
      </c>
      <c r="M403" s="219">
        <f ca="1"/>
        <v>5</v>
      </c>
      <c r="N403" s="212" t="str">
        <f ca="1"/>
        <v>day</v>
      </c>
      <c r="O403" s="220">
        <f ca="1"/>
        <v>0.92727272727272725</v>
      </c>
      <c r="P403" s="221">
        <f ca="1"/>
        <v>5500</v>
      </c>
      <c r="Q403" s="221">
        <f ca="1"/>
        <v>0</v>
      </c>
    </row>
    <row r="404" spans="1:17" ht="18" customHeight="1">
      <c r="A404" s="212" t="str">
        <f ca="1"/>
        <v>C39-JUNE</v>
      </c>
      <c r="B404" s="218">
        <f ca="1"/>
        <v>46201</v>
      </c>
      <c r="C404" s="212" t="str">
        <f ca="1"/>
        <v>1,2,3,4</v>
      </c>
      <c r="D404" s="212" t="str">
        <f ca="1"/>
        <v>C39</v>
      </c>
      <c r="E404" s="212" t="str">
        <f ca="1"/>
        <v>MULTIGRAIN</v>
      </c>
      <c r="F404" s="219">
        <f ca="1"/>
        <v>7550</v>
      </c>
      <c r="G404" s="219">
        <f ca="1"/>
        <v>48</v>
      </c>
      <c r="H404" s="219">
        <f ca="1"/>
        <v>205</v>
      </c>
      <c r="I404" s="219">
        <f ca="1"/>
        <v>32</v>
      </c>
      <c r="J404" s="219">
        <f ca="1"/>
        <v>185</v>
      </c>
      <c r="K404" s="219">
        <f ca="1"/>
        <v>470</v>
      </c>
      <c r="L404" s="219">
        <f ca="1"/>
        <v>7080</v>
      </c>
      <c r="M404" s="219">
        <f ca="1"/>
        <v>5</v>
      </c>
      <c r="N404" s="212" t="str">
        <f ca="1"/>
        <v>Day</v>
      </c>
      <c r="O404" s="220">
        <f ca="1"/>
        <v>0.93774834437086096</v>
      </c>
      <c r="P404" s="221">
        <f ca="1"/>
        <v>7550</v>
      </c>
      <c r="Q404" s="221">
        <f ca="1"/>
        <v>0</v>
      </c>
    </row>
    <row r="405" spans="1:17" ht="18" customHeight="1">
      <c r="A405" s="212" t="str">
        <f ca="1"/>
        <v>C39-JUNE</v>
      </c>
      <c r="B405" s="218">
        <f ca="1"/>
        <v>46203</v>
      </c>
      <c r="C405" s="212" t="str">
        <f ca="1"/>
        <v>1,2,3,4</v>
      </c>
      <c r="D405" s="212" t="str">
        <f ca="1"/>
        <v>C39</v>
      </c>
      <c r="E405" s="212" t="str">
        <f ca="1"/>
        <v>MULTIGRAIN</v>
      </c>
      <c r="F405" s="219">
        <f ca="1"/>
        <v>1700</v>
      </c>
      <c r="G405" s="219">
        <f ca="1"/>
        <v>24</v>
      </c>
      <c r="H405" s="219">
        <f ca="1"/>
        <v>76</v>
      </c>
      <c r="I405" s="219">
        <f ca="1"/>
        <v>18</v>
      </c>
      <c r="J405" s="219">
        <f ca="1"/>
        <v>42</v>
      </c>
      <c r="K405" s="219">
        <f ca="1"/>
        <v>160</v>
      </c>
      <c r="L405" s="219">
        <f ca="1"/>
        <v>1540</v>
      </c>
      <c r="M405" s="219">
        <f ca="1"/>
        <v>5</v>
      </c>
      <c r="N405" s="212" t="str">
        <f ca="1"/>
        <v>Day</v>
      </c>
      <c r="O405" s="220">
        <f ca="1"/>
        <v>0.90588235294117647</v>
      </c>
      <c r="P405" s="221">
        <f ca="1"/>
        <v>1700</v>
      </c>
      <c r="Q405" s="221">
        <f ca="1"/>
        <v>0</v>
      </c>
    </row>
    <row r="406" spans="1:17" ht="18" customHeight="1">
      <c r="A406" s="212" t="str">
        <f ca="1"/>
        <v>C6-JULY</v>
      </c>
      <c r="B406" s="218">
        <f ca="1"/>
        <v>46204</v>
      </c>
      <c r="C406" s="212" t="str">
        <f ca="1"/>
        <v>chakki1,2,3</v>
      </c>
      <c r="D406" s="212" t="str">
        <f ca="1"/>
        <v>old plant</v>
      </c>
      <c r="E406" s="212" t="str">
        <f ca="1"/>
        <v>Bajra</v>
      </c>
      <c r="F406" s="219">
        <f ca="1"/>
        <v>950</v>
      </c>
      <c r="G406" s="219">
        <f ca="1"/>
        <v>0</v>
      </c>
      <c r="H406" s="219">
        <f ca="1"/>
        <v>0</v>
      </c>
      <c r="I406" s="219">
        <f ca="1"/>
        <v>1</v>
      </c>
      <c r="J406" s="219">
        <f ca="1"/>
        <v>75</v>
      </c>
      <c r="K406" s="219">
        <f ca="1"/>
        <v>76</v>
      </c>
      <c r="L406" s="219">
        <f ca="1"/>
        <v>874</v>
      </c>
      <c r="M406" s="219">
        <f ca="1"/>
        <v>3</v>
      </c>
      <c r="N406" s="212" t="str">
        <f ca="1"/>
        <v>DAY</v>
      </c>
      <c r="O406" s="220">
        <f ca="1"/>
        <v>0.92</v>
      </c>
      <c r="P406" s="221">
        <f ca="1"/>
        <v>950</v>
      </c>
      <c r="Q406" s="221">
        <f ca="1"/>
        <v>0</v>
      </c>
    </row>
    <row r="407" spans="1:17" ht="18" customHeight="1">
      <c r="A407" s="212" t="str">
        <f ca="1"/>
        <v>C6-JULY</v>
      </c>
      <c r="B407" s="218">
        <f ca="1"/>
        <v>46204</v>
      </c>
      <c r="C407" s="212" t="str">
        <f ca="1"/>
        <v>chakki1,2,3</v>
      </c>
      <c r="D407" s="212" t="str">
        <f ca="1"/>
        <v>New Plant</v>
      </c>
      <c r="E407" s="212" t="str">
        <f ca="1"/>
        <v>High Protein Atta</v>
      </c>
      <c r="F407" s="219">
        <f ca="1"/>
        <v>1261</v>
      </c>
      <c r="G407" s="219">
        <f ca="1"/>
        <v>2</v>
      </c>
      <c r="H407" s="219">
        <f ca="1"/>
        <v>28</v>
      </c>
      <c r="I407" s="219">
        <f ca="1"/>
        <v>1</v>
      </c>
      <c r="J407" s="219">
        <f ca="1"/>
        <v>40</v>
      </c>
      <c r="K407" s="219">
        <f ca="1"/>
        <v>71</v>
      </c>
      <c r="L407" s="219">
        <f ca="1"/>
        <v>1190</v>
      </c>
      <c r="M407" s="219">
        <f ca="1"/>
        <v>3</v>
      </c>
      <c r="N407" s="212" t="str">
        <f ca="1"/>
        <v>DAY</v>
      </c>
      <c r="O407" s="220">
        <f ca="1"/>
        <v>0.94369547977795398</v>
      </c>
      <c r="P407" s="221">
        <f ca="1"/>
        <v>1261</v>
      </c>
      <c r="Q407" s="221">
        <f ca="1"/>
        <v>0</v>
      </c>
    </row>
    <row r="408" spans="1:17" ht="18" customHeight="1">
      <c r="A408" s="212" t="str">
        <f ca="1"/>
        <v>C6-JULY</v>
      </c>
      <c r="B408" s="218">
        <f ca="1"/>
        <v>46205</v>
      </c>
      <c r="C408" s="212" t="str">
        <f ca="1"/>
        <v>chakki1,2,3</v>
      </c>
      <c r="D408" s="212" t="str">
        <f ca="1"/>
        <v>old plant</v>
      </c>
      <c r="E408" s="212" t="str">
        <f ca="1"/>
        <v>khapli</v>
      </c>
      <c r="F408" s="219">
        <f ca="1"/>
        <v>600</v>
      </c>
      <c r="G408" s="219">
        <f ca="1"/>
        <v>0</v>
      </c>
      <c r="H408" s="219">
        <f ca="1"/>
        <v>2</v>
      </c>
      <c r="I408" s="219">
        <f ca="1"/>
        <v>0.5</v>
      </c>
      <c r="J408" s="219">
        <f ca="1"/>
        <v>51.5</v>
      </c>
      <c r="K408" s="219">
        <f ca="1"/>
        <v>54</v>
      </c>
      <c r="L408" s="219">
        <f ca="1"/>
        <v>546</v>
      </c>
      <c r="M408" s="219">
        <f ca="1"/>
        <v>3</v>
      </c>
      <c r="N408" s="212" t="str">
        <f ca="1"/>
        <v>DAY</v>
      </c>
      <c r="O408" s="220">
        <f ca="1"/>
        <v>0.91</v>
      </c>
      <c r="P408" s="221">
        <f ca="1"/>
        <v>600</v>
      </c>
      <c r="Q408" s="221">
        <f ca="1"/>
        <v>0</v>
      </c>
    </row>
    <row r="409" spans="1:17" ht="18" customHeight="1">
      <c r="A409" s="212" t="str">
        <f ca="1"/>
        <v>C6-JULY</v>
      </c>
      <c r="B409" s="218">
        <f ca="1"/>
        <v>46205</v>
      </c>
      <c r="C409" s="212" t="str">
        <f ca="1"/>
        <v>chakki1,2,3</v>
      </c>
      <c r="D409" s="212" t="str">
        <f ca="1"/>
        <v>New Plant</v>
      </c>
      <c r="E409" s="212" t="str">
        <f ca="1"/>
        <v>Multigrain</v>
      </c>
      <c r="F409" s="219">
        <f ca="1"/>
        <v>600</v>
      </c>
      <c r="G409" s="219">
        <f ca="1"/>
        <v>0</v>
      </c>
      <c r="H409" s="219">
        <f ca="1"/>
        <v>2</v>
      </c>
      <c r="I409" s="219">
        <f ca="1"/>
        <v>1</v>
      </c>
      <c r="J409" s="219">
        <f ca="1"/>
        <v>19</v>
      </c>
      <c r="K409" s="219">
        <f ca="1"/>
        <v>22</v>
      </c>
      <c r="L409" s="219">
        <f ca="1"/>
        <v>578</v>
      </c>
      <c r="M409" s="219">
        <f ca="1"/>
        <v>3</v>
      </c>
      <c r="N409" s="212" t="str">
        <f ca="1"/>
        <v>DAY</v>
      </c>
      <c r="O409" s="220">
        <f ca="1"/>
        <v>0.96333333333333337</v>
      </c>
      <c r="P409" s="221">
        <f ca="1"/>
        <v>600</v>
      </c>
      <c r="Q409" s="221">
        <f ca="1"/>
        <v>0</v>
      </c>
    </row>
    <row r="410" spans="1:17" ht="18" customHeight="1">
      <c r="A410" s="212" t="str">
        <f ca="1"/>
        <v>C6-JULY</v>
      </c>
      <c r="B410" s="218">
        <f ca="1"/>
        <v>46206</v>
      </c>
      <c r="C410" s="212" t="str">
        <f ca="1"/>
        <v>chakki1,2,3</v>
      </c>
      <c r="D410" s="212" t="str">
        <f ca="1"/>
        <v>New Plant</v>
      </c>
      <c r="E410" s="212" t="str">
        <f ca="1"/>
        <v>High Protein Atta</v>
      </c>
      <c r="F410" s="219">
        <f ca="1"/>
        <v>1649</v>
      </c>
      <c r="G410" s="219">
        <f ca="1"/>
        <v>1</v>
      </c>
      <c r="H410" s="219">
        <f ca="1"/>
        <v>47</v>
      </c>
      <c r="I410" s="219">
        <f ca="1"/>
        <v>1</v>
      </c>
      <c r="J410" s="219">
        <f ca="1"/>
        <v>45</v>
      </c>
      <c r="K410" s="219">
        <f ca="1"/>
        <v>94</v>
      </c>
      <c r="L410" s="219">
        <f ca="1"/>
        <v>1555</v>
      </c>
      <c r="M410" s="219">
        <f ca="1"/>
        <v>3</v>
      </c>
      <c r="N410" s="212" t="str">
        <f ca="1"/>
        <v>DAY</v>
      </c>
      <c r="O410" s="220">
        <f ca="1"/>
        <v>0.94299575500303212</v>
      </c>
      <c r="P410" s="221">
        <f ca="1"/>
        <v>1649</v>
      </c>
      <c r="Q410" s="221">
        <f ca="1"/>
        <v>0</v>
      </c>
    </row>
    <row r="411" spans="1:17" ht="18" customHeight="1">
      <c r="A411" s="212" t="str">
        <f ca="1"/>
        <v>C6-JULY</v>
      </c>
      <c r="B411" s="218">
        <f ca="1"/>
        <v>46206</v>
      </c>
      <c r="C411" s="212" t="str">
        <f ca="1"/>
        <v>chakki1,2,3</v>
      </c>
      <c r="D411" s="212" t="str">
        <f ca="1"/>
        <v>old plant</v>
      </c>
      <c r="E411" s="212" t="str">
        <f ca="1"/>
        <v>Multigrain</v>
      </c>
      <c r="F411" s="219">
        <f ca="1"/>
        <v>1400</v>
      </c>
      <c r="G411" s="219">
        <f ca="1"/>
        <v>0</v>
      </c>
      <c r="H411" s="219">
        <f ca="1"/>
        <v>32</v>
      </c>
      <c r="I411" s="219">
        <f ca="1"/>
        <v>2</v>
      </c>
      <c r="J411" s="219">
        <f ca="1"/>
        <v>82</v>
      </c>
      <c r="K411" s="219">
        <f ca="1"/>
        <v>116</v>
      </c>
      <c r="L411" s="219">
        <f ca="1"/>
        <v>1284</v>
      </c>
      <c r="M411" s="219">
        <f ca="1"/>
        <v>3</v>
      </c>
      <c r="N411" s="212" t="str">
        <f ca="1"/>
        <v>DAY</v>
      </c>
      <c r="O411" s="220">
        <f ca="1"/>
        <v>0.91714285714285715</v>
      </c>
      <c r="P411" s="221">
        <f ca="1"/>
        <v>1400</v>
      </c>
      <c r="Q411" s="221">
        <f ca="1"/>
        <v>0</v>
      </c>
    </row>
    <row r="412" spans="1:17" ht="18" customHeight="1">
      <c r="A412" s="212" t="str">
        <f ca="1"/>
        <v>C6-JULY</v>
      </c>
      <c r="B412" s="218">
        <f ca="1"/>
        <v>46207</v>
      </c>
      <c r="C412" s="212" t="str">
        <f ca="1"/>
        <v>chakki1,2,3</v>
      </c>
      <c r="D412" s="212" t="str">
        <f ca="1"/>
        <v>old plant</v>
      </c>
      <c r="E412" s="212" t="str">
        <f ca="1"/>
        <v>Jowar Grains</v>
      </c>
      <c r="F412" s="219">
        <f ca="1"/>
        <v>1200</v>
      </c>
      <c r="G412" s="219">
        <f ca="1"/>
        <v>0</v>
      </c>
      <c r="H412" s="219">
        <f ca="1"/>
        <v>8</v>
      </c>
      <c r="I412" s="219">
        <f ca="1"/>
        <v>2</v>
      </c>
      <c r="J412" s="219">
        <f ca="1"/>
        <v>90</v>
      </c>
      <c r="K412" s="219">
        <f ca="1"/>
        <v>100</v>
      </c>
      <c r="L412" s="219">
        <f ca="1"/>
        <v>1100</v>
      </c>
      <c r="M412" s="219">
        <f ca="1"/>
        <v>3</v>
      </c>
      <c r="N412" s="212" t="str">
        <f ca="1"/>
        <v>DAY</v>
      </c>
      <c r="O412" s="220">
        <f ca="1"/>
        <v>0.91666666666666663</v>
      </c>
      <c r="P412" s="221">
        <f ca="1"/>
        <v>1200</v>
      </c>
      <c r="Q412" s="221">
        <f ca="1"/>
        <v>0</v>
      </c>
    </row>
    <row r="413" spans="1:17" ht="18" customHeight="1">
      <c r="A413" s="212" t="str">
        <f ca="1"/>
        <v>C6-JULY</v>
      </c>
      <c r="B413" s="218">
        <f ca="1"/>
        <v>46207</v>
      </c>
      <c r="C413" s="212" t="str">
        <f ca="1"/>
        <v>chakki1,2,3</v>
      </c>
      <c r="D413" s="212" t="str">
        <f ca="1"/>
        <v>New Plant</v>
      </c>
      <c r="E413" s="212" t="str">
        <f ca="1"/>
        <v>Multigrain</v>
      </c>
      <c r="F413" s="219">
        <f ca="1"/>
        <v>2500</v>
      </c>
      <c r="G413" s="219">
        <f ca="1"/>
        <v>2</v>
      </c>
      <c r="H413" s="219">
        <f ca="1"/>
        <v>80</v>
      </c>
      <c r="I413" s="219">
        <f ca="1"/>
        <v>3</v>
      </c>
      <c r="J413" s="219">
        <f ca="1"/>
        <v>36</v>
      </c>
      <c r="K413" s="219">
        <f ca="1"/>
        <v>121</v>
      </c>
      <c r="L413" s="219">
        <f ca="1"/>
        <v>2379</v>
      </c>
      <c r="M413" s="219">
        <f ca="1"/>
        <v>3</v>
      </c>
      <c r="N413" s="212" t="str">
        <f ca="1"/>
        <v>DAY</v>
      </c>
      <c r="O413" s="220">
        <f ca="1"/>
        <v>0.9516</v>
      </c>
      <c r="P413" s="221">
        <f ca="1"/>
        <v>2500</v>
      </c>
      <c r="Q413" s="221">
        <f ca="1"/>
        <v>0</v>
      </c>
    </row>
    <row r="414" spans="1:17" ht="18" customHeight="1">
      <c r="A414" s="212" t="str">
        <f ca="1"/>
        <v>C6-JULY</v>
      </c>
      <c r="B414" s="218">
        <f ca="1"/>
        <v>46209</v>
      </c>
      <c r="C414" s="212" t="str">
        <f ca="1"/>
        <v>chakki1,2,3</v>
      </c>
      <c r="D414" s="212" t="str">
        <f ca="1"/>
        <v>New Plant</v>
      </c>
      <c r="E414" s="212" t="str">
        <f ca="1"/>
        <v>Multigrain</v>
      </c>
      <c r="F414" s="219">
        <f ca="1"/>
        <v>1200</v>
      </c>
      <c r="G414" s="219">
        <f ca="1"/>
        <v>0</v>
      </c>
      <c r="H414" s="219">
        <f ca="1"/>
        <v>22</v>
      </c>
      <c r="I414" s="219">
        <f ca="1"/>
        <v>3</v>
      </c>
      <c r="J414" s="219">
        <f ca="1"/>
        <v>20</v>
      </c>
      <c r="K414" s="219">
        <f ca="1"/>
        <v>45</v>
      </c>
      <c r="L414" s="219">
        <f ca="1"/>
        <v>1155</v>
      </c>
      <c r="M414" s="219">
        <f ca="1"/>
        <v>3</v>
      </c>
      <c r="N414" s="212" t="str">
        <f ca="1"/>
        <v>DAY</v>
      </c>
      <c r="O414" s="220">
        <f ca="1"/>
        <v>0.96250000000000002</v>
      </c>
      <c r="P414" s="221">
        <f ca="1"/>
        <v>1200</v>
      </c>
      <c r="Q414" s="221">
        <f ca="1"/>
        <v>0</v>
      </c>
    </row>
    <row r="415" spans="1:17" ht="18" customHeight="1">
      <c r="A415" s="212" t="str">
        <f ca="1"/>
        <v>C6-JULY</v>
      </c>
      <c r="B415" s="218">
        <f ca="1"/>
        <v>46210</v>
      </c>
      <c r="C415" s="212" t="str">
        <f ca="1"/>
        <v>chakki1,2,3</v>
      </c>
      <c r="D415" s="212" t="str">
        <f ca="1"/>
        <v>New Plant</v>
      </c>
      <c r="E415" s="212" t="str">
        <f ca="1"/>
        <v>High Protein Atta</v>
      </c>
      <c r="F415" s="219">
        <f ca="1"/>
        <v>3395</v>
      </c>
      <c r="G415" s="219">
        <f ca="1"/>
        <v>5</v>
      </c>
      <c r="H415" s="219">
        <f ca="1"/>
        <v>65</v>
      </c>
      <c r="I415" s="219">
        <f ca="1"/>
        <v>3</v>
      </c>
      <c r="J415" s="219">
        <f ca="1"/>
        <v>103</v>
      </c>
      <c r="K415" s="219">
        <f ca="1"/>
        <v>176</v>
      </c>
      <c r="L415" s="219">
        <f ca="1"/>
        <v>3219</v>
      </c>
      <c r="M415" s="219">
        <f ca="1"/>
        <v>3</v>
      </c>
      <c r="N415" s="212" t="str">
        <f ca="1"/>
        <v>DAY</v>
      </c>
      <c r="O415" s="220">
        <f ca="1"/>
        <v>0.94815905743740792</v>
      </c>
      <c r="P415" s="221">
        <f ca="1"/>
        <v>3395</v>
      </c>
      <c r="Q415" s="221">
        <f ca="1"/>
        <v>0</v>
      </c>
    </row>
    <row r="416" spans="1:17" ht="18" customHeight="1">
      <c r="A416" s="212" t="str">
        <f ca="1"/>
        <v>C6-JULY</v>
      </c>
      <c r="B416" s="218">
        <f ca="1"/>
        <v>46211</v>
      </c>
      <c r="C416" s="212" t="str">
        <f ca="1"/>
        <v>chakki1,2,3</v>
      </c>
      <c r="D416" s="212" t="str">
        <f ca="1"/>
        <v>New Plant</v>
      </c>
      <c r="E416" s="212" t="str">
        <f ca="1"/>
        <v>High Protein Atta</v>
      </c>
      <c r="F416" s="219">
        <f ca="1"/>
        <v>3395</v>
      </c>
      <c r="G416" s="219">
        <f ca="1"/>
        <v>5</v>
      </c>
      <c r="H416" s="219">
        <f ca="1"/>
        <v>94</v>
      </c>
      <c r="I416" s="219">
        <f ca="1"/>
        <v>2</v>
      </c>
      <c r="J416" s="219">
        <f ca="1"/>
        <v>85</v>
      </c>
      <c r="K416" s="219">
        <f ca="1"/>
        <v>186</v>
      </c>
      <c r="L416" s="219">
        <f ca="1"/>
        <v>3209</v>
      </c>
      <c r="M416" s="219">
        <f ca="1"/>
        <v>3</v>
      </c>
      <c r="N416" s="212" t="str">
        <f ca="1"/>
        <v>DAY</v>
      </c>
      <c r="O416" s="220">
        <f ca="1"/>
        <v>0.94521354933726065</v>
      </c>
      <c r="P416" s="221">
        <f ca="1"/>
        <v>3395</v>
      </c>
      <c r="Q416" s="221">
        <f ca="1"/>
        <v>0</v>
      </c>
    </row>
    <row r="417" spans="1:17" ht="18" customHeight="1">
      <c r="A417" s="212" t="str">
        <f ca="1"/>
        <v>C6-JULY</v>
      </c>
      <c r="B417" s="218">
        <f ca="1"/>
        <v>46212</v>
      </c>
      <c r="C417" s="212" t="str">
        <f ca="1"/>
        <v>chakki1,2,3</v>
      </c>
      <c r="D417" s="212" t="str">
        <f ca="1"/>
        <v>old plant</v>
      </c>
      <c r="E417" s="212" t="str">
        <f ca="1"/>
        <v>Jowar Grains</v>
      </c>
      <c r="F417" s="219">
        <f ca="1"/>
        <v>1650</v>
      </c>
      <c r="G417" s="219">
        <f ca="1"/>
        <v>0</v>
      </c>
      <c r="H417" s="219">
        <f ca="1"/>
        <v>35</v>
      </c>
      <c r="I417" s="219">
        <f ca="1"/>
        <v>2</v>
      </c>
      <c r="J417" s="219">
        <f ca="1"/>
        <v>123</v>
      </c>
      <c r="K417" s="219">
        <f ca="1"/>
        <v>160</v>
      </c>
      <c r="L417" s="219">
        <f ca="1"/>
        <v>1490</v>
      </c>
      <c r="M417" s="219">
        <f ca="1"/>
        <v>3</v>
      </c>
      <c r="N417" s="212" t="str">
        <f ca="1"/>
        <v>DAY</v>
      </c>
      <c r="O417" s="220">
        <f ca="1"/>
        <v>0.90303030303030307</v>
      </c>
      <c r="P417" s="221">
        <f ca="1"/>
        <v>1650</v>
      </c>
      <c r="Q417" s="221">
        <f ca="1"/>
        <v>0</v>
      </c>
    </row>
    <row r="418" spans="1:17" ht="18" customHeight="1">
      <c r="A418" s="212" t="str">
        <f ca="1"/>
        <v>C6-JULY</v>
      </c>
      <c r="B418" s="218">
        <f ca="1"/>
        <v>46213</v>
      </c>
      <c r="C418" s="212" t="str">
        <f ca="1"/>
        <v>chakki1,2,3</v>
      </c>
      <c r="D418" s="212" t="str">
        <f ca="1"/>
        <v>New Plant</v>
      </c>
      <c r="E418" s="212" t="str">
        <f ca="1"/>
        <v>High Protein Atta</v>
      </c>
      <c r="F418" s="219">
        <f ca="1"/>
        <v>3589</v>
      </c>
      <c r="G418" s="219">
        <f ca="1"/>
        <v>0</v>
      </c>
      <c r="H418" s="219">
        <f ca="1"/>
        <v>89</v>
      </c>
      <c r="I418" s="219">
        <f ca="1"/>
        <v>3</v>
      </c>
      <c r="J418" s="219">
        <f ca="1"/>
        <v>182</v>
      </c>
      <c r="K418" s="219">
        <f ca="1"/>
        <v>274</v>
      </c>
      <c r="L418" s="219">
        <f ca="1"/>
        <v>3315</v>
      </c>
      <c r="M418" s="219">
        <f ca="1"/>
        <v>3</v>
      </c>
      <c r="N418" s="212" t="str">
        <f ca="1"/>
        <v>DAY</v>
      </c>
      <c r="O418" s="220">
        <f ca="1"/>
        <v>0.92365561437726384</v>
      </c>
      <c r="P418" s="221">
        <f ca="1"/>
        <v>3589</v>
      </c>
      <c r="Q418" s="221">
        <f ca="1"/>
        <v>0</v>
      </c>
    </row>
    <row r="419" spans="1:17" ht="18" customHeight="1">
      <c r="A419" s="212" t="str">
        <f ca="1"/>
        <v>C6-JULY</v>
      </c>
      <c r="B419" s="218">
        <f ca="1"/>
        <v>46214</v>
      </c>
      <c r="C419" s="212" t="str">
        <f ca="1"/>
        <v>chakki1,2,3</v>
      </c>
      <c r="D419" s="212" t="str">
        <f ca="1"/>
        <v>New Plant</v>
      </c>
      <c r="E419" s="212" t="str">
        <f ca="1"/>
        <v>High Protein Atta</v>
      </c>
      <c r="F419" s="219">
        <f ca="1"/>
        <v>3831.5</v>
      </c>
      <c r="G419" s="219">
        <f ca="1"/>
        <v>5</v>
      </c>
      <c r="H419" s="219">
        <f ca="1"/>
        <v>105</v>
      </c>
      <c r="I419" s="219">
        <f ca="1"/>
        <v>3</v>
      </c>
      <c r="J419" s="219">
        <f ca="1"/>
        <v>136.5</v>
      </c>
      <c r="K419" s="219">
        <f ca="1"/>
        <v>249.5</v>
      </c>
      <c r="L419" s="219">
        <f ca="1"/>
        <v>3582</v>
      </c>
      <c r="M419" s="219">
        <f ca="1"/>
        <v>3</v>
      </c>
      <c r="N419" s="212" t="str">
        <f ca="1"/>
        <v>DAY</v>
      </c>
      <c r="O419" s="220">
        <f ca="1"/>
        <v>0.93488190003914917</v>
      </c>
      <c r="P419" s="221">
        <f ca="1"/>
        <v>3831.5</v>
      </c>
      <c r="Q419" s="221">
        <f ca="1"/>
        <v>0</v>
      </c>
    </row>
    <row r="420" spans="1:17" ht="18" customHeight="1">
      <c r="A420" s="212" t="str">
        <f ca="1"/>
        <v>C6-JULY</v>
      </c>
      <c r="B420" s="218">
        <f ca="1"/>
        <v>46216</v>
      </c>
      <c r="C420" s="212" t="str">
        <f ca="1"/>
        <v>chakki1,2,3</v>
      </c>
      <c r="D420" s="212" t="str">
        <f ca="1"/>
        <v>New Plant</v>
      </c>
      <c r="E420" s="212" t="str">
        <f ca="1"/>
        <v>High Protein Atta</v>
      </c>
      <c r="F420" s="219">
        <f ca="1"/>
        <v>582</v>
      </c>
      <c r="G420" s="219">
        <f ca="1"/>
        <v>0</v>
      </c>
      <c r="H420" s="219">
        <f ca="1"/>
        <v>13</v>
      </c>
      <c r="I420" s="219">
        <f ca="1"/>
        <v>1</v>
      </c>
      <c r="J420" s="219">
        <f ca="1"/>
        <v>33</v>
      </c>
      <c r="K420" s="219">
        <f ca="1"/>
        <v>47</v>
      </c>
      <c r="L420" s="219">
        <f ca="1"/>
        <v>535</v>
      </c>
      <c r="M420" s="219">
        <f ca="1"/>
        <v>3</v>
      </c>
      <c r="N420" s="212" t="str">
        <f ca="1"/>
        <v>DAY</v>
      </c>
      <c r="O420" s="220">
        <f ca="1"/>
        <v>0.91924398625429549</v>
      </c>
      <c r="P420" s="221">
        <f ca="1"/>
        <v>582</v>
      </c>
      <c r="Q420" s="221">
        <f ca="1"/>
        <v>0</v>
      </c>
    </row>
    <row r="421" spans="1:17" ht="18" customHeight="1">
      <c r="A421" s="212" t="str">
        <f ca="1"/>
        <v>C6-JULY</v>
      </c>
      <c r="B421" s="218">
        <f ca="1"/>
        <v>46216</v>
      </c>
      <c r="C421" s="212" t="str">
        <f ca="1"/>
        <v>chakki1,2,3</v>
      </c>
      <c r="D421" s="212" t="str">
        <f ca="1"/>
        <v>New Plant</v>
      </c>
      <c r="E421" s="212" t="str">
        <f ca="1"/>
        <v>Bajra</v>
      </c>
      <c r="F421" s="219">
        <f ca="1"/>
        <v>1471</v>
      </c>
      <c r="G421" s="219">
        <f ca="1"/>
        <v>0</v>
      </c>
      <c r="H421" s="219">
        <f ca="1"/>
        <v>10</v>
      </c>
      <c r="I421" s="219">
        <f ca="1"/>
        <v>2</v>
      </c>
      <c r="J421" s="219">
        <f ca="1"/>
        <v>82</v>
      </c>
      <c r="K421" s="219">
        <f ca="1"/>
        <v>94</v>
      </c>
      <c r="L421" s="219">
        <f ca="1"/>
        <v>1377</v>
      </c>
      <c r="M421" s="219">
        <f ca="1"/>
        <v>3</v>
      </c>
      <c r="N421" s="212" t="str">
        <f ca="1"/>
        <v>DAY</v>
      </c>
      <c r="O421" s="220">
        <f ca="1"/>
        <v>0.93609789259007481</v>
      </c>
      <c r="P421" s="221">
        <f ca="1"/>
        <v>1471</v>
      </c>
      <c r="Q421" s="221">
        <f ca="1"/>
        <v>0</v>
      </c>
    </row>
    <row r="422" spans="1:17" ht="18" customHeight="1">
      <c r="A422" s="212" t="str">
        <f ca="1"/>
        <v>C6-JULY</v>
      </c>
      <c r="B422" s="218">
        <f ca="1"/>
        <v>46217</v>
      </c>
      <c r="C422" s="212" t="str">
        <f ca="1"/>
        <v>chakki1,2,3</v>
      </c>
      <c r="D422" s="212" t="str">
        <f ca="1"/>
        <v>New Plant</v>
      </c>
      <c r="E422" s="212" t="str">
        <f ca="1"/>
        <v>Multigrain</v>
      </c>
      <c r="F422" s="219">
        <f ca="1"/>
        <v>400</v>
      </c>
      <c r="G422" s="219">
        <f ca="1"/>
        <v>0</v>
      </c>
      <c r="H422" s="219">
        <f ca="1"/>
        <v>3</v>
      </c>
      <c r="I422" s="219">
        <f ca="1"/>
        <v>1</v>
      </c>
      <c r="J422" s="219">
        <f ca="1"/>
        <v>28</v>
      </c>
      <c r="K422" s="219">
        <f ca="1"/>
        <v>32</v>
      </c>
      <c r="L422" s="219">
        <f ca="1"/>
        <v>368</v>
      </c>
      <c r="M422" s="219">
        <f ca="1"/>
        <v>2</v>
      </c>
      <c r="N422" s="212" t="str">
        <f ca="1"/>
        <v>DAY</v>
      </c>
      <c r="O422" s="220">
        <f ca="1"/>
        <v>0.92</v>
      </c>
      <c r="P422" s="221">
        <f ca="1"/>
        <v>400</v>
      </c>
      <c r="Q422" s="221">
        <f ca="1"/>
        <v>0</v>
      </c>
    </row>
    <row r="423" spans="1:17" ht="18" customHeight="1">
      <c r="A423" s="212" t="str">
        <f ca="1"/>
        <v>C6-JULY</v>
      </c>
      <c r="B423" s="218">
        <f ca="1"/>
        <v>46218</v>
      </c>
      <c r="C423" s="212" t="str">
        <f ca="1"/>
        <v>chakki1,2,3</v>
      </c>
      <c r="D423" s="212" t="str">
        <f ca="1"/>
        <v>New Plant</v>
      </c>
      <c r="E423" s="212" t="str">
        <f ca="1"/>
        <v>khapli</v>
      </c>
      <c r="F423" s="219">
        <f ca="1"/>
        <v>1050</v>
      </c>
      <c r="G423" s="219">
        <f ca="1"/>
        <v>0</v>
      </c>
      <c r="H423" s="219">
        <f ca="1"/>
        <v>14</v>
      </c>
      <c r="I423" s="219">
        <f ca="1"/>
        <v>2</v>
      </c>
      <c r="J423" s="219">
        <f ca="1"/>
        <v>77</v>
      </c>
      <c r="K423" s="219">
        <f ca="1"/>
        <v>93</v>
      </c>
      <c r="L423" s="219">
        <f ca="1"/>
        <v>957</v>
      </c>
      <c r="M423" s="219">
        <f ca="1"/>
        <v>2</v>
      </c>
      <c r="N423" s="212" t="str">
        <f ca="1"/>
        <v>DAY</v>
      </c>
      <c r="O423" s="220">
        <f ca="1"/>
        <v>0.91142857142857148</v>
      </c>
      <c r="P423" s="221">
        <f ca="1"/>
        <v>1050</v>
      </c>
      <c r="Q423" s="221">
        <f ca="1"/>
        <v>0</v>
      </c>
    </row>
    <row r="424" spans="1:17" ht="18" customHeight="1">
      <c r="A424" s="212" t="str">
        <f ca="1"/>
        <v>C6-JULY</v>
      </c>
      <c r="B424" s="218">
        <f ca="1"/>
        <v>46219</v>
      </c>
      <c r="C424" s="212" t="str">
        <f ca="1"/>
        <v>chakki1,2,3</v>
      </c>
      <c r="D424" s="212" t="str">
        <f ca="1"/>
        <v>New Plant</v>
      </c>
      <c r="E424" s="212" t="str">
        <f ca="1"/>
        <v>khapli</v>
      </c>
      <c r="F424" s="219">
        <f ca="1"/>
        <v>2250</v>
      </c>
      <c r="G424" s="219">
        <f ca="1"/>
        <v>1</v>
      </c>
      <c r="H424" s="219">
        <f ca="1"/>
        <v>51</v>
      </c>
      <c r="I424" s="219">
        <f ca="1"/>
        <v>1</v>
      </c>
      <c r="J424" s="219">
        <f ca="1"/>
        <v>50</v>
      </c>
      <c r="K424" s="219">
        <f ca="1"/>
        <v>103</v>
      </c>
      <c r="L424" s="219">
        <f ca="1"/>
        <v>2147</v>
      </c>
      <c r="M424" s="219">
        <f ca="1"/>
        <v>3</v>
      </c>
      <c r="N424" s="212" t="str">
        <f ca="1"/>
        <v>DAY</v>
      </c>
      <c r="O424" s="220">
        <f ca="1"/>
        <v>0.95422222222222219</v>
      </c>
      <c r="P424" s="221">
        <f ca="1"/>
        <v>2250</v>
      </c>
      <c r="Q424" s="221">
        <f ca="1"/>
        <v>0</v>
      </c>
    </row>
    <row r="425" spans="1:17" ht="18" customHeight="1">
      <c r="A425" s="212" t="str">
        <f ca="1"/>
        <v>C6-JULY</v>
      </c>
      <c r="B425" s="218">
        <f ca="1"/>
        <v>46220</v>
      </c>
      <c r="C425" s="212" t="str">
        <f ca="1"/>
        <v>chakki1,2,3</v>
      </c>
      <c r="D425" s="212" t="str">
        <f ca="1"/>
        <v>old plant</v>
      </c>
      <c r="E425" s="212" t="str">
        <f ca="1"/>
        <v>Jowar Grains</v>
      </c>
      <c r="F425" s="219">
        <f ca="1"/>
        <v>300</v>
      </c>
      <c r="G425" s="219">
        <f ca="1"/>
        <v>0</v>
      </c>
      <c r="H425" s="219">
        <f ca="1"/>
        <v>3</v>
      </c>
      <c r="I425" s="219">
        <f ca="1"/>
        <v>0.5</v>
      </c>
      <c r="J425" s="219">
        <f ca="1"/>
        <v>13.5</v>
      </c>
      <c r="K425" s="219">
        <f ca="1"/>
        <v>17</v>
      </c>
      <c r="L425" s="219">
        <f ca="1"/>
        <v>283</v>
      </c>
      <c r="M425" s="219">
        <f ca="1"/>
        <v>3</v>
      </c>
      <c r="N425" s="212" t="str">
        <f ca="1"/>
        <v>DAY</v>
      </c>
      <c r="O425" s="220">
        <f ca="1"/>
        <v>0.94333333333333336</v>
      </c>
      <c r="P425" s="221">
        <f ca="1"/>
        <v>300</v>
      </c>
      <c r="Q425" s="221">
        <f ca="1"/>
        <v>0</v>
      </c>
    </row>
    <row r="426" spans="1:17" ht="18" customHeight="1">
      <c r="A426" s="212" t="str">
        <f ca="1"/>
        <v>C6-JULY</v>
      </c>
      <c r="B426" s="218">
        <f ca="1"/>
        <v>46220</v>
      </c>
      <c r="C426" s="212" t="str">
        <f ca="1"/>
        <v>chakki1,2,3</v>
      </c>
      <c r="D426" s="212" t="str">
        <f ca="1"/>
        <v>New Plant</v>
      </c>
      <c r="E426" s="212" t="str">
        <f ca="1"/>
        <v>khapli</v>
      </c>
      <c r="F426" s="219">
        <f ca="1"/>
        <v>410</v>
      </c>
      <c r="G426" s="219">
        <f ca="1"/>
        <v>0</v>
      </c>
      <c r="H426" s="219">
        <f ca="1"/>
        <v>5</v>
      </c>
      <c r="I426" s="219">
        <f ca="1"/>
        <v>0.5</v>
      </c>
      <c r="J426" s="219">
        <f ca="1"/>
        <v>16.5</v>
      </c>
      <c r="K426" s="219">
        <f ca="1"/>
        <v>22</v>
      </c>
      <c r="L426" s="219">
        <f ca="1"/>
        <v>388</v>
      </c>
      <c r="M426" s="219">
        <f ca="1"/>
        <v>3</v>
      </c>
      <c r="N426" s="212" t="str">
        <f ca="1"/>
        <v>DAY</v>
      </c>
      <c r="O426" s="220">
        <f ca="1"/>
        <v>0.9463414634146341</v>
      </c>
      <c r="P426" s="221">
        <f ca="1"/>
        <v>410</v>
      </c>
      <c r="Q426" s="221">
        <f ca="1"/>
        <v>0</v>
      </c>
    </row>
    <row r="427" spans="1:17" ht="18" customHeight="1">
      <c r="A427" s="212" t="str">
        <f ca="1"/>
        <v>C6-JULY</v>
      </c>
      <c r="B427" s="218">
        <f ca="1"/>
        <v>46223</v>
      </c>
      <c r="C427" s="212" t="str">
        <f ca="1"/>
        <v>chakki1,2,3</v>
      </c>
      <c r="D427" s="212" t="str">
        <f ca="1"/>
        <v>old plant</v>
      </c>
      <c r="E427" s="212" t="str">
        <f ca="1"/>
        <v>Jowar Grains</v>
      </c>
      <c r="F427" s="219">
        <f ca="1"/>
        <v>62</v>
      </c>
      <c r="G427" s="219">
        <f ca="1"/>
        <v>0</v>
      </c>
      <c r="H427" s="219">
        <f ca="1"/>
        <v>0</v>
      </c>
      <c r="I427" s="219">
        <f ca="1"/>
        <v>0</v>
      </c>
      <c r="J427" s="219">
        <f ca="1"/>
        <v>4</v>
      </c>
      <c r="K427" s="219">
        <f ca="1"/>
        <v>4</v>
      </c>
      <c r="L427" s="219">
        <f ca="1"/>
        <v>58</v>
      </c>
      <c r="M427" s="219">
        <f ca="1"/>
        <v>3</v>
      </c>
      <c r="N427" s="212" t="str">
        <f ca="1"/>
        <v>DAY</v>
      </c>
      <c r="O427" s="220">
        <f ca="1"/>
        <v>0.93548387096774188</v>
      </c>
      <c r="P427" s="221">
        <f ca="1"/>
        <v>62</v>
      </c>
      <c r="Q427" s="221">
        <f ca="1"/>
        <v>0</v>
      </c>
    </row>
    <row r="428" spans="1:17" ht="18" customHeight="1">
      <c r="A428" s="212" t="str">
        <f ca="1"/>
        <v>C6-JULY</v>
      </c>
      <c r="B428" s="218">
        <f ca="1"/>
        <v>46224</v>
      </c>
      <c r="C428" s="212" t="str">
        <f ca="1"/>
        <v>chakki1,2,3</v>
      </c>
      <c r="D428" s="212" t="str">
        <f ca="1"/>
        <v>old plant</v>
      </c>
      <c r="E428" s="212" t="str">
        <f ca="1"/>
        <v>Multigrain</v>
      </c>
      <c r="F428" s="219">
        <f ca="1"/>
        <v>1000</v>
      </c>
      <c r="G428" s="219">
        <f ca="1"/>
        <v>2</v>
      </c>
      <c r="H428" s="219">
        <f ca="1"/>
        <v>16</v>
      </c>
      <c r="I428" s="219">
        <f ca="1"/>
        <v>1</v>
      </c>
      <c r="J428" s="219">
        <f ca="1"/>
        <v>46</v>
      </c>
      <c r="K428" s="219">
        <f ca="1"/>
        <v>65</v>
      </c>
      <c r="L428" s="219">
        <f ca="1"/>
        <v>935</v>
      </c>
      <c r="M428" s="219">
        <f ca="1"/>
        <v>3</v>
      </c>
      <c r="N428" s="212" t="str">
        <f ca="1"/>
        <v>DAY</v>
      </c>
      <c r="O428" s="220">
        <f ca="1"/>
        <v>0.93500000000000005</v>
      </c>
      <c r="P428" s="221">
        <f ca="1"/>
        <v>1000</v>
      </c>
      <c r="Q428" s="221">
        <f ca="1"/>
        <v>0</v>
      </c>
    </row>
    <row r="429" spans="1:17" ht="18" customHeight="1">
      <c r="A429" s="212" t="str">
        <f ca="1"/>
        <v>C6-JULY</v>
      </c>
      <c r="B429" s="218">
        <f ca="1"/>
        <v>46225</v>
      </c>
      <c r="C429" s="212" t="str">
        <f ca="1"/>
        <v>chakki1,2,3</v>
      </c>
      <c r="D429" s="212" t="str">
        <f ca="1"/>
        <v>New Plant</v>
      </c>
      <c r="E429" s="212" t="str">
        <f ca="1"/>
        <v>protein premix 60%</v>
      </c>
      <c r="F429" s="219">
        <f ca="1"/>
        <v>1615</v>
      </c>
      <c r="G429" s="219">
        <f ca="1"/>
        <v>1</v>
      </c>
      <c r="H429" s="219">
        <f ca="1"/>
        <v>39</v>
      </c>
      <c r="I429" s="219">
        <f ca="1"/>
        <v>1</v>
      </c>
      <c r="J429" s="219">
        <f ca="1"/>
        <v>54</v>
      </c>
      <c r="K429" s="219">
        <f ca="1"/>
        <v>95</v>
      </c>
      <c r="L429" s="219">
        <f ca="1"/>
        <v>1520</v>
      </c>
      <c r="M429" s="219">
        <f ca="1"/>
        <v>3</v>
      </c>
      <c r="N429" s="212" t="str">
        <f ca="1"/>
        <v>DAY</v>
      </c>
      <c r="O429" s="220">
        <f ca="1"/>
        <v>0.94117647058823528</v>
      </c>
      <c r="P429" s="221">
        <f ca="1"/>
        <v>1615</v>
      </c>
      <c r="Q429" s="221">
        <f ca="1"/>
        <v>0</v>
      </c>
    </row>
    <row r="430" spans="1:17" ht="18" customHeight="1">
      <c r="A430" s="212" t="str">
        <f ca="1"/>
        <v>C6-JULY</v>
      </c>
      <c r="B430" s="218">
        <f ca="1"/>
        <v>46225</v>
      </c>
      <c r="C430" s="212" t="str">
        <f ca="1"/>
        <v>chakki1,2,3</v>
      </c>
      <c r="D430" s="212" t="str">
        <f ca="1"/>
        <v>old plant</v>
      </c>
      <c r="E430" s="212" t="str">
        <f ca="1"/>
        <v>High Protein Atta</v>
      </c>
      <c r="F430" s="219">
        <f ca="1"/>
        <v>2473.5</v>
      </c>
      <c r="G430" s="219">
        <f ca="1"/>
        <v>2</v>
      </c>
      <c r="H430" s="219">
        <f ca="1"/>
        <v>78</v>
      </c>
      <c r="I430" s="219">
        <f ca="1"/>
        <v>3</v>
      </c>
      <c r="J430" s="219">
        <f ca="1"/>
        <v>67.5</v>
      </c>
      <c r="K430" s="219">
        <f ca="1"/>
        <v>150.5</v>
      </c>
      <c r="L430" s="219">
        <f ca="1"/>
        <v>2323</v>
      </c>
      <c r="M430" s="219">
        <f ca="1"/>
        <v>3</v>
      </c>
      <c r="N430" s="212" t="str">
        <f ca="1"/>
        <v>DAY</v>
      </c>
      <c r="O430" s="220">
        <f ca="1"/>
        <v>0.93915504346068324</v>
      </c>
      <c r="P430" s="221">
        <f ca="1"/>
        <v>2473.5</v>
      </c>
      <c r="Q430" s="221">
        <f ca="1"/>
        <v>0</v>
      </c>
    </row>
    <row r="431" spans="1:17" ht="18" customHeight="1">
      <c r="A431" s="212" t="str">
        <f ca="1"/>
        <v>C6-JULY</v>
      </c>
      <c r="B431" s="218">
        <f ca="1"/>
        <v>46227</v>
      </c>
      <c r="C431" s="212" t="str">
        <f ca="1"/>
        <v>chakki1,2,3</v>
      </c>
      <c r="D431" s="212" t="str">
        <f ca="1"/>
        <v>old plant</v>
      </c>
      <c r="E431" s="212" t="str">
        <f ca="1"/>
        <v>Jowar Grains</v>
      </c>
      <c r="F431" s="219">
        <f ca="1"/>
        <v>1000</v>
      </c>
      <c r="G431" s="219">
        <f ca="1"/>
        <v>0</v>
      </c>
      <c r="H431" s="219">
        <f ca="1"/>
        <v>10</v>
      </c>
      <c r="I431" s="219">
        <f ca="1"/>
        <v>1</v>
      </c>
      <c r="J431" s="219">
        <f ca="1"/>
        <v>70</v>
      </c>
      <c r="K431" s="219">
        <f ca="1"/>
        <v>81</v>
      </c>
      <c r="L431" s="219">
        <f ca="1"/>
        <v>919</v>
      </c>
      <c r="M431" s="219">
        <f ca="1"/>
        <v>3</v>
      </c>
      <c r="N431" s="212" t="str">
        <f ca="1"/>
        <v>DAY</v>
      </c>
      <c r="O431" s="220">
        <f ca="1"/>
        <v>0.91900000000000004</v>
      </c>
      <c r="P431" s="221">
        <f ca="1"/>
        <v>1000</v>
      </c>
      <c r="Q431" s="221">
        <f ca="1"/>
        <v>0</v>
      </c>
    </row>
    <row r="432" spans="1:17" ht="18" customHeight="1">
      <c r="A432" s="212" t="str">
        <f ca="1"/>
        <v>C6-JULY</v>
      </c>
      <c r="B432" s="218">
        <f ca="1"/>
        <v>46228</v>
      </c>
      <c r="C432" s="212" t="str">
        <f ca="1"/>
        <v>chakki1,2,3</v>
      </c>
      <c r="D432" s="212" t="str">
        <f ca="1"/>
        <v>New Plant</v>
      </c>
      <c r="E432" s="212" t="str">
        <f ca="1"/>
        <v>protein atta</v>
      </c>
      <c r="F432" s="219">
        <f ca="1"/>
        <v>3007</v>
      </c>
      <c r="G432" s="219">
        <f ca="1"/>
        <v>1</v>
      </c>
      <c r="H432" s="219">
        <f ca="1"/>
        <v>77</v>
      </c>
      <c r="I432" s="219">
        <f ca="1"/>
        <v>2</v>
      </c>
      <c r="J432" s="219">
        <f ca="1"/>
        <v>83</v>
      </c>
      <c r="K432" s="219">
        <f ca="1"/>
        <v>163</v>
      </c>
      <c r="L432" s="219">
        <f ca="1"/>
        <v>2844</v>
      </c>
      <c r="M432" s="219">
        <f ca="1"/>
        <v>2</v>
      </c>
      <c r="N432" s="212" t="str">
        <f ca="1"/>
        <v>DAY</v>
      </c>
      <c r="O432" s="220">
        <f ca="1"/>
        <v>0.94579314931825742</v>
      </c>
      <c r="P432" s="221">
        <f ca="1"/>
        <v>3007</v>
      </c>
      <c r="Q432" s="221">
        <f ca="1"/>
        <v>0</v>
      </c>
    </row>
    <row r="433" spans="1:17" ht="18" customHeight="1">
      <c r="A433" s="212" t="str">
        <f ca="1"/>
        <v>C6-JULY</v>
      </c>
      <c r="B433" s="218">
        <f ca="1"/>
        <v>46231</v>
      </c>
      <c r="C433" s="212" t="str">
        <f ca="1"/>
        <v>chakki1,2,3</v>
      </c>
      <c r="D433" s="212" t="str">
        <f ca="1"/>
        <v>old plant</v>
      </c>
      <c r="E433" s="212" t="str">
        <f ca="1"/>
        <v>protein atta</v>
      </c>
      <c r="F433" s="219">
        <f ca="1"/>
        <v>3928.5</v>
      </c>
      <c r="G433" s="219">
        <f ca="1"/>
        <v>1</v>
      </c>
      <c r="H433" s="219">
        <f ca="1"/>
        <v>80</v>
      </c>
      <c r="I433" s="219">
        <f ca="1"/>
        <v>2</v>
      </c>
      <c r="J433" s="219">
        <f ca="1"/>
        <v>216.5</v>
      </c>
      <c r="K433" s="219">
        <f ca="1"/>
        <v>299.5</v>
      </c>
      <c r="L433" s="219">
        <f ca="1"/>
        <v>3629</v>
      </c>
      <c r="M433" s="219">
        <f ca="1"/>
        <v>3</v>
      </c>
      <c r="N433" s="212" t="str">
        <f ca="1"/>
        <v>DAY</v>
      </c>
      <c r="O433" s="220">
        <f ca="1"/>
        <v>0.92376225022273128</v>
      </c>
      <c r="P433" s="221">
        <f ca="1"/>
        <v>3928.5</v>
      </c>
      <c r="Q433" s="221">
        <f ca="1"/>
        <v>0</v>
      </c>
    </row>
    <row r="434" spans="1:17" ht="18" customHeight="1">
      <c r="A434" s="212" t="str">
        <f ca="1"/>
        <v>C6-JULY</v>
      </c>
      <c r="B434" s="218">
        <f ca="1"/>
        <v>46232</v>
      </c>
      <c r="C434" s="212" t="str">
        <f ca="1"/>
        <v>chakki1,2,3</v>
      </c>
      <c r="D434" s="212" t="str">
        <f ca="1"/>
        <v>New Plant</v>
      </c>
      <c r="E434" s="212" t="str">
        <f ca="1"/>
        <v>khapli</v>
      </c>
      <c r="F434" s="219">
        <f ca="1"/>
        <v>100</v>
      </c>
      <c r="G434" s="219">
        <f ca="1"/>
        <v>0</v>
      </c>
      <c r="H434" s="219">
        <f ca="1"/>
        <v>3</v>
      </c>
      <c r="I434" s="219">
        <f ca="1"/>
        <v>0</v>
      </c>
      <c r="J434" s="219">
        <f ca="1"/>
        <v>7</v>
      </c>
      <c r="K434" s="219">
        <f ca="1"/>
        <v>10</v>
      </c>
      <c r="L434" s="219">
        <f ca="1"/>
        <v>90</v>
      </c>
      <c r="M434" s="219">
        <f ca="1"/>
        <v>3</v>
      </c>
      <c r="N434" s="212" t="str">
        <f ca="1"/>
        <v>DAY</v>
      </c>
      <c r="O434" s="220">
        <f ca="1"/>
        <v>0.9</v>
      </c>
      <c r="P434" s="221">
        <f ca="1"/>
        <v>100</v>
      </c>
      <c r="Q434" s="221">
        <f ca="1"/>
        <v>0</v>
      </c>
    </row>
    <row r="435" spans="1:17" ht="18" customHeight="1">
      <c r="A435" s="212" t="str">
        <f ca="1"/>
        <v>C6-JULY</v>
      </c>
      <c r="B435" s="218">
        <f ca="1"/>
        <v>46232</v>
      </c>
      <c r="C435" s="212" t="str">
        <f ca="1"/>
        <v>chakki1,2,3</v>
      </c>
      <c r="D435" s="212" t="str">
        <f ca="1"/>
        <v>old plant</v>
      </c>
      <c r="E435" s="212" t="str">
        <f ca="1"/>
        <v>Bajra</v>
      </c>
      <c r="F435" s="219">
        <f ca="1"/>
        <v>300</v>
      </c>
      <c r="G435" s="219">
        <f ca="1"/>
        <v>0</v>
      </c>
      <c r="H435" s="219">
        <f ca="1"/>
        <v>3</v>
      </c>
      <c r="I435" s="219">
        <f ca="1"/>
        <v>0</v>
      </c>
      <c r="J435" s="219">
        <f ca="1"/>
        <v>16</v>
      </c>
      <c r="K435" s="219">
        <f ca="1"/>
        <v>19</v>
      </c>
      <c r="L435" s="219">
        <f ca="1"/>
        <v>281</v>
      </c>
      <c r="M435" s="219">
        <f ca="1"/>
        <v>3</v>
      </c>
      <c r="N435" s="212" t="str">
        <f ca="1"/>
        <v>DAY</v>
      </c>
      <c r="O435" s="220">
        <f ca="1"/>
        <v>0.93666666666666665</v>
      </c>
      <c r="P435" s="221">
        <f ca="1"/>
        <v>300</v>
      </c>
      <c r="Q435" s="221">
        <f ca="1"/>
        <v>0</v>
      </c>
    </row>
    <row r="436" spans="1:17" ht="18" customHeight="1">
      <c r="A436" s="212" t="str">
        <f ca="1"/>
        <v>C6-JULY</v>
      </c>
      <c r="B436" s="218">
        <f ca="1"/>
        <v>46233</v>
      </c>
      <c r="C436" s="212" t="str">
        <f ca="1"/>
        <v>chakki1,2,3</v>
      </c>
      <c r="D436" s="212" t="str">
        <f ca="1"/>
        <v>old plant</v>
      </c>
      <c r="E436" s="212" t="str">
        <f ca="1"/>
        <v>Jowar Grains</v>
      </c>
      <c r="F436" s="219">
        <f ca="1"/>
        <v>990</v>
      </c>
      <c r="G436" s="219">
        <f ca="1"/>
        <v>0</v>
      </c>
      <c r="H436" s="219">
        <f ca="1"/>
        <v>35</v>
      </c>
      <c r="I436" s="219">
        <f ca="1"/>
        <v>1</v>
      </c>
      <c r="J436" s="219">
        <f ca="1"/>
        <v>62</v>
      </c>
      <c r="K436" s="219">
        <f ca="1"/>
        <v>98</v>
      </c>
      <c r="L436" s="219">
        <f ca="1"/>
        <v>892</v>
      </c>
      <c r="M436" s="219">
        <f ca="1"/>
        <v>2</v>
      </c>
      <c r="N436" s="212" t="str">
        <f ca="1"/>
        <v>DAY</v>
      </c>
      <c r="O436" s="220">
        <f ca="1"/>
        <v>0.90101010101010104</v>
      </c>
      <c r="P436" s="221">
        <f ca="1"/>
        <v>990</v>
      </c>
      <c r="Q436" s="221">
        <f ca="1"/>
        <v>0</v>
      </c>
    </row>
    <row r="437" spans="1:17" ht="18" customHeight="1">
      <c r="A437" s="212" t="str">
        <f ca="1"/>
        <v>C6-JULY</v>
      </c>
      <c r="B437" s="218">
        <f ca="1"/>
        <v>46234</v>
      </c>
      <c r="C437" s="212" t="str">
        <f ca="1"/>
        <v>chakki1,2,3</v>
      </c>
      <c r="D437" s="212" t="str">
        <f ca="1"/>
        <v>old plant</v>
      </c>
      <c r="E437" s="212" t="str">
        <f ca="1"/>
        <v>Jowar Grains</v>
      </c>
      <c r="F437" s="219">
        <f ca="1"/>
        <v>210</v>
      </c>
      <c r="G437" s="219">
        <f ca="1"/>
        <v>0</v>
      </c>
      <c r="H437" s="219">
        <f ca="1"/>
        <v>4</v>
      </c>
      <c r="I437" s="219">
        <f ca="1"/>
        <v>1</v>
      </c>
      <c r="J437" s="219">
        <f ca="1"/>
        <v>13</v>
      </c>
      <c r="K437" s="219">
        <f ca="1"/>
        <v>18</v>
      </c>
      <c r="L437" s="219">
        <f ca="1"/>
        <v>192</v>
      </c>
      <c r="M437" s="219">
        <f ca="1"/>
        <v>3</v>
      </c>
      <c r="N437" s="212" t="str">
        <f ca="1"/>
        <v>DAY</v>
      </c>
      <c r="O437" s="220">
        <f ca="1"/>
        <v>0.91428571428571426</v>
      </c>
      <c r="P437" s="221">
        <f ca="1"/>
        <v>210</v>
      </c>
      <c r="Q437" s="221">
        <f ca="1"/>
        <v>0</v>
      </c>
    </row>
    <row r="438" spans="1:17" ht="18" customHeight="1">
      <c r="A438" s="212" t="str">
        <f ca="1"/>
        <v>C6-JULY</v>
      </c>
      <c r="B438" s="218">
        <f ca="1"/>
        <v>46234</v>
      </c>
      <c r="C438" s="212" t="str">
        <f ca="1"/>
        <v>chakki1,2,3</v>
      </c>
      <c r="D438" s="212" t="str">
        <f ca="1"/>
        <v>New Plant</v>
      </c>
      <c r="E438" s="212" t="str">
        <f ca="1"/>
        <v>protein atta</v>
      </c>
      <c r="F438" s="219">
        <f ca="1"/>
        <v>4171</v>
      </c>
      <c r="G438" s="219">
        <f ca="1"/>
        <v>2</v>
      </c>
      <c r="H438" s="219">
        <f ca="1"/>
        <v>137</v>
      </c>
      <c r="I438" s="219">
        <f ca="1"/>
        <v>3</v>
      </c>
      <c r="J438" s="219">
        <f ca="1"/>
        <v>119</v>
      </c>
      <c r="K438" s="219">
        <f ca="1"/>
        <v>261</v>
      </c>
      <c r="L438" s="219">
        <f ca="1"/>
        <v>3910</v>
      </c>
      <c r="M438" s="219">
        <f ca="1"/>
        <v>3</v>
      </c>
      <c r="N438" s="212" t="str">
        <f ca="1"/>
        <v>DAY</v>
      </c>
      <c r="O438" s="220">
        <f ca="1"/>
        <v>0.93742507791896423</v>
      </c>
      <c r="P438" s="221">
        <f ca="1"/>
        <v>4171</v>
      </c>
      <c r="Q438" s="221">
        <f ca="1"/>
        <v>0</v>
      </c>
    </row>
    <row r="439" spans="1:17" ht="18" customHeight="1">
      <c r="A439" s="212" t="str">
        <f ca="1"/>
        <v>C39-JULY</v>
      </c>
      <c r="B439" s="218">
        <f ca="1"/>
        <v>46204</v>
      </c>
      <c r="C439" s="212" t="str">
        <f ca="1"/>
        <v>1,2,3,4</v>
      </c>
      <c r="D439" s="212" t="str">
        <f ca="1"/>
        <v>C39</v>
      </c>
      <c r="E439" s="212" t="str">
        <f ca="1"/>
        <v>multgrain</v>
      </c>
      <c r="F439" s="219">
        <f ca="1"/>
        <v>6650</v>
      </c>
      <c r="G439" s="219">
        <f ca="1"/>
        <v>80</v>
      </c>
      <c r="H439" s="219">
        <f ca="1"/>
        <v>193</v>
      </c>
      <c r="I439" s="219">
        <f ca="1"/>
        <v>42</v>
      </c>
      <c r="J439" s="219">
        <f ca="1"/>
        <v>195</v>
      </c>
      <c r="K439" s="219">
        <f ca="1"/>
        <v>510</v>
      </c>
      <c r="L439" s="219">
        <f ca="1"/>
        <v>6140</v>
      </c>
      <c r="M439" s="219">
        <f ca="1"/>
        <v>5</v>
      </c>
      <c r="N439" s="212" t="str">
        <f ca="1"/>
        <v>Day</v>
      </c>
      <c r="O439" s="220">
        <f ca="1"/>
        <v>0.92330827067669174</v>
      </c>
      <c r="P439" s="221">
        <f ca="1"/>
        <v>6650</v>
      </c>
      <c r="Q439" s="221">
        <f ca="1"/>
        <v>0</v>
      </c>
    </row>
    <row r="440" spans="1:17" ht="18" customHeight="1">
      <c r="A440" s="212" t="str">
        <f ca="1"/>
        <v>C39-JULY</v>
      </c>
      <c r="B440" s="218">
        <f ca="1"/>
        <v>46205</v>
      </c>
      <c r="C440" s="212" t="str">
        <f ca="1"/>
        <v>1,2,3,4</v>
      </c>
      <c r="D440" s="212" t="str">
        <f ca="1"/>
        <v>C39</v>
      </c>
      <c r="E440" s="212" t="str">
        <f ca="1"/>
        <v>multgrain</v>
      </c>
      <c r="F440" s="219">
        <f ca="1"/>
        <v>5900</v>
      </c>
      <c r="G440" s="219">
        <f ca="1"/>
        <v>71</v>
      </c>
      <c r="H440" s="219">
        <f ca="1"/>
        <v>240</v>
      </c>
      <c r="I440" s="219">
        <f ca="1"/>
        <v>35</v>
      </c>
      <c r="J440" s="219">
        <f ca="1"/>
        <v>120</v>
      </c>
      <c r="K440" s="219">
        <f ca="1"/>
        <v>466</v>
      </c>
      <c r="L440" s="219">
        <f ca="1"/>
        <v>5434</v>
      </c>
      <c r="M440" s="219">
        <f ca="1"/>
        <v>5</v>
      </c>
      <c r="N440" s="212" t="str">
        <f ca="1"/>
        <v>Day</v>
      </c>
      <c r="O440" s="220">
        <f ca="1"/>
        <v>0.9210169491525424</v>
      </c>
      <c r="P440" s="221">
        <f ca="1"/>
        <v>5900</v>
      </c>
      <c r="Q440" s="221">
        <f ca="1"/>
        <v>0</v>
      </c>
    </row>
    <row r="441" spans="1:17" ht="18" customHeight="1">
      <c r="A441" s="212" t="str">
        <f ca="1"/>
        <v>C39-JULY</v>
      </c>
      <c r="B441" s="218">
        <f ca="1"/>
        <v>46206</v>
      </c>
      <c r="C441" s="212" t="str">
        <f ca="1"/>
        <v>1,2,3,4</v>
      </c>
      <c r="D441" s="212" t="str">
        <f ca="1"/>
        <v>C39</v>
      </c>
      <c r="E441" s="212" t="str">
        <f ca="1"/>
        <v>multgrain</v>
      </c>
      <c r="F441" s="219">
        <f ca="1"/>
        <v>4900</v>
      </c>
      <c r="G441" s="219">
        <f ca="1"/>
        <v>98</v>
      </c>
      <c r="H441" s="219">
        <f ca="1"/>
        <v>180</v>
      </c>
      <c r="I441" s="219">
        <f ca="1"/>
        <v>28</v>
      </c>
      <c r="J441" s="219">
        <f ca="1"/>
        <v>94</v>
      </c>
      <c r="K441" s="219">
        <f ca="1"/>
        <v>400</v>
      </c>
      <c r="L441" s="219">
        <f ca="1"/>
        <v>4500</v>
      </c>
      <c r="M441" s="219">
        <f ca="1"/>
        <v>5</v>
      </c>
      <c r="N441" s="212" t="str">
        <f ca="1"/>
        <v>Day</v>
      </c>
      <c r="O441" s="220">
        <f ca="1"/>
        <v>0.91836734693877553</v>
      </c>
      <c r="P441" s="221">
        <f ca="1"/>
        <v>4900</v>
      </c>
      <c r="Q441" s="221">
        <f ca="1"/>
        <v>0</v>
      </c>
    </row>
    <row r="442" spans="1:17" ht="18" customHeight="1">
      <c r="A442" s="212" t="str">
        <f ca="1"/>
        <v>C39-JULY</v>
      </c>
      <c r="B442" s="218">
        <f ca="1"/>
        <v>46207</v>
      </c>
      <c r="C442" s="212" t="str">
        <f ca="1"/>
        <v>1,2,3,4</v>
      </c>
      <c r="D442" s="212" t="str">
        <f ca="1"/>
        <v>C39</v>
      </c>
      <c r="E442" s="212" t="str">
        <f ca="1"/>
        <v>multgrain</v>
      </c>
      <c r="F442" s="219">
        <f ca="1"/>
        <v>7500</v>
      </c>
      <c r="G442" s="219">
        <f ca="1"/>
        <v>130</v>
      </c>
      <c r="H442" s="219">
        <f ca="1"/>
        <v>245</v>
      </c>
      <c r="I442" s="219">
        <f ca="1"/>
        <v>50</v>
      </c>
      <c r="J442" s="219">
        <f ca="1"/>
        <v>166</v>
      </c>
      <c r="K442" s="219">
        <f ca="1"/>
        <v>591</v>
      </c>
      <c r="L442" s="219">
        <f ca="1"/>
        <v>6909</v>
      </c>
      <c r="M442" s="219">
        <f ca="1"/>
        <v>5</v>
      </c>
      <c r="N442" s="212" t="str">
        <f ca="1"/>
        <v>Day</v>
      </c>
      <c r="O442" s="220">
        <f ca="1"/>
        <v>0.92120000000000002</v>
      </c>
      <c r="P442" s="221">
        <f ca="1"/>
        <v>7500</v>
      </c>
      <c r="Q442" s="221">
        <f ca="1"/>
        <v>0</v>
      </c>
    </row>
    <row r="443" spans="1:17" ht="18" customHeight="1">
      <c r="A443" s="212" t="str">
        <f ca="1"/>
        <v>C39-JULY</v>
      </c>
      <c r="B443" s="218">
        <f ca="1"/>
        <v>46209</v>
      </c>
      <c r="C443" s="212" t="str">
        <f ca="1"/>
        <v>1,2,3,4</v>
      </c>
      <c r="D443" s="212" t="str">
        <f ca="1"/>
        <v>C39</v>
      </c>
      <c r="E443" s="212" t="str">
        <f ca="1"/>
        <v>multgrain</v>
      </c>
      <c r="F443" s="219">
        <f ca="1"/>
        <v>8300</v>
      </c>
      <c r="G443" s="219">
        <f ca="1"/>
        <v>108</v>
      </c>
      <c r="H443" s="219">
        <f ca="1"/>
        <v>320</v>
      </c>
      <c r="I443" s="219">
        <f ca="1"/>
        <v>40</v>
      </c>
      <c r="J443" s="219">
        <f ca="1"/>
        <v>182</v>
      </c>
      <c r="K443" s="219">
        <f ca="1"/>
        <v>650</v>
      </c>
      <c r="L443" s="219">
        <f ca="1"/>
        <v>7650</v>
      </c>
      <c r="M443" s="219">
        <f ca="1"/>
        <v>5</v>
      </c>
      <c r="N443" s="212" t="str">
        <f ca="1"/>
        <v>Day</v>
      </c>
      <c r="O443" s="220">
        <f ca="1"/>
        <v>0.92168674698795183</v>
      </c>
      <c r="P443" s="221">
        <f ca="1"/>
        <v>8300</v>
      </c>
      <c r="Q443" s="221">
        <f ca="1"/>
        <v>0</v>
      </c>
    </row>
    <row r="444" spans="1:17" ht="18" customHeight="1">
      <c r="A444" s="212" t="str">
        <f ca="1"/>
        <v>C39-JULY</v>
      </c>
      <c r="B444" s="218">
        <f ca="1"/>
        <v>46210</v>
      </c>
      <c r="C444" s="212" t="str">
        <f ca="1"/>
        <v>1,2,3,4</v>
      </c>
      <c r="D444" s="212" t="str">
        <f ca="1"/>
        <v>C39</v>
      </c>
      <c r="E444" s="212" t="str">
        <f ca="1"/>
        <v>multgrain</v>
      </c>
      <c r="F444" s="219">
        <f ca="1"/>
        <v>7500</v>
      </c>
      <c r="G444" s="219">
        <f ca="1"/>
        <v>125</v>
      </c>
      <c r="H444" s="219">
        <f ca="1"/>
        <v>240</v>
      </c>
      <c r="I444" s="219">
        <f ca="1"/>
        <v>38</v>
      </c>
      <c r="J444" s="219">
        <f ca="1"/>
        <v>197</v>
      </c>
      <c r="K444" s="219">
        <f ca="1"/>
        <v>600</v>
      </c>
      <c r="L444" s="219">
        <f ca="1"/>
        <v>6900</v>
      </c>
      <c r="M444" s="219">
        <f ca="1"/>
        <v>5</v>
      </c>
      <c r="N444" s="212" t="str">
        <f ca="1"/>
        <v>Day</v>
      </c>
      <c r="O444" s="220">
        <f ca="1"/>
        <v>0.92</v>
      </c>
      <c r="P444" s="221">
        <f ca="1"/>
        <v>7500</v>
      </c>
      <c r="Q444" s="221">
        <f ca="1"/>
        <v>0</v>
      </c>
    </row>
    <row r="445" spans="1:17" ht="18" customHeight="1">
      <c r="A445" s="212" t="str">
        <f ca="1"/>
        <v>C39-JULY</v>
      </c>
      <c r="B445" s="218">
        <f ca="1"/>
        <v>46211</v>
      </c>
      <c r="C445" s="212">
        <f ca="1"/>
        <v>1</v>
      </c>
      <c r="D445" s="212" t="str">
        <f ca="1"/>
        <v>Blender</v>
      </c>
      <c r="E445" s="212" t="str">
        <f ca="1"/>
        <v>besan</v>
      </c>
      <c r="F445" s="219">
        <f ca="1"/>
        <v>600</v>
      </c>
      <c r="G445" s="219">
        <f ca="1"/>
        <v>0</v>
      </c>
      <c r="H445" s="219">
        <f ca="1"/>
        <v>4.2</v>
      </c>
      <c r="I445" s="219">
        <f ca="1"/>
        <v>5.7</v>
      </c>
      <c r="J445" s="219">
        <f ca="1"/>
        <v>10.1</v>
      </c>
      <c r="K445" s="219">
        <f ca="1"/>
        <v>20</v>
      </c>
      <c r="L445" s="219">
        <f ca="1"/>
        <v>580</v>
      </c>
      <c r="M445" s="219">
        <f ca="1"/>
        <v>1</v>
      </c>
      <c r="N445" s="212" t="str">
        <f ca="1"/>
        <v>Day</v>
      </c>
      <c r="O445" s="220">
        <f ca="1"/>
        <v>0.96599999999999997</v>
      </c>
      <c r="P445" s="221">
        <f ca="1"/>
        <v>600</v>
      </c>
      <c r="Q445" s="221">
        <f ca="1"/>
        <v>0</v>
      </c>
    </row>
    <row r="446" spans="1:17" ht="18" customHeight="1">
      <c r="A446" s="212" t="str">
        <f ca="1"/>
        <v>C39-JULY</v>
      </c>
      <c r="B446" s="218">
        <f ca="1"/>
        <v>46211</v>
      </c>
      <c r="C446" s="212" t="str">
        <f ca="1"/>
        <v>1,2,3,4</v>
      </c>
      <c r="D446" s="212" t="str">
        <f ca="1"/>
        <v>C39</v>
      </c>
      <c r="E446" s="212" t="str">
        <f ca="1"/>
        <v>multgrain</v>
      </c>
      <c r="F446" s="219">
        <f ca="1"/>
        <v>4150</v>
      </c>
      <c r="G446" s="219">
        <f ca="1"/>
        <v>72</v>
      </c>
      <c r="H446" s="219">
        <f ca="1"/>
        <v>173</v>
      </c>
      <c r="I446" s="219">
        <f ca="1"/>
        <v>36</v>
      </c>
      <c r="J446" s="219">
        <f ca="1"/>
        <v>119</v>
      </c>
      <c r="K446" s="219">
        <f ca="1"/>
        <v>400</v>
      </c>
      <c r="L446" s="219">
        <f ca="1"/>
        <v>3750</v>
      </c>
      <c r="M446" s="219">
        <f ca="1"/>
        <v>5</v>
      </c>
      <c r="N446" s="212" t="str">
        <f ca="1"/>
        <v>Day</v>
      </c>
      <c r="O446" s="220">
        <f ca="1"/>
        <v>0.90361445783132532</v>
      </c>
      <c r="P446" s="221">
        <f ca="1"/>
        <v>4150</v>
      </c>
      <c r="Q446" s="221">
        <f ca="1"/>
        <v>0</v>
      </c>
    </row>
    <row r="447" spans="1:17" ht="18" customHeight="1">
      <c r="A447" s="212" t="str">
        <f ca="1"/>
        <v>C39-JULY</v>
      </c>
      <c r="B447" s="218">
        <f ca="1"/>
        <v>46212</v>
      </c>
      <c r="C447" s="212">
        <f ca="1"/>
        <v>1</v>
      </c>
      <c r="D447" s="212" t="str">
        <f ca="1"/>
        <v>Blender</v>
      </c>
      <c r="E447" s="212" t="str">
        <f ca="1"/>
        <v>besan</v>
      </c>
      <c r="F447" s="219">
        <f ca="1"/>
        <v>360</v>
      </c>
      <c r="G447" s="219">
        <f ca="1"/>
        <v>0</v>
      </c>
      <c r="H447" s="219">
        <f ca="1"/>
        <v>3.9</v>
      </c>
      <c r="I447" s="219">
        <f ca="1"/>
        <v>4.8</v>
      </c>
      <c r="J447" s="219">
        <f ca="1"/>
        <v>11.3</v>
      </c>
      <c r="K447" s="219">
        <f ca="1"/>
        <v>20</v>
      </c>
      <c r="L447" s="219">
        <f ca="1"/>
        <v>340</v>
      </c>
      <c r="M447" s="219">
        <f ca="1"/>
        <v>1</v>
      </c>
      <c r="N447" s="212" t="str">
        <f ca="1"/>
        <v>Day</v>
      </c>
      <c r="O447" s="220">
        <f ca="1"/>
        <v>0.94444444444444442</v>
      </c>
      <c r="P447" s="221">
        <f ca="1"/>
        <v>360</v>
      </c>
      <c r="Q447" s="221">
        <f ca="1"/>
        <v>0</v>
      </c>
    </row>
    <row r="448" spans="1:17" ht="18" customHeight="1">
      <c r="A448" s="212" t="str">
        <f ca="1"/>
        <v>C39-JULY</v>
      </c>
      <c r="B448" s="218">
        <f ca="1"/>
        <v>46213</v>
      </c>
      <c r="C448" s="212" t="str">
        <f ca="1"/>
        <v>1,2,3,4</v>
      </c>
      <c r="D448" s="212" t="str">
        <f ca="1"/>
        <v>C39</v>
      </c>
      <c r="E448" s="212" t="str">
        <f ca="1"/>
        <v>multgrain</v>
      </c>
      <c r="F448" s="219">
        <f ca="1"/>
        <v>6200</v>
      </c>
      <c r="G448" s="219">
        <f ca="1"/>
        <v>58</v>
      </c>
      <c r="H448" s="219">
        <f ca="1"/>
        <v>210</v>
      </c>
      <c r="I448" s="219">
        <f ca="1"/>
        <v>34</v>
      </c>
      <c r="J448" s="219">
        <f ca="1"/>
        <v>148</v>
      </c>
      <c r="K448" s="219">
        <f ca="1"/>
        <v>450</v>
      </c>
      <c r="L448" s="219">
        <f ca="1"/>
        <v>5750</v>
      </c>
      <c r="M448" s="219">
        <f ca="1"/>
        <v>5</v>
      </c>
      <c r="N448" s="212" t="str">
        <f ca="1"/>
        <v>Day</v>
      </c>
      <c r="O448" s="220">
        <f ca="1"/>
        <v>0.92741935483870963</v>
      </c>
      <c r="P448" s="221">
        <f ca="1"/>
        <v>6200</v>
      </c>
      <c r="Q448" s="221">
        <f ca="1"/>
        <v>0</v>
      </c>
    </row>
    <row r="449" spans="1:17" ht="18" customHeight="1">
      <c r="A449" s="212" t="str">
        <f ca="1"/>
        <v>C39-JULY</v>
      </c>
      <c r="B449" s="218">
        <f ca="1"/>
        <v>46213</v>
      </c>
      <c r="C449" s="212">
        <f ca="1"/>
        <v>1</v>
      </c>
      <c r="D449" s="212" t="str">
        <f ca="1"/>
        <v>Blender</v>
      </c>
      <c r="E449" s="212" t="str">
        <f ca="1"/>
        <v>besan</v>
      </c>
      <c r="F449" s="219">
        <f ca="1"/>
        <v>650</v>
      </c>
      <c r="G449" s="219">
        <f ca="1"/>
        <v>0</v>
      </c>
      <c r="H449" s="219">
        <f ca="1"/>
        <v>5.6</v>
      </c>
      <c r="I449" s="219">
        <f ca="1"/>
        <v>3.7</v>
      </c>
      <c r="J449" s="219">
        <f ca="1"/>
        <v>8.6999999999999993</v>
      </c>
      <c r="K449" s="219">
        <f ca="1"/>
        <v>20</v>
      </c>
      <c r="L449" s="219">
        <f ca="1"/>
        <v>630</v>
      </c>
      <c r="M449" s="219">
        <f ca="1"/>
        <v>1</v>
      </c>
      <c r="N449" s="212" t="str">
        <f ca="1"/>
        <v>Day</v>
      </c>
      <c r="O449" s="220">
        <f ca="1"/>
        <v>0.96923076923076923</v>
      </c>
      <c r="P449" s="221">
        <f ca="1"/>
        <v>650</v>
      </c>
      <c r="Q449" s="221">
        <f ca="1"/>
        <v>0</v>
      </c>
    </row>
    <row r="450" spans="1:17" ht="18" customHeight="1">
      <c r="A450" s="212" t="str">
        <f ca="1"/>
        <v>C39-JULY</v>
      </c>
      <c r="B450" s="218">
        <f ca="1"/>
        <v>46214</v>
      </c>
      <c r="C450" s="212" t="str">
        <f ca="1"/>
        <v>1,2,3,4</v>
      </c>
      <c r="D450" s="212" t="str">
        <f ca="1"/>
        <v>C39</v>
      </c>
      <c r="E450" s="212" t="str">
        <f ca="1"/>
        <v>multgrain</v>
      </c>
      <c r="F450" s="219">
        <f ca="1"/>
        <v>5450</v>
      </c>
      <c r="G450" s="219">
        <f ca="1"/>
        <v>85</v>
      </c>
      <c r="H450" s="219">
        <f ca="1"/>
        <v>247</v>
      </c>
      <c r="I450" s="219">
        <f ca="1"/>
        <v>29</v>
      </c>
      <c r="J450" s="219">
        <f ca="1"/>
        <v>139</v>
      </c>
      <c r="K450" s="219">
        <f ca="1"/>
        <v>500</v>
      </c>
      <c r="L450" s="219">
        <f ca="1"/>
        <v>4950</v>
      </c>
      <c r="M450" s="219">
        <f ca="1"/>
        <v>5</v>
      </c>
      <c r="N450" s="212" t="str">
        <f ca="1"/>
        <v>Day</v>
      </c>
      <c r="O450" s="220">
        <f ca="1"/>
        <v>0.90825688073394495</v>
      </c>
      <c r="P450" s="221">
        <f ca="1"/>
        <v>5450</v>
      </c>
      <c r="Q450" s="221">
        <f ca="1"/>
        <v>0</v>
      </c>
    </row>
    <row r="451" spans="1:17" ht="18" customHeight="1">
      <c r="A451" s="212" t="str">
        <f ca="1"/>
        <v>C39-JULY</v>
      </c>
      <c r="B451" s="218">
        <f ca="1"/>
        <v>46216</v>
      </c>
      <c r="C451" s="212" t="str">
        <f ca="1"/>
        <v>1,2,3,4</v>
      </c>
      <c r="D451" s="212" t="str">
        <f ca="1"/>
        <v>C39</v>
      </c>
      <c r="E451" s="212" t="str">
        <f ca="1"/>
        <v>multgrain</v>
      </c>
      <c r="F451" s="219">
        <f ca="1"/>
        <v>6900</v>
      </c>
      <c r="G451" s="219">
        <f ca="1"/>
        <v>118</v>
      </c>
      <c r="H451" s="219">
        <f ca="1"/>
        <v>250</v>
      </c>
      <c r="I451" s="219">
        <f ca="1"/>
        <v>28</v>
      </c>
      <c r="J451" s="219">
        <f ca="1"/>
        <v>234</v>
      </c>
      <c r="K451" s="219">
        <f ca="1"/>
        <v>630</v>
      </c>
      <c r="L451" s="219">
        <f ca="1"/>
        <v>6270</v>
      </c>
      <c r="M451" s="219">
        <f ca="1"/>
        <v>5</v>
      </c>
      <c r="N451" s="212" t="str">
        <f ca="1"/>
        <v>Day</v>
      </c>
      <c r="O451" s="220">
        <f ca="1"/>
        <v>0.90869565217391302</v>
      </c>
      <c r="P451" s="221">
        <f ca="1"/>
        <v>6900</v>
      </c>
      <c r="Q451" s="221">
        <f ca="1"/>
        <v>0</v>
      </c>
    </row>
    <row r="452" spans="1:17" ht="18" customHeight="1">
      <c r="A452" s="212" t="str">
        <f ca="1"/>
        <v>C39-JULY</v>
      </c>
      <c r="B452" s="218">
        <f ca="1"/>
        <v>46217</v>
      </c>
      <c r="C452" s="212" t="str">
        <f ca="1"/>
        <v>1,2,3,4</v>
      </c>
      <c r="D452" s="212" t="str">
        <f ca="1"/>
        <v>C39</v>
      </c>
      <c r="E452" s="212" t="str">
        <f ca="1"/>
        <v>multgrain</v>
      </c>
      <c r="F452" s="219">
        <f ca="1"/>
        <v>7000</v>
      </c>
      <c r="G452" s="219">
        <f ca="1"/>
        <v>148</v>
      </c>
      <c r="H452" s="219">
        <f ca="1"/>
        <v>321</v>
      </c>
      <c r="I452" s="219">
        <f ca="1"/>
        <v>45</v>
      </c>
      <c r="J452" s="219">
        <f ca="1"/>
        <v>286</v>
      </c>
      <c r="K452" s="219">
        <f ca="1"/>
        <v>800</v>
      </c>
      <c r="L452" s="219">
        <f ca="1"/>
        <v>6200</v>
      </c>
      <c r="M452" s="219">
        <f ca="1"/>
        <v>5</v>
      </c>
      <c r="N452" s="212" t="str">
        <f ca="1"/>
        <v>Day</v>
      </c>
      <c r="O452" s="220">
        <f ca="1"/>
        <v>0.88571428571428568</v>
      </c>
      <c r="P452" s="221">
        <f ca="1"/>
        <v>7000</v>
      </c>
      <c r="Q452" s="221">
        <f ca="1"/>
        <v>0</v>
      </c>
    </row>
    <row r="453" spans="1:17" ht="18" customHeight="1">
      <c r="A453" s="212" t="str">
        <f ca="1"/>
        <v>C39-JULY</v>
      </c>
      <c r="B453" s="218">
        <f ca="1"/>
        <v>46218</v>
      </c>
      <c r="C453" s="212" t="str">
        <f ca="1"/>
        <v>1,2,3,4</v>
      </c>
      <c r="D453" s="212" t="str">
        <f ca="1"/>
        <v>C39</v>
      </c>
      <c r="E453" s="212" t="str">
        <f ca="1"/>
        <v>multgrain</v>
      </c>
      <c r="F453" s="219">
        <f ca="1"/>
        <v>9350</v>
      </c>
      <c r="G453" s="219">
        <f ca="1"/>
        <v>48</v>
      </c>
      <c r="H453" s="219">
        <f ca="1"/>
        <v>423</v>
      </c>
      <c r="I453" s="219">
        <f ca="1"/>
        <v>39</v>
      </c>
      <c r="J453" s="219">
        <f ca="1"/>
        <v>236</v>
      </c>
      <c r="K453" s="219">
        <f ca="1"/>
        <v>750</v>
      </c>
      <c r="L453" s="219">
        <f ca="1"/>
        <v>8600</v>
      </c>
      <c r="M453" s="219">
        <f ca="1"/>
        <v>5</v>
      </c>
      <c r="N453" s="212" t="str">
        <f ca="1"/>
        <v>DAY</v>
      </c>
      <c r="O453" s="220">
        <f ca="1"/>
        <v>0.91969999999999996</v>
      </c>
      <c r="P453" s="221">
        <f ca="1"/>
        <v>9350</v>
      </c>
      <c r="Q453" s="221">
        <f ca="1"/>
        <v>0</v>
      </c>
    </row>
    <row r="454" spans="1:17" ht="18" customHeight="1">
      <c r="A454" s="212" t="str">
        <f ca="1"/>
        <v>C39-JULY</v>
      </c>
      <c r="B454" s="218">
        <f ca="1"/>
        <v>46219</v>
      </c>
      <c r="C454" s="212" t="str">
        <f ca="1"/>
        <v>1,2,3,4</v>
      </c>
      <c r="D454" s="212" t="str">
        <f ca="1"/>
        <v>C39</v>
      </c>
      <c r="E454" s="212" t="str">
        <f ca="1"/>
        <v>multgrain</v>
      </c>
      <c r="F454" s="219">
        <f ca="1"/>
        <v>6000</v>
      </c>
      <c r="G454" s="219">
        <f ca="1"/>
        <v>0</v>
      </c>
      <c r="H454" s="219">
        <f ca="1"/>
        <v>300</v>
      </c>
      <c r="I454" s="219">
        <f ca="1"/>
        <v>46</v>
      </c>
      <c r="J454" s="219">
        <f ca="1"/>
        <v>154</v>
      </c>
      <c r="K454" s="219">
        <f ca="1"/>
        <v>500</v>
      </c>
      <c r="L454" s="219">
        <f ca="1"/>
        <v>5500</v>
      </c>
      <c r="M454" s="219">
        <f ca="1"/>
        <v>5</v>
      </c>
      <c r="N454" s="212" t="str">
        <f ca="1"/>
        <v>Day</v>
      </c>
      <c r="O454" s="220">
        <f ca="1"/>
        <v>0.91666666666666663</v>
      </c>
      <c r="P454" s="221">
        <f ca="1"/>
        <v>6000</v>
      </c>
      <c r="Q454" s="221">
        <f ca="1"/>
        <v>0</v>
      </c>
    </row>
    <row r="455" spans="1:17" ht="18" customHeight="1">
      <c r="A455" s="212" t="str">
        <f ca="1"/>
        <v>C39-JULY</v>
      </c>
      <c r="B455" s="218">
        <f ca="1"/>
        <v>46222</v>
      </c>
      <c r="C455" s="212" t="str">
        <f ca="1"/>
        <v>1,2,3,4</v>
      </c>
      <c r="D455" s="212" t="str">
        <f ca="1"/>
        <v>C39</v>
      </c>
      <c r="E455" s="212" t="str">
        <f ca="1"/>
        <v>khapli</v>
      </c>
      <c r="F455" s="219">
        <f ca="1"/>
        <v>5200</v>
      </c>
      <c r="G455" s="219">
        <f ca="1"/>
        <v>48</v>
      </c>
      <c r="H455" s="219">
        <f ca="1"/>
        <v>137</v>
      </c>
      <c r="I455" s="219">
        <f ca="1"/>
        <v>29</v>
      </c>
      <c r="J455" s="219">
        <f ca="1"/>
        <v>186</v>
      </c>
      <c r="K455" s="219">
        <f ca="1"/>
        <v>400</v>
      </c>
      <c r="L455" s="219">
        <f ca="1"/>
        <v>4800</v>
      </c>
      <c r="M455" s="219">
        <f ca="1"/>
        <v>5</v>
      </c>
      <c r="N455" s="212" t="str">
        <f ca="1"/>
        <v>Day</v>
      </c>
      <c r="O455" s="220">
        <f ca="1"/>
        <v>0.92307692307692313</v>
      </c>
      <c r="P455" s="221">
        <f ca="1"/>
        <v>5200</v>
      </c>
      <c r="Q455" s="221">
        <f ca="1"/>
        <v>0</v>
      </c>
    </row>
    <row r="456" spans="1:17" ht="18" customHeight="1">
      <c r="A456" s="212" t="str">
        <f ca="1"/>
        <v>C39-JULY</v>
      </c>
      <c r="B456" s="218">
        <f ca="1"/>
        <v>46223</v>
      </c>
      <c r="C456" s="212" t="str">
        <f ca="1"/>
        <v>1,2,3,4</v>
      </c>
      <c r="D456" s="212" t="str">
        <f ca="1"/>
        <v>C39</v>
      </c>
      <c r="E456" s="212" t="str">
        <f ca="1"/>
        <v>khapli</v>
      </c>
      <c r="F456" s="219">
        <f ca="1"/>
        <v>11500</v>
      </c>
      <c r="G456" s="219">
        <f ca="1"/>
        <v>160</v>
      </c>
      <c r="H456" s="219">
        <f ca="1"/>
        <v>519</v>
      </c>
      <c r="I456" s="219">
        <f ca="1"/>
        <v>42</v>
      </c>
      <c r="J456" s="219">
        <f ca="1"/>
        <v>279</v>
      </c>
      <c r="K456" s="219">
        <f ca="1"/>
        <v>1000</v>
      </c>
      <c r="L456" s="219">
        <f ca="1"/>
        <v>10500</v>
      </c>
      <c r="M456" s="219">
        <f ca="1"/>
        <v>5</v>
      </c>
      <c r="N456" s="212" t="str">
        <f ca="1"/>
        <v>Day</v>
      </c>
      <c r="O456" s="220">
        <f ca="1"/>
        <v>0.91304347826086951</v>
      </c>
      <c r="P456" s="221">
        <f ca="1"/>
        <v>11500</v>
      </c>
      <c r="Q456" s="221">
        <f ca="1"/>
        <v>0</v>
      </c>
    </row>
    <row r="457" spans="1:17" ht="18" customHeight="1">
      <c r="A457" s="212" t="str">
        <f ca="1"/>
        <v>C39-JULY</v>
      </c>
      <c r="B457" s="218">
        <f ca="1"/>
        <v>46224</v>
      </c>
      <c r="C457" s="212" t="str">
        <f ca="1"/>
        <v>1,2,3,4</v>
      </c>
      <c r="D457" s="212" t="str">
        <f ca="1"/>
        <v>C39</v>
      </c>
      <c r="E457" s="212" t="str">
        <f ca="1"/>
        <v>khapli</v>
      </c>
      <c r="F457" s="219">
        <f ca="1"/>
        <v>9120</v>
      </c>
      <c r="G457" s="219">
        <f ca="1"/>
        <v>55</v>
      </c>
      <c r="H457" s="219">
        <f ca="1"/>
        <v>114</v>
      </c>
      <c r="I457" s="219">
        <f ca="1"/>
        <v>25</v>
      </c>
      <c r="J457" s="219">
        <f ca="1"/>
        <v>406</v>
      </c>
      <c r="K457" s="219">
        <f ca="1"/>
        <v>600</v>
      </c>
      <c r="L457" s="219">
        <f ca="1"/>
        <v>8520</v>
      </c>
      <c r="M457" s="219">
        <f ca="1"/>
        <v>5</v>
      </c>
      <c r="N457" s="212" t="str">
        <f ca="1"/>
        <v>Day</v>
      </c>
      <c r="O457" s="220">
        <f ca="1"/>
        <v>0.93421052631578949</v>
      </c>
      <c r="P457" s="221">
        <f ca="1"/>
        <v>9120</v>
      </c>
      <c r="Q457" s="221">
        <f ca="1"/>
        <v>0</v>
      </c>
    </row>
    <row r="458" spans="1:17" ht="18" customHeight="1">
      <c r="A458" s="212" t="str">
        <f ca="1"/>
        <v>C39-JULY</v>
      </c>
      <c r="B458" s="218">
        <f ca="1"/>
        <v>46224</v>
      </c>
      <c r="C458" s="212" t="str">
        <f ca="1"/>
        <v>1,2,3,4</v>
      </c>
      <c r="D458" s="212" t="str">
        <f ca="1"/>
        <v>C39</v>
      </c>
      <c r="E458" s="212" t="str">
        <f ca="1"/>
        <v>khapli</v>
      </c>
      <c r="F458" s="219">
        <f ca="1"/>
        <v>3550</v>
      </c>
      <c r="G458" s="219">
        <f ca="1"/>
        <v>28</v>
      </c>
      <c r="H458" s="219">
        <f ca="1"/>
        <v>140</v>
      </c>
      <c r="I458" s="219">
        <f ca="1"/>
        <v>24</v>
      </c>
      <c r="J458" s="219">
        <f ca="1"/>
        <v>108</v>
      </c>
      <c r="K458" s="219">
        <f ca="1"/>
        <v>300</v>
      </c>
      <c r="L458" s="219">
        <f ca="1"/>
        <v>3250</v>
      </c>
      <c r="M458" s="219">
        <f ca="1"/>
        <v>5</v>
      </c>
      <c r="N458" s="212" t="str">
        <f ca="1"/>
        <v>Night</v>
      </c>
      <c r="O458" s="220">
        <f ca="1"/>
        <v>0.91549295774647887</v>
      </c>
      <c r="P458" s="221">
        <f ca="1"/>
        <v>3550</v>
      </c>
      <c r="Q458" s="221">
        <f ca="1"/>
        <v>0</v>
      </c>
    </row>
    <row r="459" spans="1:17" ht="18" customHeight="1">
      <c r="A459" s="212" t="str">
        <f ca="1"/>
        <v>C39-JULY</v>
      </c>
      <c r="B459" s="218">
        <f ca="1"/>
        <v>46225</v>
      </c>
      <c r="C459" s="212" t="str">
        <f ca="1"/>
        <v>1,2,3,4</v>
      </c>
      <c r="D459" s="212" t="str">
        <f ca="1"/>
        <v>C39</v>
      </c>
      <c r="E459" s="212" t="str">
        <f ca="1"/>
        <v>multgrain</v>
      </c>
      <c r="F459" s="219">
        <f ca="1"/>
        <v>9200</v>
      </c>
      <c r="G459" s="219">
        <f ca="1"/>
        <v>0</v>
      </c>
      <c r="H459" s="219">
        <f ca="1"/>
        <v>551</v>
      </c>
      <c r="I459" s="219">
        <f ca="1"/>
        <v>88</v>
      </c>
      <c r="J459" s="219">
        <f ca="1"/>
        <v>161</v>
      </c>
      <c r="K459" s="219">
        <f ca="1"/>
        <v>800</v>
      </c>
      <c r="L459" s="219">
        <f ca="1"/>
        <v>8400</v>
      </c>
      <c r="M459" s="219">
        <f ca="1"/>
        <v>8</v>
      </c>
      <c r="N459" s="212" t="str">
        <f ca="1"/>
        <v>Day</v>
      </c>
      <c r="O459" s="220">
        <f ca="1"/>
        <v>0.91304347826086951</v>
      </c>
      <c r="P459" s="221">
        <f ca="1"/>
        <v>9200</v>
      </c>
      <c r="Q459" s="221">
        <f ca="1"/>
        <v>0</v>
      </c>
    </row>
    <row r="460" spans="1:17" ht="18" customHeight="1">
      <c r="A460" s="212" t="str">
        <f ca="1"/>
        <v>C39-JULY</v>
      </c>
      <c r="B460" s="218">
        <f ca="1"/>
        <v>46226</v>
      </c>
      <c r="C460" s="212" t="str">
        <f ca="1"/>
        <v>1,2,3,4</v>
      </c>
      <c r="D460" s="212" t="str">
        <f ca="1"/>
        <v>C39</v>
      </c>
      <c r="E460" s="212" t="str">
        <f ca="1"/>
        <v>multgrain</v>
      </c>
      <c r="F460" s="219">
        <f ca="1"/>
        <v>7850</v>
      </c>
      <c r="G460" s="219">
        <f ca="1"/>
        <v>30</v>
      </c>
      <c r="H460" s="219">
        <f ca="1"/>
        <v>498</v>
      </c>
      <c r="I460" s="219">
        <f ca="1"/>
        <v>53</v>
      </c>
      <c r="J460" s="219">
        <f ca="1"/>
        <v>219</v>
      </c>
      <c r="K460" s="219">
        <f ca="1"/>
        <v>800</v>
      </c>
      <c r="L460" s="219">
        <f ca="1"/>
        <v>7050</v>
      </c>
      <c r="M460" s="219">
        <f ca="1"/>
        <v>7</v>
      </c>
      <c r="N460" s="212" t="str">
        <f ca="1"/>
        <v>DAY</v>
      </c>
      <c r="O460" s="220">
        <f ca="1"/>
        <v>0.89808917197452232</v>
      </c>
      <c r="P460" s="221">
        <f ca="1"/>
        <v>7850</v>
      </c>
      <c r="Q460" s="221">
        <f ca="1"/>
        <v>0</v>
      </c>
    </row>
    <row r="461" spans="1:17" ht="18" customHeight="1">
      <c r="A461" s="212" t="str">
        <f ca="1"/>
        <v>C39-JULY</v>
      </c>
      <c r="B461" s="218">
        <f ca="1"/>
        <v>46227</v>
      </c>
      <c r="C461" s="212" t="str">
        <f ca="1"/>
        <v>1,2,3,4</v>
      </c>
      <c r="D461" s="212" t="str">
        <f ca="1"/>
        <v>C39</v>
      </c>
      <c r="E461" s="212" t="str">
        <f ca="1"/>
        <v>multgrain</v>
      </c>
      <c r="F461" s="219">
        <f ca="1"/>
        <v>4880</v>
      </c>
      <c r="G461" s="219">
        <f ca="1"/>
        <v>18</v>
      </c>
      <c r="H461" s="219">
        <f ca="1"/>
        <v>197</v>
      </c>
      <c r="I461" s="219">
        <f ca="1"/>
        <v>26</v>
      </c>
      <c r="J461" s="219">
        <f ca="1"/>
        <v>149</v>
      </c>
      <c r="K461" s="219">
        <f ca="1"/>
        <v>390</v>
      </c>
      <c r="L461" s="219">
        <f ca="1"/>
        <v>4490</v>
      </c>
      <c r="M461" s="219">
        <f ca="1"/>
        <v>5</v>
      </c>
      <c r="N461" s="212" t="str">
        <f ca="1"/>
        <v>Day</v>
      </c>
      <c r="O461" s="220">
        <f ca="1"/>
        <v>0.92008196721311475</v>
      </c>
      <c r="P461" s="221">
        <f ca="1"/>
        <v>4880</v>
      </c>
      <c r="Q461" s="221">
        <f ca="1"/>
        <v>0</v>
      </c>
    </row>
    <row r="462" spans="1:17" ht="18" customHeight="1">
      <c r="A462" s="212" t="str">
        <f ca="1"/>
        <v>C39-JULY</v>
      </c>
      <c r="B462" s="218">
        <f ca="1"/>
        <v>46228</v>
      </c>
      <c r="C462" s="212" t="str">
        <f ca="1"/>
        <v>1,2,3,4</v>
      </c>
      <c r="D462" s="212" t="str">
        <f ca="1"/>
        <v>C39</v>
      </c>
      <c r="E462" s="212" t="str">
        <f ca="1"/>
        <v>multgrain</v>
      </c>
      <c r="F462" s="219">
        <f ca="1"/>
        <v>3800</v>
      </c>
      <c r="G462" s="219">
        <f ca="1"/>
        <v>15</v>
      </c>
      <c r="H462" s="219">
        <f ca="1"/>
        <v>208</v>
      </c>
      <c r="I462" s="219">
        <f ca="1"/>
        <v>11</v>
      </c>
      <c r="J462" s="219">
        <f ca="1"/>
        <v>100</v>
      </c>
      <c r="K462" s="219">
        <f ca="1"/>
        <v>334</v>
      </c>
      <c r="L462" s="219">
        <f ca="1"/>
        <v>3466</v>
      </c>
      <c r="M462" s="219">
        <f ca="1"/>
        <v>5</v>
      </c>
      <c r="N462" s="212" t="str">
        <f ca="1"/>
        <v>Day</v>
      </c>
      <c r="O462" s="220">
        <f ca="1"/>
        <v>0.91210526315789475</v>
      </c>
      <c r="P462" s="221">
        <f ca="1"/>
        <v>3800</v>
      </c>
      <c r="Q462" s="221">
        <f ca="1"/>
        <v>0</v>
      </c>
    </row>
    <row r="463" spans="1:17" ht="18" customHeight="1">
      <c r="A463" s="212" t="str">
        <f ca="1"/>
        <v>C39-JULY</v>
      </c>
      <c r="B463" s="218">
        <f ca="1"/>
        <v>46230</v>
      </c>
      <c r="C463" s="212" t="str">
        <f ca="1"/>
        <v>1,2,3,4</v>
      </c>
      <c r="D463" s="212" t="str">
        <f ca="1"/>
        <v>C39</v>
      </c>
      <c r="E463" s="212" t="str">
        <f ca="1"/>
        <v>multgrain</v>
      </c>
      <c r="F463" s="219">
        <f ca="1"/>
        <v>6600</v>
      </c>
      <c r="G463" s="219">
        <f ca="1"/>
        <v>10</v>
      </c>
      <c r="H463" s="219">
        <f ca="1"/>
        <v>226</v>
      </c>
      <c r="I463" s="219">
        <f ca="1"/>
        <v>26</v>
      </c>
      <c r="J463" s="219">
        <f ca="1"/>
        <v>138</v>
      </c>
      <c r="K463" s="219">
        <f ca="1"/>
        <v>400</v>
      </c>
      <c r="L463" s="219">
        <f ca="1"/>
        <v>6200</v>
      </c>
      <c r="M463" s="219">
        <f ca="1"/>
        <v>5</v>
      </c>
      <c r="N463" s="212" t="str">
        <f ca="1"/>
        <v>Day</v>
      </c>
      <c r="O463" s="220">
        <f ca="1"/>
        <v>0.93939393939393945</v>
      </c>
      <c r="P463" s="221">
        <f ca="1"/>
        <v>6600</v>
      </c>
      <c r="Q463" s="221">
        <f ca="1"/>
        <v>0</v>
      </c>
    </row>
    <row r="464" spans="1:17" ht="18" customHeight="1">
      <c r="A464" s="212" t="str">
        <f ca="1"/>
        <v>C39-JULY</v>
      </c>
      <c r="B464" s="218">
        <f ca="1"/>
        <v>46231</v>
      </c>
      <c r="C464" s="212" t="str">
        <f ca="1"/>
        <v>1,2,3,4</v>
      </c>
      <c r="D464" s="212" t="str">
        <f ca="1"/>
        <v>C39</v>
      </c>
      <c r="E464" s="212" t="str">
        <f ca="1"/>
        <v>multgrain</v>
      </c>
      <c r="F464" s="219">
        <f ca="1"/>
        <v>3900</v>
      </c>
      <c r="G464" s="219">
        <f ca="1"/>
        <v>12</v>
      </c>
      <c r="H464" s="219">
        <f ca="1"/>
        <v>165</v>
      </c>
      <c r="I464" s="219">
        <f ca="1"/>
        <v>18</v>
      </c>
      <c r="J464" s="219">
        <f ca="1"/>
        <v>135</v>
      </c>
      <c r="K464" s="219">
        <f ca="1"/>
        <v>330</v>
      </c>
      <c r="L464" s="219">
        <f ca="1"/>
        <v>3570</v>
      </c>
      <c r="M464" s="219">
        <f ca="1"/>
        <v>5</v>
      </c>
      <c r="N464" s="212" t="str">
        <f ca="1"/>
        <v>DAY</v>
      </c>
      <c r="O464" s="220">
        <f ca="1"/>
        <v>0.91538461538461535</v>
      </c>
      <c r="P464" s="221">
        <f ca="1"/>
        <v>3900</v>
      </c>
      <c r="Q464" s="221">
        <f ca="1"/>
        <v>0</v>
      </c>
    </row>
    <row r="465" spans="1:17" ht="18" customHeight="1">
      <c r="A465" s="212" t="str">
        <f ca="1"/>
        <v>C39-JULY</v>
      </c>
      <c r="B465" s="218">
        <f ca="1"/>
        <v>46232</v>
      </c>
      <c r="C465" s="212" t="str">
        <f ca="1"/>
        <v>1,2,3,4</v>
      </c>
      <c r="D465" s="212" t="str">
        <f ca="1"/>
        <v>C39</v>
      </c>
      <c r="E465" s="212" t="str">
        <f ca="1"/>
        <v>multgrain</v>
      </c>
      <c r="F465" s="219">
        <f ca="1"/>
        <v>6600</v>
      </c>
      <c r="G465" s="219">
        <f ca="1"/>
        <v>14</v>
      </c>
      <c r="H465" s="219">
        <f ca="1"/>
        <v>178</v>
      </c>
      <c r="I465" s="219">
        <f ca="1"/>
        <v>28</v>
      </c>
      <c r="J465" s="219">
        <f ca="1"/>
        <v>180</v>
      </c>
      <c r="K465" s="219">
        <f ca="1"/>
        <v>400</v>
      </c>
      <c r="L465" s="219">
        <f ca="1"/>
        <v>6200</v>
      </c>
      <c r="M465" s="219">
        <f ca="1"/>
        <v>7</v>
      </c>
      <c r="N465" s="212" t="str">
        <f ca="1"/>
        <v>DAY</v>
      </c>
      <c r="O465" s="220">
        <f ca="1"/>
        <v>0.93939393939393945</v>
      </c>
      <c r="P465" s="221">
        <f ca="1"/>
        <v>6600</v>
      </c>
      <c r="Q465" s="221">
        <f ca="1"/>
        <v>0</v>
      </c>
    </row>
    <row r="466" spans="1:17" ht="18" customHeight="1">
      <c r="A466" s="212" t="str">
        <f ca="1"/>
        <v>C39-JULY</v>
      </c>
      <c r="B466" s="218">
        <f ca="1"/>
        <v>46233</v>
      </c>
      <c r="C466" s="212" t="str">
        <f ca="1"/>
        <v>1,2,3,4</v>
      </c>
      <c r="D466" s="212" t="str">
        <f ca="1"/>
        <v>C39</v>
      </c>
      <c r="E466" s="212" t="str">
        <f ca="1"/>
        <v>multgrain</v>
      </c>
      <c r="F466" s="219">
        <f ca="1"/>
        <v>8250</v>
      </c>
      <c r="G466" s="219">
        <f ca="1"/>
        <v>28</v>
      </c>
      <c r="H466" s="219">
        <f ca="1"/>
        <v>497</v>
      </c>
      <c r="I466" s="219">
        <f ca="1"/>
        <v>39</v>
      </c>
      <c r="J466" s="219">
        <f ca="1"/>
        <v>186</v>
      </c>
      <c r="K466" s="219">
        <f ca="1"/>
        <v>750</v>
      </c>
      <c r="L466" s="219">
        <f ca="1"/>
        <v>7500</v>
      </c>
      <c r="M466" s="219">
        <f ca="1"/>
        <v>7</v>
      </c>
      <c r="N466" s="212" t="str">
        <f ca="1"/>
        <v>Day</v>
      </c>
      <c r="O466" s="220">
        <f ca="1"/>
        <v>0.90909090909090906</v>
      </c>
      <c r="P466" s="221">
        <f ca="1"/>
        <v>8250</v>
      </c>
      <c r="Q466" s="221">
        <f ca="1"/>
        <v>0</v>
      </c>
    </row>
    <row r="467" spans="1:17" ht="18" customHeight="1">
      <c r="A467" s="212" t="str">
        <f ca="1"/>
        <v>C39-JULY</v>
      </c>
      <c r="B467" s="218">
        <f ca="1"/>
        <v>46234</v>
      </c>
      <c r="C467" s="212" t="str">
        <f ca="1"/>
        <v>1,2,3,4</v>
      </c>
      <c r="D467" s="212" t="str">
        <f ca="1"/>
        <v>C39</v>
      </c>
      <c r="E467" s="212" t="str">
        <f ca="1"/>
        <v>multgrain</v>
      </c>
      <c r="F467" s="219">
        <f ca="1"/>
        <v>3950</v>
      </c>
      <c r="G467" s="219">
        <f ca="1"/>
        <v>25</v>
      </c>
      <c r="H467" s="219">
        <f ca="1"/>
        <v>246</v>
      </c>
      <c r="I467" s="219">
        <f ca="1"/>
        <v>27</v>
      </c>
      <c r="J467" s="219">
        <f ca="1"/>
        <v>52</v>
      </c>
      <c r="K467" s="219">
        <f ca="1"/>
        <v>350</v>
      </c>
      <c r="L467" s="219">
        <f ca="1"/>
        <v>3600</v>
      </c>
      <c r="M467" s="219">
        <f ca="1"/>
        <v>7</v>
      </c>
      <c r="N467" s="212" t="str">
        <f ca="1"/>
        <v>day</v>
      </c>
      <c r="O467" s="220">
        <f ca="1"/>
        <v>0.91139240506329111</v>
      </c>
      <c r="P467" s="221">
        <f ca="1"/>
        <v>3950</v>
      </c>
      <c r="Q467" s="221">
        <f ca="1"/>
        <v>0</v>
      </c>
    </row>
    <row r="468" spans="1:17" ht="18" customHeight="1">
      <c r="A468" s="212" t="str">
        <f ca="1"/>
        <v>C6-AUG</v>
      </c>
      <c r="B468" s="218">
        <f ca="1"/>
        <v>46235</v>
      </c>
      <c r="C468" s="212" t="str">
        <f ca="1"/>
        <v>chakki1,2,3</v>
      </c>
      <c r="D468" s="212" t="str">
        <f ca="1"/>
        <v>C6 New Plant</v>
      </c>
      <c r="E468" s="212" t="str">
        <f ca="1"/>
        <v>Khapli Protein Grains</v>
      </c>
      <c r="F468" s="219">
        <f ca="1"/>
        <v>2570.5</v>
      </c>
      <c r="G468" s="219">
        <f ca="1"/>
        <v>0</v>
      </c>
      <c r="H468" s="219">
        <f ca="1"/>
        <v>82</v>
      </c>
      <c r="I468" s="219">
        <f ca="1"/>
        <v>3</v>
      </c>
      <c r="J468" s="219">
        <f ca="1"/>
        <v>76.5</v>
      </c>
      <c r="K468" s="219">
        <f ca="1"/>
        <v>161.5</v>
      </c>
      <c r="L468" s="219">
        <f ca="1"/>
        <v>2409</v>
      </c>
      <c r="M468" s="219">
        <f ca="1"/>
        <v>3</v>
      </c>
      <c r="N468" s="212" t="str">
        <f ca="1"/>
        <v>Day</v>
      </c>
      <c r="O468" s="220">
        <f ca="1"/>
        <v>0.9371717564676133</v>
      </c>
      <c r="P468" s="221">
        <f ca="1"/>
        <v>2570.5</v>
      </c>
      <c r="Q468" s="221">
        <f ca="1"/>
        <v>0</v>
      </c>
    </row>
    <row r="469" spans="1:17" ht="18" customHeight="1">
      <c r="A469" s="212" t="str">
        <f ca="1"/>
        <v>C6-AUG</v>
      </c>
      <c r="B469" s="218">
        <f ca="1"/>
        <v>46235</v>
      </c>
      <c r="C469" s="212" t="str">
        <f ca="1"/>
        <v>chakki1,2,3</v>
      </c>
      <c r="D469" s="212" t="str">
        <f ca="1"/>
        <v>C6 Old Plant</v>
      </c>
      <c r="E469" s="212" t="str">
        <f ca="1"/>
        <v>Jowar Grains</v>
      </c>
      <c r="F469" s="219">
        <f ca="1"/>
        <v>914</v>
      </c>
      <c r="G469" s="219">
        <f ca="1"/>
        <v>0</v>
      </c>
      <c r="H469" s="219">
        <f ca="1"/>
        <v>12</v>
      </c>
      <c r="I469" s="219">
        <f ca="1"/>
        <v>2</v>
      </c>
      <c r="J469" s="219">
        <f ca="1"/>
        <v>60</v>
      </c>
      <c r="K469" s="219">
        <f ca="1"/>
        <v>74</v>
      </c>
      <c r="L469" s="219">
        <f ca="1"/>
        <v>840</v>
      </c>
      <c r="M469" s="219">
        <f ca="1"/>
        <v>3</v>
      </c>
      <c r="N469" s="212" t="str">
        <f ca="1"/>
        <v>Day</v>
      </c>
      <c r="O469" s="220">
        <f ca="1"/>
        <v>0.91903719912472648</v>
      </c>
      <c r="P469" s="221">
        <f ca="1"/>
        <v>914</v>
      </c>
      <c r="Q469" s="221">
        <f ca="1"/>
        <v>0</v>
      </c>
    </row>
    <row r="470" spans="1:17" ht="18" customHeight="1">
      <c r="A470" s="212" t="str">
        <f ca="1"/>
        <v>C6-AUG</v>
      </c>
      <c r="B470" s="218">
        <f ca="1"/>
        <v>46237</v>
      </c>
      <c r="C470" s="212" t="str">
        <f ca="1"/>
        <v>chakki1,2,3</v>
      </c>
      <c r="D470" s="212" t="str">
        <f ca="1"/>
        <v>C6 New Plant</v>
      </c>
      <c r="E470" s="212" t="str">
        <f ca="1"/>
        <v>Khapli Protein Grains</v>
      </c>
      <c r="F470" s="219">
        <f ca="1"/>
        <v>3977</v>
      </c>
      <c r="G470" s="219">
        <f ca="1"/>
        <v>0</v>
      </c>
      <c r="H470" s="219">
        <f ca="1"/>
        <v>123</v>
      </c>
      <c r="I470" s="219">
        <f ca="1"/>
        <v>3</v>
      </c>
      <c r="J470" s="219">
        <f ca="1"/>
        <v>161</v>
      </c>
      <c r="K470" s="219">
        <f ca="1"/>
        <v>287</v>
      </c>
      <c r="L470" s="219">
        <f ca="1"/>
        <v>3690</v>
      </c>
      <c r="M470" s="219">
        <f ca="1"/>
        <v>2</v>
      </c>
      <c r="N470" s="212" t="str">
        <f ca="1"/>
        <v>Day</v>
      </c>
      <c r="O470" s="220">
        <f ca="1"/>
        <v>0.92783505154639179</v>
      </c>
      <c r="P470" s="221">
        <f ca="1"/>
        <v>3977</v>
      </c>
      <c r="Q470" s="221">
        <f ca="1"/>
        <v>0</v>
      </c>
    </row>
    <row r="471" spans="1:17" ht="18" customHeight="1">
      <c r="A471" s="212" t="str">
        <f ca="1"/>
        <v>C6-AUG</v>
      </c>
      <c r="B471" s="218">
        <f ca="1"/>
        <v>46237</v>
      </c>
      <c r="C471" s="212" t="str">
        <f ca="1"/>
        <v>chakki1,2,3</v>
      </c>
      <c r="D471" s="212" t="str">
        <f ca="1"/>
        <v>C6 Old Plant</v>
      </c>
      <c r="E471" s="212" t="str">
        <f ca="1"/>
        <v>Jowar Grains</v>
      </c>
      <c r="F471" s="219">
        <f ca="1"/>
        <v>850</v>
      </c>
      <c r="G471" s="219">
        <f ca="1"/>
        <v>0</v>
      </c>
      <c r="H471" s="219">
        <f ca="1"/>
        <v>3</v>
      </c>
      <c r="I471" s="219">
        <f ca="1"/>
        <v>1</v>
      </c>
      <c r="J471" s="219">
        <f ca="1"/>
        <v>31</v>
      </c>
      <c r="K471" s="219">
        <f ca="1"/>
        <v>35</v>
      </c>
      <c r="L471" s="219">
        <f ca="1"/>
        <v>815</v>
      </c>
      <c r="M471" s="219">
        <f ca="1"/>
        <v>2</v>
      </c>
      <c r="N471" s="212" t="str">
        <f ca="1"/>
        <v>Day</v>
      </c>
      <c r="O471" s="220">
        <f ca="1"/>
        <v>0.95882352941176474</v>
      </c>
      <c r="P471" s="221">
        <f ca="1"/>
        <v>850</v>
      </c>
      <c r="Q471" s="221">
        <f ca="1"/>
        <v>0</v>
      </c>
    </row>
    <row r="472" spans="1:17" ht="18" customHeight="1">
      <c r="A472" s="212" t="str">
        <f ca="1"/>
        <v>C6-AUG</v>
      </c>
      <c r="B472" s="218">
        <f ca="1"/>
        <v>46238</v>
      </c>
      <c r="C472" s="212" t="str">
        <f ca="1"/>
        <v>chakki1,2,3</v>
      </c>
      <c r="D472" s="212" t="str">
        <f ca="1"/>
        <v>C6 New Plant</v>
      </c>
      <c r="E472" s="212" t="str">
        <f ca="1"/>
        <v>Khapli Protein Grains</v>
      </c>
      <c r="F472" s="219">
        <f ca="1"/>
        <v>3977</v>
      </c>
      <c r="G472" s="219">
        <f ca="1"/>
        <v>1</v>
      </c>
      <c r="H472" s="219">
        <f ca="1"/>
        <v>111</v>
      </c>
      <c r="I472" s="219">
        <f ca="1"/>
        <v>3</v>
      </c>
      <c r="J472" s="219">
        <f ca="1"/>
        <v>112</v>
      </c>
      <c r="K472" s="219">
        <f ca="1"/>
        <v>227</v>
      </c>
      <c r="L472" s="219">
        <f ca="1"/>
        <v>3750</v>
      </c>
      <c r="M472" s="219">
        <f ca="1"/>
        <v>3</v>
      </c>
      <c r="N472" s="212" t="str">
        <f ca="1"/>
        <v>Day</v>
      </c>
      <c r="O472" s="220">
        <f ca="1"/>
        <v>0.94292180035202411</v>
      </c>
      <c r="P472" s="221">
        <f ca="1"/>
        <v>3977</v>
      </c>
      <c r="Q472" s="221">
        <f ca="1"/>
        <v>0</v>
      </c>
    </row>
    <row r="473" spans="1:17" ht="18" customHeight="1">
      <c r="A473" s="212" t="str">
        <f ca="1"/>
        <v>C6-AUG</v>
      </c>
      <c r="B473" s="218">
        <f ca="1"/>
        <v>46238</v>
      </c>
      <c r="C473" s="212" t="str">
        <f ca="1"/>
        <v>chakki1,2,3</v>
      </c>
      <c r="D473" s="212" t="str">
        <f ca="1"/>
        <v>C6 Old Plant</v>
      </c>
      <c r="E473" s="212" t="str">
        <f ca="1"/>
        <v>Jowar Grains</v>
      </c>
      <c r="F473" s="219">
        <f ca="1"/>
        <v>1600</v>
      </c>
      <c r="G473" s="219">
        <f ca="1"/>
        <v>0</v>
      </c>
      <c r="H473" s="219">
        <f ca="1"/>
        <v>6</v>
      </c>
      <c r="I473" s="219">
        <f ca="1"/>
        <v>2</v>
      </c>
      <c r="J473" s="219">
        <f ca="1"/>
        <v>48</v>
      </c>
      <c r="K473" s="219">
        <f ca="1"/>
        <v>56</v>
      </c>
      <c r="L473" s="219">
        <f ca="1"/>
        <v>1544</v>
      </c>
      <c r="M473" s="219">
        <f ca="1"/>
        <v>3</v>
      </c>
      <c r="N473" s="212" t="str">
        <f ca="1"/>
        <v>Day</v>
      </c>
      <c r="O473" s="220">
        <f ca="1"/>
        <v>0.96499999999999997</v>
      </c>
      <c r="P473" s="221">
        <f ca="1"/>
        <v>1600</v>
      </c>
      <c r="Q473" s="221">
        <f ca="1"/>
        <v>0</v>
      </c>
    </row>
    <row r="474" spans="1:17" ht="18" customHeight="1">
      <c r="A474" s="212" t="str">
        <f ca="1"/>
        <v>C6-AUG</v>
      </c>
      <c r="B474" s="218">
        <f ca="1"/>
        <v>46239</v>
      </c>
      <c r="C474" s="212" t="str">
        <f ca="1"/>
        <v>chakki1,2,3</v>
      </c>
      <c r="D474" s="212" t="str">
        <f ca="1"/>
        <v>C6 Old Plant</v>
      </c>
      <c r="E474" s="212" t="str">
        <f ca="1"/>
        <v>Khapli Protein Grains</v>
      </c>
      <c r="F474" s="219">
        <f ca="1"/>
        <v>4462</v>
      </c>
      <c r="G474" s="219">
        <f ca="1"/>
        <v>1</v>
      </c>
      <c r="H474" s="219">
        <f ca="1"/>
        <v>173</v>
      </c>
      <c r="I474" s="219">
        <f ca="1"/>
        <v>2</v>
      </c>
      <c r="J474" s="219">
        <f ca="1"/>
        <v>193</v>
      </c>
      <c r="K474" s="219">
        <f ca="1"/>
        <v>369</v>
      </c>
      <c r="L474" s="219">
        <f ca="1"/>
        <v>4093</v>
      </c>
      <c r="M474" s="219">
        <f ca="1"/>
        <v>3</v>
      </c>
      <c r="N474" s="212" t="str">
        <f ca="1"/>
        <v>Day</v>
      </c>
      <c r="O474" s="220">
        <f ca="1"/>
        <v>0.91730165844912592</v>
      </c>
      <c r="P474" s="221">
        <f ca="1"/>
        <v>4462</v>
      </c>
      <c r="Q474" s="221">
        <f ca="1"/>
        <v>0</v>
      </c>
    </row>
    <row r="475" spans="1:17" ht="18" customHeight="1">
      <c r="A475" s="212" t="str">
        <f ca="1"/>
        <v>C6-AUG</v>
      </c>
      <c r="B475" s="218">
        <f ca="1"/>
        <v>46241</v>
      </c>
      <c r="C475" s="212" t="str">
        <f ca="1"/>
        <v>chakki1,2,3</v>
      </c>
      <c r="D475" s="212" t="str">
        <f ca="1"/>
        <v>C6 New Plant</v>
      </c>
      <c r="E475" s="212" t="str">
        <f ca="1"/>
        <v>Khapli Protein Grains 60%</v>
      </c>
      <c r="F475" s="219">
        <f ca="1"/>
        <v>2565</v>
      </c>
      <c r="G475" s="219">
        <f ca="1"/>
        <v>1</v>
      </c>
      <c r="H475" s="219">
        <f ca="1"/>
        <v>91</v>
      </c>
      <c r="I475" s="219">
        <f ca="1"/>
        <v>2</v>
      </c>
      <c r="J475" s="219">
        <f ca="1"/>
        <v>31</v>
      </c>
      <c r="K475" s="219">
        <f ca="1"/>
        <v>125</v>
      </c>
      <c r="L475" s="219">
        <f ca="1"/>
        <v>2440</v>
      </c>
      <c r="M475" s="219">
        <f ca="1"/>
        <v>3</v>
      </c>
      <c r="N475" s="212" t="str">
        <f ca="1"/>
        <v>Day</v>
      </c>
      <c r="O475" s="220">
        <f ca="1"/>
        <v>0.95126705653021437</v>
      </c>
      <c r="P475" s="221">
        <f ca="1"/>
        <v>2565</v>
      </c>
      <c r="Q475" s="221">
        <f ca="1"/>
        <v>0</v>
      </c>
    </row>
    <row r="476" spans="1:17" ht="18" customHeight="1">
      <c r="A476" s="212" t="str">
        <f ca="1"/>
        <v>C6-AUG</v>
      </c>
      <c r="B476" s="218">
        <f ca="1"/>
        <v>46241</v>
      </c>
      <c r="C476" s="212" t="str">
        <f ca="1"/>
        <v>chakki1,2,3</v>
      </c>
      <c r="D476" s="212" t="str">
        <f ca="1"/>
        <v>C6 New Plant</v>
      </c>
      <c r="E476" s="212" t="str">
        <f ca="1"/>
        <v>Khapli Protein Grains</v>
      </c>
      <c r="F476" s="219">
        <f ca="1"/>
        <v>1697.5</v>
      </c>
      <c r="G476" s="219">
        <f ca="1"/>
        <v>0</v>
      </c>
      <c r="H476" s="219">
        <f ca="1"/>
        <v>56</v>
      </c>
      <c r="I476" s="219">
        <f ca="1"/>
        <v>2</v>
      </c>
      <c r="J476" s="219">
        <f ca="1"/>
        <v>83.5</v>
      </c>
      <c r="K476" s="219">
        <f ca="1"/>
        <v>141.5</v>
      </c>
      <c r="L476" s="219">
        <f ca="1"/>
        <v>1556</v>
      </c>
      <c r="M476" s="219">
        <f ca="1"/>
        <v>3</v>
      </c>
      <c r="N476" s="212" t="str">
        <f ca="1"/>
        <v>Day</v>
      </c>
      <c r="O476" s="220">
        <f ca="1"/>
        <v>0.91664212076583207</v>
      </c>
      <c r="P476" s="221">
        <f ca="1"/>
        <v>1697.5</v>
      </c>
      <c r="Q476" s="221">
        <f ca="1"/>
        <v>0</v>
      </c>
    </row>
    <row r="477" spans="1:17" ht="18" customHeight="1">
      <c r="A477" s="212" t="str">
        <f ca="1"/>
        <v>C6-AUG</v>
      </c>
      <c r="B477" s="218">
        <f ca="1"/>
        <v>46242</v>
      </c>
      <c r="C477" s="212" t="str">
        <f ca="1"/>
        <v>chakki1,2,3</v>
      </c>
      <c r="D477" s="212" t="str">
        <f ca="1"/>
        <v>C6 New Plant</v>
      </c>
      <c r="E477" s="212" t="str">
        <f ca="1"/>
        <v>Khapli Protein Grains 60%</v>
      </c>
      <c r="F477" s="219">
        <f ca="1"/>
        <v>2422.5</v>
      </c>
      <c r="G477" s="219">
        <f ca="1"/>
        <v>0</v>
      </c>
      <c r="H477" s="219">
        <f ca="1"/>
        <v>52</v>
      </c>
      <c r="I477" s="219">
        <f ca="1"/>
        <v>2</v>
      </c>
      <c r="J477" s="219">
        <f ca="1"/>
        <v>59.5</v>
      </c>
      <c r="K477" s="219">
        <f ca="1"/>
        <v>113.5</v>
      </c>
      <c r="L477" s="219">
        <f ca="1"/>
        <v>2309</v>
      </c>
      <c r="M477" s="219">
        <f ca="1"/>
        <v>3</v>
      </c>
      <c r="N477" s="212" t="str">
        <f ca="1"/>
        <v>Day</v>
      </c>
      <c r="O477" s="220">
        <f ca="1"/>
        <v>0.95314757481940149</v>
      </c>
      <c r="P477" s="221">
        <f ca="1"/>
        <v>2422.5</v>
      </c>
      <c r="Q477" s="221">
        <f ca="1"/>
        <v>0</v>
      </c>
    </row>
    <row r="478" spans="1:17" ht="18" customHeight="1">
      <c r="A478" s="212" t="str">
        <f ca="1"/>
        <v>C6-AUG</v>
      </c>
      <c r="B478" s="218">
        <f ca="1"/>
        <v>46242</v>
      </c>
      <c r="C478" s="212" t="str">
        <f ca="1"/>
        <v>chakki1,2,3</v>
      </c>
      <c r="D478" s="212" t="str">
        <f ca="1"/>
        <v>C6 Old Plant</v>
      </c>
      <c r="E478" s="212" t="str">
        <f ca="1"/>
        <v>Khapli Protein Grains</v>
      </c>
      <c r="F478" s="219">
        <f ca="1"/>
        <v>1503.5</v>
      </c>
      <c r="G478" s="219">
        <f ca="1"/>
        <v>1</v>
      </c>
      <c r="H478" s="219">
        <f ca="1"/>
        <v>49</v>
      </c>
      <c r="I478" s="219">
        <f ca="1"/>
        <v>2</v>
      </c>
      <c r="J478" s="219">
        <f ca="1"/>
        <v>59.5</v>
      </c>
      <c r="K478" s="219">
        <f ca="1"/>
        <v>111.5</v>
      </c>
      <c r="L478" s="219">
        <f ca="1"/>
        <v>1392</v>
      </c>
      <c r="M478" s="219">
        <f ca="1"/>
        <v>3</v>
      </c>
      <c r="N478" s="212" t="str">
        <f ca="1"/>
        <v>Day</v>
      </c>
      <c r="O478" s="220">
        <f ca="1"/>
        <v>0.92583970734951782</v>
      </c>
      <c r="P478" s="221">
        <f ca="1"/>
        <v>1503.5</v>
      </c>
      <c r="Q478" s="221">
        <f ca="1"/>
        <v>0</v>
      </c>
    </row>
    <row r="479" spans="1:17" ht="18" customHeight="1">
      <c r="A479" s="212" t="str">
        <f ca="1"/>
        <v>C6-AUG</v>
      </c>
      <c r="B479" s="218">
        <f ca="1"/>
        <v>46243</v>
      </c>
      <c r="C479" s="212" t="str">
        <f ca="1"/>
        <v>chakki1,2,3</v>
      </c>
      <c r="D479" s="212" t="str">
        <f ca="1"/>
        <v>C6 Old Plant</v>
      </c>
      <c r="E479" s="212" t="str">
        <f ca="1"/>
        <v>Khapli Protein Grains</v>
      </c>
      <c r="F479" s="219">
        <f ca="1"/>
        <v>3201</v>
      </c>
      <c r="G479" s="219">
        <f ca="1"/>
        <v>1</v>
      </c>
      <c r="H479" s="219">
        <f ca="1"/>
        <v>63</v>
      </c>
      <c r="I479" s="219">
        <f ca="1"/>
        <v>6</v>
      </c>
      <c r="J479" s="219">
        <f ca="1"/>
        <v>185</v>
      </c>
      <c r="K479" s="219">
        <f ca="1"/>
        <v>255</v>
      </c>
      <c r="L479" s="219">
        <f ca="1"/>
        <v>2946</v>
      </c>
      <c r="M479" s="219">
        <f ca="1"/>
        <v>3</v>
      </c>
      <c r="N479" s="212" t="str">
        <f ca="1"/>
        <v>Day</v>
      </c>
      <c r="O479" s="220">
        <f ca="1"/>
        <v>0.92033739456419872</v>
      </c>
      <c r="P479" s="221">
        <f ca="1"/>
        <v>3201</v>
      </c>
      <c r="Q479" s="221">
        <f ca="1"/>
        <v>0</v>
      </c>
    </row>
    <row r="480" spans="1:17" ht="18" customHeight="1">
      <c r="A480" s="212" t="str">
        <f ca="1"/>
        <v>C6-AUG</v>
      </c>
      <c r="B480" s="218">
        <f ca="1"/>
        <v>46244</v>
      </c>
      <c r="C480" s="212" t="str">
        <f ca="1"/>
        <v>chakki1,2,3</v>
      </c>
      <c r="D480" s="212" t="str">
        <f ca="1"/>
        <v>C6 New Plant</v>
      </c>
      <c r="E480" s="212" t="str">
        <f ca="1"/>
        <v>Khapli Protein Grains</v>
      </c>
      <c r="F480" s="219">
        <f ca="1"/>
        <v>4025.5</v>
      </c>
      <c r="G480" s="219">
        <f ca="1"/>
        <v>1</v>
      </c>
      <c r="H480" s="219">
        <f ca="1"/>
        <v>101</v>
      </c>
      <c r="I480" s="219">
        <f ca="1"/>
        <v>3</v>
      </c>
      <c r="J480" s="219">
        <f ca="1"/>
        <v>141.5</v>
      </c>
      <c r="K480" s="219">
        <f ca="1"/>
        <v>246.5</v>
      </c>
      <c r="L480" s="219">
        <f ca="1"/>
        <v>3779</v>
      </c>
      <c r="M480" s="219">
        <f ca="1"/>
        <v>3</v>
      </c>
      <c r="N480" s="212" t="str">
        <f ca="1"/>
        <v>Day</v>
      </c>
      <c r="O480" s="220">
        <f ca="1"/>
        <v>0.9387653707613961</v>
      </c>
      <c r="P480" s="221">
        <f ca="1"/>
        <v>4025.5</v>
      </c>
      <c r="Q480" s="221">
        <f ca="1"/>
        <v>0</v>
      </c>
    </row>
    <row r="481" spans="1:17" ht="18" customHeight="1">
      <c r="A481" s="212" t="str">
        <f ca="1"/>
        <v>C6-AUG</v>
      </c>
      <c r="B481" s="218">
        <f ca="1"/>
        <v>46245</v>
      </c>
      <c r="C481" s="212" t="str">
        <f ca="1"/>
        <v>chakki1,2,3</v>
      </c>
      <c r="D481" s="212" t="str">
        <f ca="1"/>
        <v>C6 New Plant</v>
      </c>
      <c r="E481" s="212" t="str">
        <f ca="1"/>
        <v>Khapli Protein Grains</v>
      </c>
      <c r="F481" s="219">
        <f ca="1"/>
        <v>3783</v>
      </c>
      <c r="G481" s="219">
        <f ca="1"/>
        <v>1</v>
      </c>
      <c r="H481" s="219">
        <f ca="1"/>
        <v>106</v>
      </c>
      <c r="I481" s="219">
        <f ca="1"/>
        <v>2</v>
      </c>
      <c r="J481" s="219">
        <f ca="1"/>
        <v>66</v>
      </c>
      <c r="K481" s="219">
        <f ca="1"/>
        <v>175</v>
      </c>
      <c r="L481" s="219">
        <f ca="1"/>
        <v>3608</v>
      </c>
      <c r="M481" s="219">
        <f ca="1"/>
        <v>3</v>
      </c>
      <c r="N481" s="212" t="str">
        <f ca="1"/>
        <v>Day</v>
      </c>
      <c r="O481" s="220">
        <f ca="1"/>
        <v>0.95374041765794348</v>
      </c>
      <c r="P481" s="221">
        <f ca="1"/>
        <v>3783</v>
      </c>
      <c r="Q481" s="221">
        <f ca="1"/>
        <v>0</v>
      </c>
    </row>
    <row r="482" spans="1:17" ht="18" customHeight="1">
      <c r="A482" s="212" t="str">
        <f ca="1"/>
        <v>C6-AUG</v>
      </c>
      <c r="B482" s="218">
        <f ca="1"/>
        <v>46246</v>
      </c>
      <c r="C482" s="212" t="str">
        <f ca="1"/>
        <v>chakki1,2,3</v>
      </c>
      <c r="D482" s="212" t="str">
        <f ca="1"/>
        <v>C6 New Plant</v>
      </c>
      <c r="E482" s="212" t="str">
        <f ca="1"/>
        <v>Khapli Protein Grains</v>
      </c>
      <c r="F482" s="219">
        <f ca="1"/>
        <v>3346.5</v>
      </c>
      <c r="G482" s="219">
        <f ca="1"/>
        <v>1</v>
      </c>
      <c r="H482" s="219">
        <f ca="1"/>
        <v>74</v>
      </c>
      <c r="I482" s="219">
        <f ca="1"/>
        <v>2</v>
      </c>
      <c r="J482" s="219">
        <f ca="1"/>
        <v>149.5</v>
      </c>
      <c r="K482" s="219">
        <f ca="1"/>
        <v>226.5</v>
      </c>
      <c r="L482" s="219">
        <f ca="1"/>
        <v>3120</v>
      </c>
      <c r="M482" s="219">
        <f ca="1"/>
        <v>4</v>
      </c>
      <c r="N482" s="212" t="str">
        <f ca="1"/>
        <v>Day</v>
      </c>
      <c r="O482" s="220">
        <f ca="1"/>
        <v>0.93231734648139852</v>
      </c>
      <c r="P482" s="221">
        <f ca="1"/>
        <v>3346.5</v>
      </c>
      <c r="Q482" s="221">
        <f ca="1"/>
        <v>0</v>
      </c>
    </row>
    <row r="483" spans="1:17" ht="18" customHeight="1">
      <c r="A483" s="212" t="str">
        <f ca="1"/>
        <v>C6-AUG</v>
      </c>
      <c r="B483" s="218">
        <f ca="1"/>
        <v>46246</v>
      </c>
      <c r="C483" s="212" t="str">
        <f ca="1"/>
        <v>chakki1,2,3</v>
      </c>
      <c r="D483" s="212" t="str">
        <f ca="1"/>
        <v>C6 Old Plant</v>
      </c>
      <c r="E483" s="212" t="str">
        <f ca="1"/>
        <v>Khapli Protein Grains</v>
      </c>
      <c r="F483" s="219">
        <f ca="1"/>
        <v>1406.5</v>
      </c>
      <c r="G483" s="219">
        <f ca="1"/>
        <v>0</v>
      </c>
      <c r="H483" s="219">
        <f ca="1"/>
        <v>12</v>
      </c>
      <c r="I483" s="219">
        <f ca="1"/>
        <v>2</v>
      </c>
      <c r="J483" s="219">
        <f ca="1"/>
        <v>55.5</v>
      </c>
      <c r="K483" s="219">
        <f ca="1"/>
        <v>69.5</v>
      </c>
      <c r="L483" s="219">
        <f ca="1"/>
        <v>1337</v>
      </c>
      <c r="M483" s="219">
        <f ca="1"/>
        <v>4</v>
      </c>
      <c r="N483" s="212" t="str">
        <f ca="1"/>
        <v>Day</v>
      </c>
      <c r="O483" s="220">
        <f ca="1"/>
        <v>0.9505865623889086</v>
      </c>
      <c r="P483" s="221">
        <f ca="1"/>
        <v>1406.5</v>
      </c>
      <c r="Q483" s="221">
        <f ca="1"/>
        <v>0</v>
      </c>
    </row>
    <row r="484" spans="1:17" ht="18" customHeight="1">
      <c r="A484" s="212" t="str">
        <f ca="1"/>
        <v>C6-AUG</v>
      </c>
      <c r="B484" s="218">
        <f ca="1"/>
        <v>46247</v>
      </c>
      <c r="C484" s="212" t="str">
        <f ca="1"/>
        <v>chakki1,2,3</v>
      </c>
      <c r="D484" s="212" t="str">
        <f ca="1"/>
        <v>C6 New Plant</v>
      </c>
      <c r="E484" s="212" t="str">
        <f ca="1"/>
        <v>Khapli Protein Grains 60%</v>
      </c>
      <c r="F484" s="219">
        <f ca="1"/>
        <v>1615</v>
      </c>
      <c r="G484" s="219">
        <f ca="1"/>
        <v>2</v>
      </c>
      <c r="H484" s="219">
        <f ca="1"/>
        <v>23</v>
      </c>
      <c r="I484" s="219">
        <f ca="1"/>
        <v>1</v>
      </c>
      <c r="J484" s="219">
        <f ca="1"/>
        <v>69</v>
      </c>
      <c r="K484" s="219">
        <f ca="1"/>
        <v>95</v>
      </c>
      <c r="L484" s="219">
        <f ca="1"/>
        <v>1520</v>
      </c>
      <c r="M484" s="219">
        <f ca="1"/>
        <v>4</v>
      </c>
      <c r="N484" s="212" t="str">
        <f ca="1"/>
        <v>Day</v>
      </c>
      <c r="O484" s="220">
        <f ca="1"/>
        <v>0.94117647058823528</v>
      </c>
      <c r="P484" s="221">
        <f ca="1"/>
        <v>1615</v>
      </c>
      <c r="Q484" s="221">
        <f ca="1"/>
        <v>0</v>
      </c>
    </row>
    <row r="485" spans="1:17" ht="18" customHeight="1">
      <c r="A485" s="212" t="str">
        <f ca="1"/>
        <v>C6-AUG</v>
      </c>
      <c r="B485" s="218">
        <f ca="1"/>
        <v>46248</v>
      </c>
      <c r="C485" s="212" t="str">
        <f ca="1"/>
        <v>chakki1,2,3</v>
      </c>
      <c r="D485" s="212" t="str">
        <f ca="1"/>
        <v>C6 Old Plant</v>
      </c>
      <c r="E485" s="212" t="str">
        <f ca="1"/>
        <v>Khapli Protein Grains</v>
      </c>
      <c r="F485" s="219">
        <f ca="1"/>
        <v>630.5</v>
      </c>
      <c r="G485" s="219">
        <f ca="1"/>
        <v>0</v>
      </c>
      <c r="H485" s="219">
        <f ca="1"/>
        <v>4</v>
      </c>
      <c r="I485" s="219">
        <f ca="1"/>
        <v>1</v>
      </c>
      <c r="J485" s="219">
        <f ca="1"/>
        <v>27.5</v>
      </c>
      <c r="K485" s="219">
        <f ca="1"/>
        <v>32.5</v>
      </c>
      <c r="L485" s="219">
        <f ca="1"/>
        <v>598</v>
      </c>
      <c r="M485" s="219">
        <f ca="1"/>
        <v>3</v>
      </c>
      <c r="N485" s="212" t="str">
        <f ca="1"/>
        <v>Day</v>
      </c>
      <c r="O485" s="220">
        <f ca="1"/>
        <v>0.94845360824742264</v>
      </c>
      <c r="P485" s="221">
        <f ca="1"/>
        <v>630.5</v>
      </c>
      <c r="Q485" s="221">
        <f ca="1"/>
        <v>0</v>
      </c>
    </row>
    <row r="486" spans="1:17" ht="18" customHeight="1">
      <c r="A486" s="212" t="str">
        <f ca="1"/>
        <v>C6-AUG</v>
      </c>
      <c r="B486" s="218">
        <f ca="1"/>
        <v>46248</v>
      </c>
      <c r="C486" s="212" t="str">
        <f ca="1"/>
        <v>chakki1,2,3</v>
      </c>
      <c r="D486" s="212" t="str">
        <f ca="1"/>
        <v>C6 New Plant</v>
      </c>
      <c r="E486" s="212" t="str">
        <f ca="1"/>
        <v>Khapli Protein Grains</v>
      </c>
      <c r="F486" s="219">
        <f ca="1"/>
        <v>4171</v>
      </c>
      <c r="G486" s="219">
        <f ca="1"/>
        <v>0</v>
      </c>
      <c r="H486" s="219">
        <f ca="1"/>
        <v>130</v>
      </c>
      <c r="I486" s="219">
        <f ca="1"/>
        <v>2</v>
      </c>
      <c r="J486" s="219">
        <f ca="1"/>
        <v>98</v>
      </c>
      <c r="K486" s="219">
        <f ca="1"/>
        <v>230</v>
      </c>
      <c r="L486" s="219">
        <f ca="1"/>
        <v>3941</v>
      </c>
      <c r="M486" s="219">
        <f ca="1"/>
        <v>3</v>
      </c>
      <c r="N486" s="212" t="str">
        <f ca="1"/>
        <v>Day</v>
      </c>
      <c r="O486" s="220">
        <f ca="1"/>
        <v>0.94485734835770796</v>
      </c>
      <c r="P486" s="221">
        <f ca="1"/>
        <v>4171</v>
      </c>
      <c r="Q486" s="221">
        <f ca="1"/>
        <v>0</v>
      </c>
    </row>
    <row r="487" spans="1:17" ht="18" customHeight="1">
      <c r="A487" s="212" t="str">
        <f ca="1"/>
        <v>C6-AUG</v>
      </c>
      <c r="B487" s="218">
        <f ca="1"/>
        <v>46248</v>
      </c>
      <c r="C487" s="212" t="str">
        <f ca="1"/>
        <v>chakki1,2,3</v>
      </c>
      <c r="D487" s="212" t="str">
        <f ca="1"/>
        <v>C6 Old Plant</v>
      </c>
      <c r="E487" s="212" t="str">
        <f ca="1"/>
        <v>khapli atta</v>
      </c>
      <c r="F487" s="219">
        <f ca="1"/>
        <v>150</v>
      </c>
      <c r="G487" s="219">
        <f ca="1"/>
        <v>0</v>
      </c>
      <c r="H487" s="219">
        <f ca="1"/>
        <v>0</v>
      </c>
      <c r="I487" s="219">
        <f ca="1"/>
        <v>0</v>
      </c>
      <c r="J487" s="219">
        <f ca="1"/>
        <v>13</v>
      </c>
      <c r="K487" s="219">
        <f ca="1"/>
        <v>13</v>
      </c>
      <c r="L487" s="219">
        <f ca="1"/>
        <v>137</v>
      </c>
      <c r="M487" s="219">
        <f ca="1"/>
        <v>1</v>
      </c>
      <c r="N487" s="212" t="str">
        <f ca="1"/>
        <v>Day</v>
      </c>
      <c r="O487" s="220">
        <f ca="1"/>
        <v>0.91333333333333333</v>
      </c>
      <c r="P487" s="221">
        <f ca="1"/>
        <v>150</v>
      </c>
      <c r="Q487" s="221">
        <f ca="1"/>
        <v>0</v>
      </c>
    </row>
    <row r="488" spans="1:17" ht="18" customHeight="1">
      <c r="A488" s="212" t="str">
        <f ca="1"/>
        <v>C6-AUG</v>
      </c>
      <c r="B488" s="218">
        <f ca="1"/>
        <v>46251</v>
      </c>
      <c r="C488" s="212" t="str">
        <f ca="1"/>
        <v>chakki1,2,3</v>
      </c>
      <c r="D488" s="212" t="str">
        <f ca="1"/>
        <v>C6 New Plant</v>
      </c>
      <c r="E488" s="212" t="str">
        <f ca="1"/>
        <v>Khapli Protein Grains</v>
      </c>
      <c r="F488" s="219">
        <f ca="1"/>
        <v>2958.5</v>
      </c>
      <c r="G488" s="219">
        <f ca="1"/>
        <v>0</v>
      </c>
      <c r="H488" s="219">
        <f ca="1"/>
        <v>70</v>
      </c>
      <c r="I488" s="219">
        <f ca="1"/>
        <v>3</v>
      </c>
      <c r="J488" s="219">
        <f ca="1"/>
        <v>85.5</v>
      </c>
      <c r="K488" s="219">
        <f ca="1"/>
        <v>158.5</v>
      </c>
      <c r="L488" s="219">
        <f ca="1"/>
        <v>2800</v>
      </c>
      <c r="M488" s="219">
        <f ca="1"/>
        <v>1</v>
      </c>
      <c r="N488" s="212" t="str">
        <f ca="1"/>
        <v>Day</v>
      </c>
      <c r="O488" s="220">
        <f ca="1"/>
        <v>0.94642555348994428</v>
      </c>
      <c r="P488" s="221">
        <f ca="1"/>
        <v>2958.5</v>
      </c>
      <c r="Q488" s="221">
        <f ca="1"/>
        <v>0</v>
      </c>
    </row>
    <row r="489" spans="1:17" ht="18" customHeight="1">
      <c r="A489" s="212" t="str">
        <f ca="1"/>
        <v>C6-AUG</v>
      </c>
      <c r="B489" s="218">
        <f ca="1"/>
        <v>46251</v>
      </c>
      <c r="C489" s="212" t="str">
        <f ca="1"/>
        <v>chakki1,2,3</v>
      </c>
      <c r="D489" s="212" t="str">
        <f ca="1"/>
        <v>C6 Old Plant</v>
      </c>
      <c r="E489" s="212" t="str">
        <f ca="1"/>
        <v>khapli atta</v>
      </c>
      <c r="F489" s="219">
        <f ca="1"/>
        <v>3400</v>
      </c>
      <c r="G489" s="219">
        <f ca="1"/>
        <v>0</v>
      </c>
      <c r="H489" s="219">
        <f ca="1"/>
        <v>22</v>
      </c>
      <c r="I489" s="219">
        <f ca="1"/>
        <v>3</v>
      </c>
      <c r="J489" s="219">
        <f ca="1"/>
        <v>197</v>
      </c>
      <c r="K489" s="219">
        <f ca="1"/>
        <v>222</v>
      </c>
      <c r="L489" s="219">
        <f ca="1"/>
        <v>3178</v>
      </c>
      <c r="M489" s="219">
        <f ca="1"/>
        <v>4</v>
      </c>
      <c r="N489" s="212" t="str">
        <f ca="1"/>
        <v>Day</v>
      </c>
      <c r="O489" s="220">
        <f ca="1"/>
        <v>0.93470588235294116</v>
      </c>
      <c r="P489" s="221">
        <f ca="1"/>
        <v>3400</v>
      </c>
      <c r="Q489" s="221">
        <f ca="1"/>
        <v>0</v>
      </c>
    </row>
    <row r="490" spans="1:17" ht="18" customHeight="1">
      <c r="A490" s="212" t="str">
        <f ca="1"/>
        <v>C6-AUG</v>
      </c>
      <c r="B490" s="218">
        <f ca="1"/>
        <v>46252</v>
      </c>
      <c r="C490" s="212" t="str">
        <f ca="1"/>
        <v>chakki1,2,3</v>
      </c>
      <c r="D490" s="212" t="str">
        <f ca="1"/>
        <v>C6 New Plant</v>
      </c>
      <c r="E490" s="212" t="str">
        <f ca="1"/>
        <v>khapli atta</v>
      </c>
      <c r="F490" s="219">
        <f ca="1"/>
        <v>3850</v>
      </c>
      <c r="G490" s="219">
        <f ca="1"/>
        <v>1</v>
      </c>
      <c r="H490" s="219">
        <f ca="1"/>
        <v>30</v>
      </c>
      <c r="I490" s="219">
        <f ca="1"/>
        <v>3</v>
      </c>
      <c r="J490" s="219">
        <f ca="1"/>
        <v>176</v>
      </c>
      <c r="K490" s="219">
        <f ca="1"/>
        <v>210</v>
      </c>
      <c r="L490" s="219">
        <f ca="1"/>
        <v>3640</v>
      </c>
      <c r="M490" s="219">
        <f ca="1"/>
        <v>4</v>
      </c>
      <c r="N490" s="212" t="str">
        <f ca="1"/>
        <v>Day</v>
      </c>
      <c r="O490" s="220">
        <f ca="1"/>
        <v>0.94545454545454544</v>
      </c>
      <c r="P490" s="221">
        <f ca="1"/>
        <v>3850</v>
      </c>
      <c r="Q490" s="221">
        <f ca="1"/>
        <v>0</v>
      </c>
    </row>
    <row r="491" spans="1:17" ht="18" customHeight="1">
      <c r="A491" s="212" t="str">
        <f ca="1"/>
        <v>C6-AUG</v>
      </c>
      <c r="B491" s="218">
        <f ca="1"/>
        <v>46252</v>
      </c>
      <c r="C491" s="212" t="str">
        <f ca="1"/>
        <v>chakki1,2,3</v>
      </c>
      <c r="D491" s="212" t="str">
        <f ca="1"/>
        <v>C6 New Plant</v>
      </c>
      <c r="E491" s="212" t="str">
        <f ca="1"/>
        <v>Khapli Protein Grains</v>
      </c>
      <c r="F491" s="219">
        <f ca="1"/>
        <v>3637</v>
      </c>
      <c r="G491" s="219">
        <f ca="1"/>
        <v>1</v>
      </c>
      <c r="H491" s="219">
        <f ca="1"/>
        <v>147</v>
      </c>
      <c r="I491" s="219">
        <f ca="1"/>
        <v>3</v>
      </c>
      <c r="J491" s="219">
        <f ca="1"/>
        <v>132</v>
      </c>
      <c r="K491" s="219">
        <f ca="1"/>
        <v>283</v>
      </c>
      <c r="L491" s="219">
        <f ca="1"/>
        <v>3354</v>
      </c>
      <c r="M491" s="219">
        <f ca="1"/>
        <v>4</v>
      </c>
      <c r="N491" s="212" t="str">
        <f ca="1"/>
        <v>Day</v>
      </c>
      <c r="O491" s="220">
        <f ca="1"/>
        <v>0.92218861699202637</v>
      </c>
      <c r="P491" s="221">
        <f ca="1"/>
        <v>3637</v>
      </c>
      <c r="Q491" s="221">
        <f ca="1"/>
        <v>0</v>
      </c>
    </row>
    <row r="492" spans="1:17" ht="18" customHeight="1">
      <c r="A492" s="212" t="str">
        <f ca="1"/>
        <v>C6-AUG</v>
      </c>
      <c r="B492" s="218">
        <f ca="1"/>
        <v>46253</v>
      </c>
      <c r="C492" s="212" t="str">
        <f ca="1"/>
        <v>chakki1,2,3</v>
      </c>
      <c r="D492" s="212" t="str">
        <f ca="1"/>
        <v>C6 Old Plant</v>
      </c>
      <c r="E492" s="212" t="str">
        <f ca="1"/>
        <v>khapli atta</v>
      </c>
      <c r="F492" s="219">
        <f ca="1"/>
        <v>3000</v>
      </c>
      <c r="G492" s="219">
        <f ca="1"/>
        <v>1</v>
      </c>
      <c r="H492" s="219">
        <f ca="1"/>
        <v>125</v>
      </c>
      <c r="I492" s="219">
        <f ca="1"/>
        <v>2</v>
      </c>
      <c r="J492" s="219">
        <f ca="1"/>
        <v>72</v>
      </c>
      <c r="K492" s="219">
        <f ca="1"/>
        <v>200</v>
      </c>
      <c r="L492" s="219">
        <f ca="1"/>
        <v>2800</v>
      </c>
      <c r="M492" s="219">
        <f ca="1"/>
        <v>4</v>
      </c>
      <c r="N492" s="212" t="str">
        <f ca="1"/>
        <v>Day</v>
      </c>
      <c r="O492" s="220">
        <f ca="1"/>
        <v>0.93333333333333335</v>
      </c>
      <c r="P492" s="221">
        <f ca="1"/>
        <v>3000</v>
      </c>
      <c r="Q492" s="221">
        <f ca="1"/>
        <v>0</v>
      </c>
    </row>
    <row r="493" spans="1:17" ht="18" customHeight="1">
      <c r="A493" s="212" t="str">
        <f ca="1"/>
        <v>C6-AUG</v>
      </c>
      <c r="B493" s="218">
        <f ca="1"/>
        <v>46254</v>
      </c>
      <c r="C493" s="212" t="str">
        <f ca="1"/>
        <v>chakki1,2,3</v>
      </c>
      <c r="D493" s="212" t="str">
        <f ca="1"/>
        <v>C6 Old Plant</v>
      </c>
      <c r="E493" s="212" t="str">
        <f ca="1"/>
        <v>Jowar Grains</v>
      </c>
      <c r="F493" s="219">
        <f ca="1"/>
        <v>950</v>
      </c>
      <c r="G493" s="219">
        <f ca="1"/>
        <v>1</v>
      </c>
      <c r="H493" s="219">
        <f ca="1"/>
        <v>12</v>
      </c>
      <c r="I493" s="219">
        <f ca="1"/>
        <v>1</v>
      </c>
      <c r="J493" s="219">
        <f ca="1"/>
        <v>52</v>
      </c>
      <c r="K493" s="219">
        <f ca="1"/>
        <v>66</v>
      </c>
      <c r="L493" s="219">
        <f ca="1"/>
        <v>884</v>
      </c>
      <c r="M493" s="219">
        <f ca="1"/>
        <v>3</v>
      </c>
      <c r="N493" s="212" t="str">
        <f ca="1"/>
        <v>Day</v>
      </c>
      <c r="O493" s="220">
        <f ca="1"/>
        <v>0.93052631578947365</v>
      </c>
      <c r="P493" s="221">
        <f ca="1"/>
        <v>950</v>
      </c>
      <c r="Q493" s="221">
        <f ca="1"/>
        <v>0</v>
      </c>
    </row>
    <row r="494" spans="1:17" ht="18" customHeight="1">
      <c r="A494" s="212" t="str">
        <f ca="1"/>
        <v>C6-AUG</v>
      </c>
      <c r="B494" s="218">
        <f ca="1"/>
        <v>46255</v>
      </c>
      <c r="C494" s="212" t="str">
        <f ca="1"/>
        <v>chakki1,2,3</v>
      </c>
      <c r="D494" s="212" t="str">
        <f ca="1"/>
        <v>C6 New Plant</v>
      </c>
      <c r="E494" s="212" t="str">
        <f ca="1"/>
        <v>Khapli Protein Grains</v>
      </c>
      <c r="F494" s="219">
        <f ca="1"/>
        <v>3055.5</v>
      </c>
      <c r="G494" s="219">
        <f ca="1"/>
        <v>1</v>
      </c>
      <c r="H494" s="219">
        <f ca="1"/>
        <v>56</v>
      </c>
      <c r="I494" s="219">
        <f ca="1"/>
        <v>2</v>
      </c>
      <c r="J494" s="219">
        <f ca="1"/>
        <v>143.5</v>
      </c>
      <c r="K494" s="219">
        <f ca="1"/>
        <v>202.5</v>
      </c>
      <c r="L494" s="219">
        <f ca="1"/>
        <v>2853</v>
      </c>
      <c r="M494" s="219">
        <f ca="1"/>
        <v>4</v>
      </c>
      <c r="N494" s="212" t="str">
        <f ca="1"/>
        <v>Day</v>
      </c>
      <c r="O494" s="220">
        <f ca="1"/>
        <v>0.93372606774668632</v>
      </c>
      <c r="P494" s="221">
        <f ca="1"/>
        <v>3055.5</v>
      </c>
      <c r="Q494" s="221">
        <f ca="1"/>
        <v>0</v>
      </c>
    </row>
    <row r="495" spans="1:17" ht="18" customHeight="1">
      <c r="A495" s="212" t="str">
        <f ca="1"/>
        <v>C6-AUG</v>
      </c>
      <c r="B495" s="218">
        <f ca="1"/>
        <v>46256</v>
      </c>
      <c r="C495" s="212" t="str">
        <f ca="1"/>
        <v>chakki1,2,3</v>
      </c>
      <c r="D495" s="212" t="str">
        <f ca="1"/>
        <v>C6 New Plant</v>
      </c>
      <c r="E495" s="212" t="str">
        <f ca="1"/>
        <v>Khapli Protein Grains</v>
      </c>
      <c r="F495" s="219">
        <f ca="1"/>
        <v>4510.5</v>
      </c>
      <c r="G495" s="219">
        <f ca="1"/>
        <v>1</v>
      </c>
      <c r="H495" s="219">
        <f ca="1"/>
        <v>165</v>
      </c>
      <c r="I495" s="219">
        <f ca="1"/>
        <v>3</v>
      </c>
      <c r="J495" s="219">
        <f ca="1"/>
        <v>141.5</v>
      </c>
      <c r="K495" s="219">
        <f ca="1"/>
        <v>310.5</v>
      </c>
      <c r="L495" s="219">
        <f ca="1"/>
        <v>4200</v>
      </c>
      <c r="M495" s="219">
        <f ca="1"/>
        <v>4</v>
      </c>
      <c r="N495" s="212" t="str">
        <f ca="1"/>
        <v>Day</v>
      </c>
      <c r="O495" s="220">
        <f ca="1"/>
        <v>0.93116062520784837</v>
      </c>
      <c r="P495" s="221">
        <f ca="1"/>
        <v>4510.5</v>
      </c>
      <c r="Q495" s="221">
        <f ca="1"/>
        <v>0</v>
      </c>
    </row>
    <row r="496" spans="1:17" ht="18" customHeight="1">
      <c r="A496" s="212" t="str">
        <f ca="1"/>
        <v>C6-AUG</v>
      </c>
      <c r="B496" s="218">
        <f ca="1"/>
        <v>46258</v>
      </c>
      <c r="C496" s="212" t="str">
        <f ca="1"/>
        <v>chakki1,2,3</v>
      </c>
      <c r="D496" s="212" t="str">
        <f ca="1"/>
        <v>C6 New Plant</v>
      </c>
      <c r="E496" s="212" t="str">
        <f ca="1"/>
        <v>Khapli Protein Grains</v>
      </c>
      <c r="F496" s="219">
        <f ca="1"/>
        <v>2231</v>
      </c>
      <c r="G496" s="219">
        <f ca="1"/>
        <v>1</v>
      </c>
      <c r="H496" s="219">
        <f ca="1"/>
        <v>69</v>
      </c>
      <c r="I496" s="219">
        <f ca="1"/>
        <v>3</v>
      </c>
      <c r="J496" s="219">
        <f ca="1"/>
        <v>68</v>
      </c>
      <c r="K496" s="219">
        <f ca="1"/>
        <v>141</v>
      </c>
      <c r="L496" s="219">
        <f ca="1"/>
        <v>2090</v>
      </c>
      <c r="M496" s="219">
        <f ca="1"/>
        <v>4</v>
      </c>
      <c r="N496" s="212" t="str">
        <f ca="1"/>
        <v>Day</v>
      </c>
      <c r="O496" s="220">
        <f ca="1"/>
        <v>0.93679964141640515</v>
      </c>
      <c r="P496" s="221">
        <f ca="1"/>
        <v>2231</v>
      </c>
      <c r="Q496" s="221">
        <f ca="1"/>
        <v>0</v>
      </c>
    </row>
    <row r="497" spans="1:17" ht="18" customHeight="1">
      <c r="A497" s="212" t="str">
        <f ca="1"/>
        <v>C6-AUG</v>
      </c>
      <c r="B497" s="218">
        <f ca="1"/>
        <v>46258</v>
      </c>
      <c r="C497" s="212" t="str">
        <f ca="1"/>
        <v>chakki1,2,3</v>
      </c>
      <c r="D497" s="212" t="str">
        <f ca="1"/>
        <v>C6 Old Plant</v>
      </c>
      <c r="E497" s="212" t="str">
        <f ca="1"/>
        <v>khapli atta</v>
      </c>
      <c r="F497" s="219">
        <f ca="1"/>
        <v>450</v>
      </c>
      <c r="G497" s="219">
        <f ca="1"/>
        <v>0</v>
      </c>
      <c r="H497" s="219">
        <f ca="1"/>
        <v>5</v>
      </c>
      <c r="I497" s="219">
        <f ca="1"/>
        <v>1</v>
      </c>
      <c r="J497" s="219">
        <f ca="1"/>
        <v>35</v>
      </c>
      <c r="K497" s="219">
        <f ca="1"/>
        <v>41</v>
      </c>
      <c r="L497" s="219">
        <f ca="1"/>
        <v>409</v>
      </c>
      <c r="M497" s="219">
        <f ca="1"/>
        <v>4</v>
      </c>
      <c r="N497" s="212" t="str">
        <f ca="1"/>
        <v>Day</v>
      </c>
      <c r="O497" s="220">
        <f ca="1"/>
        <v>0.90888888888888886</v>
      </c>
      <c r="P497" s="221">
        <f ca="1"/>
        <v>450</v>
      </c>
      <c r="Q497" s="221">
        <f ca="1"/>
        <v>0</v>
      </c>
    </row>
    <row r="498" spans="1:17" ht="18" customHeight="1">
      <c r="A498" s="212" t="str">
        <f ca="1"/>
        <v>C6-AUG</v>
      </c>
      <c r="B498" s="218">
        <f ca="1"/>
        <v>46256</v>
      </c>
      <c r="C498" s="212" t="str">
        <f ca="1"/>
        <v>chakki1,2,3</v>
      </c>
      <c r="D498" s="212" t="str">
        <f ca="1"/>
        <v>C6 Old Plant</v>
      </c>
      <c r="E498" s="212" t="str">
        <f ca="1"/>
        <v>Khapli Protein Grains</v>
      </c>
      <c r="F498" s="219">
        <f ca="1"/>
        <v>4200</v>
      </c>
      <c r="G498" s="219">
        <f ca="1"/>
        <v>1</v>
      </c>
      <c r="H498" s="219">
        <f ca="1"/>
        <v>193</v>
      </c>
      <c r="I498" s="219">
        <f ca="1"/>
        <v>3</v>
      </c>
      <c r="J498" s="219">
        <f ca="1"/>
        <v>153</v>
      </c>
      <c r="K498" s="219">
        <f ca="1"/>
        <v>350</v>
      </c>
      <c r="L498" s="219">
        <f ca="1"/>
        <v>3850</v>
      </c>
      <c r="M498" s="219">
        <f ca="1"/>
        <v>4</v>
      </c>
      <c r="N498" s="212" t="str">
        <f ca="1"/>
        <v>Day</v>
      </c>
      <c r="O498" s="220">
        <f ca="1"/>
        <v>0.91666666666666663</v>
      </c>
      <c r="P498" s="221">
        <f ca="1"/>
        <v>4200</v>
      </c>
      <c r="Q498" s="221">
        <f ca="1"/>
        <v>0</v>
      </c>
    </row>
    <row r="499" spans="1:17" ht="18" customHeight="1">
      <c r="A499" s="212" t="str">
        <f ca="1"/>
        <v>C6-AUG</v>
      </c>
      <c r="B499" s="218">
        <f ca="1"/>
        <v>46259</v>
      </c>
      <c r="C499" s="212" t="str">
        <f ca="1"/>
        <v>chakki1,2,3</v>
      </c>
      <c r="D499" s="212" t="str">
        <f ca="1"/>
        <v>C6 New Plant</v>
      </c>
      <c r="E499" s="212" t="str">
        <f ca="1"/>
        <v>khapli atta</v>
      </c>
      <c r="F499" s="219">
        <f ca="1"/>
        <v>3100</v>
      </c>
      <c r="G499" s="219">
        <f ca="1"/>
        <v>1</v>
      </c>
      <c r="H499" s="219">
        <f ca="1"/>
        <v>54</v>
      </c>
      <c r="I499" s="219">
        <f ca="1"/>
        <v>2</v>
      </c>
      <c r="J499" s="219">
        <f ca="1"/>
        <v>89</v>
      </c>
      <c r="K499" s="219">
        <f ca="1"/>
        <v>146</v>
      </c>
      <c r="L499" s="219">
        <f ca="1"/>
        <v>2954</v>
      </c>
      <c r="M499" s="219">
        <f ca="1"/>
        <v>4</v>
      </c>
      <c r="N499" s="212" t="str">
        <f ca="1"/>
        <v>Day</v>
      </c>
      <c r="O499" s="220">
        <f ca="1"/>
        <v>0.95290322580645159</v>
      </c>
      <c r="P499" s="221">
        <f ca="1"/>
        <v>3100</v>
      </c>
      <c r="Q499" s="221">
        <f ca="1"/>
        <v>0</v>
      </c>
    </row>
    <row r="500" spans="1:17" ht="18" customHeight="1">
      <c r="A500" s="212" t="str">
        <f ca="1"/>
        <v>C6-AUG</v>
      </c>
      <c r="B500" s="218">
        <f ca="1"/>
        <v>46259</v>
      </c>
      <c r="C500" s="212" t="str">
        <f ca="1"/>
        <v>chakki1,2,3</v>
      </c>
      <c r="D500" s="212" t="str">
        <f ca="1"/>
        <v>C6 Old Plant</v>
      </c>
      <c r="E500" s="212" t="str">
        <f ca="1"/>
        <v>BAJARA ATTA</v>
      </c>
      <c r="F500" s="219">
        <f ca="1"/>
        <v>700</v>
      </c>
      <c r="G500" s="219">
        <f ca="1"/>
        <v>0</v>
      </c>
      <c r="H500" s="219">
        <f ca="1"/>
        <v>0</v>
      </c>
      <c r="I500" s="219">
        <f ca="1"/>
        <v>0.5</v>
      </c>
      <c r="J500" s="219">
        <f ca="1"/>
        <v>26.5</v>
      </c>
      <c r="K500" s="219">
        <f ca="1"/>
        <v>27</v>
      </c>
      <c r="L500" s="219">
        <f ca="1"/>
        <v>673</v>
      </c>
      <c r="M500" s="219">
        <f ca="1"/>
        <v>4</v>
      </c>
      <c r="N500" s="212" t="str">
        <f ca="1"/>
        <v>Day</v>
      </c>
      <c r="O500" s="220">
        <f ca="1"/>
        <v>0.96142857142857141</v>
      </c>
      <c r="P500" s="221">
        <f ca="1"/>
        <v>700</v>
      </c>
      <c r="Q500" s="221">
        <f ca="1"/>
        <v>0</v>
      </c>
    </row>
    <row r="501" spans="1:17" ht="18" customHeight="1">
      <c r="A501" s="212" t="str">
        <f ca="1"/>
        <v>C6-AUG</v>
      </c>
      <c r="B501" s="218">
        <f ca="1"/>
        <v>46260</v>
      </c>
      <c r="C501" s="212" t="str">
        <f ca="1"/>
        <v>chakki1,2,3</v>
      </c>
      <c r="D501" s="212" t="str">
        <f ca="1"/>
        <v>C6 New Plant</v>
      </c>
      <c r="E501" s="212" t="str">
        <f ca="1"/>
        <v>khapli atta</v>
      </c>
      <c r="F501" s="219">
        <f ca="1"/>
        <v>1700</v>
      </c>
      <c r="G501" s="219">
        <f ca="1"/>
        <v>0</v>
      </c>
      <c r="H501" s="219">
        <f ca="1"/>
        <v>29</v>
      </c>
      <c r="I501" s="219">
        <f ca="1"/>
        <v>1</v>
      </c>
      <c r="J501" s="219">
        <f ca="1"/>
        <v>65</v>
      </c>
      <c r="K501" s="219">
        <f ca="1"/>
        <v>95</v>
      </c>
      <c r="L501" s="219">
        <f ca="1"/>
        <v>1605</v>
      </c>
      <c r="M501" s="219">
        <f ca="1"/>
        <v>3</v>
      </c>
      <c r="N501" s="212" t="str">
        <f ca="1"/>
        <v>Day</v>
      </c>
      <c r="O501" s="220">
        <f ca="1"/>
        <v>0.94411764705882351</v>
      </c>
      <c r="P501" s="221">
        <f ca="1"/>
        <v>1700</v>
      </c>
      <c r="Q501" s="221">
        <f ca="1"/>
        <v>0</v>
      </c>
    </row>
    <row r="502" spans="1:17" ht="18" customHeight="1">
      <c r="A502" s="212" t="str">
        <f ca="1"/>
        <v>C6-AUG</v>
      </c>
      <c r="B502" s="218">
        <f ca="1"/>
        <v>46260</v>
      </c>
      <c r="C502" s="212" t="str">
        <f ca="1"/>
        <v>chakki1,2,3</v>
      </c>
      <c r="D502" s="212" t="str">
        <f ca="1"/>
        <v>C6 Old Plant</v>
      </c>
      <c r="E502" s="212" t="str">
        <f ca="1"/>
        <v>Khapli Protein Grains</v>
      </c>
      <c r="F502" s="219">
        <f ca="1"/>
        <v>1843</v>
      </c>
      <c r="G502" s="219">
        <f ca="1"/>
        <v>1</v>
      </c>
      <c r="H502" s="219">
        <f ca="1"/>
        <v>51</v>
      </c>
      <c r="I502" s="219">
        <f ca="1"/>
        <v>2</v>
      </c>
      <c r="J502" s="219">
        <f ca="1"/>
        <v>115</v>
      </c>
      <c r="K502" s="219">
        <f ca="1"/>
        <v>169</v>
      </c>
      <c r="L502" s="219">
        <f ca="1"/>
        <v>1674</v>
      </c>
      <c r="M502" s="219">
        <f ca="1"/>
        <v>3</v>
      </c>
      <c r="N502" s="212" t="str">
        <f ca="1"/>
        <v>Day</v>
      </c>
      <c r="O502" s="220">
        <f ca="1"/>
        <v>0.90830168204015194</v>
      </c>
      <c r="P502" s="221">
        <f ca="1"/>
        <v>1843</v>
      </c>
      <c r="Q502" s="221">
        <f ca="1"/>
        <v>0</v>
      </c>
    </row>
    <row r="503" spans="1:17" ht="18" customHeight="1">
      <c r="A503" s="212" t="str">
        <f ca="1"/>
        <v>C6-AUG</v>
      </c>
      <c r="B503" s="218">
        <f ca="1"/>
        <v>46261</v>
      </c>
      <c r="C503" s="212" t="str">
        <f ca="1"/>
        <v>chakki1,2,3</v>
      </c>
      <c r="D503" s="212" t="str">
        <f ca="1"/>
        <v>C6 New Plant</v>
      </c>
      <c r="E503" s="212" t="str">
        <f ca="1"/>
        <v>Khapli Protein Grains</v>
      </c>
      <c r="F503" s="219">
        <f ca="1"/>
        <v>4607.5</v>
      </c>
      <c r="G503" s="219">
        <f ca="1"/>
        <v>1</v>
      </c>
      <c r="H503" s="219">
        <f ca="1"/>
        <v>192</v>
      </c>
      <c r="I503" s="219">
        <f ca="1"/>
        <v>3</v>
      </c>
      <c r="J503" s="219">
        <f ca="1"/>
        <v>177.5</v>
      </c>
      <c r="K503" s="219">
        <f ca="1"/>
        <v>373.5</v>
      </c>
      <c r="L503" s="219">
        <f ca="1"/>
        <v>4234</v>
      </c>
      <c r="M503" s="219">
        <f ca="1"/>
        <v>4</v>
      </c>
      <c r="N503" s="212" t="str">
        <f ca="1"/>
        <v>Day</v>
      </c>
      <c r="O503" s="220">
        <f ca="1"/>
        <v>0.91893651654910469</v>
      </c>
      <c r="P503" s="221">
        <f ca="1"/>
        <v>4607.5</v>
      </c>
      <c r="Q503" s="221">
        <f ca="1"/>
        <v>0</v>
      </c>
    </row>
    <row r="504" spans="1:17" ht="18" customHeight="1">
      <c r="A504" s="212" t="str">
        <f ca="1"/>
        <v>C6-AUG</v>
      </c>
      <c r="B504" s="218">
        <f ca="1"/>
        <v>46261</v>
      </c>
      <c r="C504" s="212" t="str">
        <f ca="1"/>
        <v>chakki1,2,3</v>
      </c>
      <c r="D504" s="212" t="str">
        <f ca="1"/>
        <v>C6 Old Plant</v>
      </c>
      <c r="E504" s="212" t="str">
        <f ca="1"/>
        <v>Jowar Grains</v>
      </c>
      <c r="F504" s="219">
        <f ca="1"/>
        <v>1000</v>
      </c>
      <c r="G504" s="219">
        <f ca="1"/>
        <v>0</v>
      </c>
      <c r="H504" s="219">
        <f ca="1"/>
        <v>6</v>
      </c>
      <c r="I504" s="219">
        <f ca="1"/>
        <v>1</v>
      </c>
      <c r="J504" s="219">
        <f ca="1"/>
        <v>46</v>
      </c>
      <c r="K504" s="219">
        <f ca="1"/>
        <v>53</v>
      </c>
      <c r="L504" s="219">
        <f ca="1"/>
        <v>947</v>
      </c>
      <c r="M504" s="219">
        <f ca="1"/>
        <v>5</v>
      </c>
      <c r="N504" s="212" t="str">
        <f ca="1"/>
        <v>Day</v>
      </c>
      <c r="O504" s="220">
        <f ca="1"/>
        <v>0.94699999999999995</v>
      </c>
      <c r="P504" s="221">
        <f ca="1"/>
        <v>1000</v>
      </c>
      <c r="Q504" s="221">
        <f ca="1"/>
        <v>0</v>
      </c>
    </row>
    <row r="505" spans="1:17" ht="18" customHeight="1">
      <c r="A505" s="212" t="str">
        <f ca="1"/>
        <v>C6-AUG</v>
      </c>
      <c r="B505" s="218">
        <f ca="1"/>
        <v>46262</v>
      </c>
      <c r="C505" s="212" t="str">
        <f ca="1"/>
        <v>chakki1,2,3</v>
      </c>
      <c r="D505" s="212" t="str">
        <f ca="1"/>
        <v>C6 New Plant</v>
      </c>
      <c r="E505" s="212" t="str">
        <f ca="1"/>
        <v>Khapli Protein Grains</v>
      </c>
      <c r="F505" s="219">
        <f ca="1"/>
        <v>3201</v>
      </c>
      <c r="G505" s="219">
        <f ca="1"/>
        <v>1</v>
      </c>
      <c r="H505" s="219">
        <f ca="1"/>
        <v>127</v>
      </c>
      <c r="I505" s="219">
        <f ca="1"/>
        <v>5</v>
      </c>
      <c r="J505" s="219">
        <f ca="1"/>
        <v>115</v>
      </c>
      <c r="K505" s="219">
        <f ca="1"/>
        <v>248</v>
      </c>
      <c r="L505" s="219">
        <f ca="1"/>
        <v>2953</v>
      </c>
      <c r="M505" s="219">
        <f ca="1"/>
        <v>3</v>
      </c>
      <c r="N505" s="212" t="str">
        <f ca="1"/>
        <v>Day</v>
      </c>
      <c r="O505" s="220">
        <f ca="1"/>
        <v>0.92252421118400496</v>
      </c>
      <c r="P505" s="221">
        <f ca="1"/>
        <v>3201</v>
      </c>
      <c r="Q505" s="221">
        <f ca="1"/>
        <v>0</v>
      </c>
    </row>
    <row r="506" spans="1:17" ht="18" customHeight="1">
      <c r="A506" s="212" t="str">
        <f ca="1"/>
        <v>C6-AUG</v>
      </c>
      <c r="B506" s="218">
        <f ca="1"/>
        <v>46263</v>
      </c>
      <c r="C506" s="212" t="str">
        <f ca="1"/>
        <v>chakki1,2,3</v>
      </c>
      <c r="D506" s="212" t="str">
        <f ca="1"/>
        <v>C6 Old Plant</v>
      </c>
      <c r="E506" s="212" t="str">
        <f ca="1"/>
        <v>Khapli Protein Grains</v>
      </c>
      <c r="F506" s="219">
        <f ca="1"/>
        <v>3734</v>
      </c>
      <c r="G506" s="219">
        <f ca="1"/>
        <v>1</v>
      </c>
      <c r="H506" s="219">
        <f ca="1"/>
        <v>170</v>
      </c>
      <c r="I506" s="219">
        <f ca="1"/>
        <v>5</v>
      </c>
      <c r="J506" s="219">
        <f ca="1"/>
        <v>28</v>
      </c>
      <c r="K506" s="219">
        <f ca="1"/>
        <v>204</v>
      </c>
      <c r="L506" s="219">
        <f ca="1"/>
        <v>3530</v>
      </c>
      <c r="M506" s="219">
        <f ca="1"/>
        <v>3</v>
      </c>
      <c r="N506" s="212" t="str">
        <f ca="1"/>
        <v>Day</v>
      </c>
      <c r="O506" s="220">
        <f ca="1"/>
        <v>0.94536689876807711</v>
      </c>
      <c r="P506" s="221">
        <f ca="1"/>
        <v>3734</v>
      </c>
      <c r="Q506" s="221">
        <f ca="1"/>
        <v>0</v>
      </c>
    </row>
    <row r="507" spans="1:17" ht="18" customHeight="1">
      <c r="A507" s="212" t="str">
        <f ca="1"/>
        <v>C6-AUG</v>
      </c>
      <c r="B507" s="218">
        <f ca="1"/>
        <v>46265</v>
      </c>
      <c r="C507" s="212" t="str">
        <f ca="1"/>
        <v>chakki1,2,3</v>
      </c>
      <c r="D507" s="212" t="str">
        <f ca="1"/>
        <v>C6 New Plant</v>
      </c>
      <c r="E507" s="212" t="str">
        <f ca="1"/>
        <v>Khapli Protein Grains</v>
      </c>
      <c r="F507" s="219">
        <f ca="1"/>
        <v>4801</v>
      </c>
      <c r="G507" s="219">
        <f ca="1"/>
        <v>0</v>
      </c>
      <c r="H507" s="219">
        <f ca="1"/>
        <v>335</v>
      </c>
      <c r="I507" s="219">
        <f ca="1"/>
        <v>0</v>
      </c>
      <c r="J507" s="219">
        <f ca="1"/>
        <v>106</v>
      </c>
      <c r="K507" s="219">
        <f ca="1"/>
        <v>441</v>
      </c>
      <c r="L507" s="219">
        <f ca="1"/>
        <v>4360</v>
      </c>
      <c r="M507" s="219">
        <f ca="1"/>
        <v>3</v>
      </c>
      <c r="N507" s="212" t="str">
        <f ca="1"/>
        <v>Day</v>
      </c>
      <c r="O507" s="220">
        <f ca="1"/>
        <v>0.90814413663820037</v>
      </c>
      <c r="P507" s="221">
        <f ca="1"/>
        <v>4801</v>
      </c>
      <c r="Q507" s="221">
        <f ca="1"/>
        <v>0</v>
      </c>
    </row>
    <row r="508" spans="1:17" ht="18" customHeight="1">
      <c r="A508" s="212" t="str">
        <f ca="1"/>
        <v>C39-AUG</v>
      </c>
      <c r="B508" s="218">
        <f ca="1"/>
        <v>46235</v>
      </c>
      <c r="C508" s="212" t="str">
        <f ca="1"/>
        <v>1,2,3,4</v>
      </c>
      <c r="D508" s="212" t="str">
        <f ca="1"/>
        <v>C39</v>
      </c>
      <c r="E508" s="212" t="str">
        <f ca="1"/>
        <v>multigrain</v>
      </c>
      <c r="F508" s="219">
        <f ca="1"/>
        <v>3900</v>
      </c>
      <c r="G508" s="219">
        <f ca="1"/>
        <v>28</v>
      </c>
      <c r="H508" s="219">
        <f ca="1"/>
        <v>176</v>
      </c>
      <c r="I508" s="219">
        <f ca="1"/>
        <v>26</v>
      </c>
      <c r="J508" s="219">
        <f ca="1"/>
        <v>120</v>
      </c>
      <c r="K508" s="219">
        <f ca="1"/>
        <v>350</v>
      </c>
      <c r="L508" s="219">
        <f ca="1"/>
        <v>3550</v>
      </c>
      <c r="M508" s="219">
        <f ca="1"/>
        <v>7</v>
      </c>
      <c r="N508" s="212" t="str">
        <f ca="1"/>
        <v>DAY</v>
      </c>
      <c r="O508" s="220">
        <f ca="1"/>
        <v>0.91025641025641024</v>
      </c>
      <c r="P508" s="221">
        <f ca="1"/>
        <v>3900</v>
      </c>
      <c r="Q508" s="221">
        <f ca="1"/>
        <v>0</v>
      </c>
    </row>
    <row r="509" spans="1:17" ht="18" customHeight="1">
      <c r="A509" s="212" t="str">
        <f ca="1"/>
        <v>C39-AUG</v>
      </c>
      <c r="B509" s="218">
        <f ca="1"/>
        <v>46237</v>
      </c>
      <c r="C509" s="212" t="str">
        <f ca="1"/>
        <v>1,2,3,4</v>
      </c>
      <c r="D509" s="212" t="str">
        <f ca="1"/>
        <v>C39</v>
      </c>
      <c r="E509" s="212" t="str">
        <f ca="1"/>
        <v>multigrain</v>
      </c>
      <c r="F509" s="219">
        <f ca="1"/>
        <v>7500</v>
      </c>
      <c r="G509" s="219">
        <f ca="1"/>
        <v>41</v>
      </c>
      <c r="H509" s="219">
        <f ca="1"/>
        <v>273</v>
      </c>
      <c r="I509" s="219">
        <f ca="1"/>
        <v>43</v>
      </c>
      <c r="J509" s="219">
        <f ca="1"/>
        <v>243</v>
      </c>
      <c r="K509" s="219">
        <f ca="1"/>
        <v>600</v>
      </c>
      <c r="L509" s="219">
        <f ca="1"/>
        <v>6900</v>
      </c>
      <c r="M509" s="219">
        <f ca="1"/>
        <v>7</v>
      </c>
      <c r="N509" s="212" t="str">
        <f ca="1"/>
        <v>DAY</v>
      </c>
      <c r="O509" s="220">
        <f ca="1"/>
        <v>0.92</v>
      </c>
      <c r="P509" s="221">
        <f ca="1"/>
        <v>7500</v>
      </c>
      <c r="Q509" s="221">
        <f ca="1"/>
        <v>0</v>
      </c>
    </row>
    <row r="510" spans="1:17" ht="18" customHeight="1">
      <c r="A510" s="212" t="str">
        <f ca="1"/>
        <v>C39-AUG</v>
      </c>
      <c r="B510" s="218">
        <f ca="1"/>
        <v>46237</v>
      </c>
      <c r="C510" s="212" t="str">
        <f ca="1"/>
        <v>blendar</v>
      </c>
      <c r="D510" s="212" t="str">
        <f ca="1"/>
        <v>C39</v>
      </c>
      <c r="E510" s="212" t="str">
        <f ca="1"/>
        <v>besan</v>
      </c>
      <c r="F510" s="219">
        <f ca="1"/>
        <v>510</v>
      </c>
      <c r="G510" s="219">
        <f ca="1"/>
        <v>0</v>
      </c>
      <c r="H510" s="219">
        <f ca="1"/>
        <v>0</v>
      </c>
      <c r="I510" s="219">
        <f ca="1"/>
        <v>2.5</v>
      </c>
      <c r="J510" s="219">
        <f ca="1"/>
        <v>17.5</v>
      </c>
      <c r="K510" s="219">
        <f ca="1"/>
        <v>20</v>
      </c>
      <c r="L510" s="219">
        <f ca="1"/>
        <v>490</v>
      </c>
      <c r="M510" s="219">
        <f ca="1"/>
        <v>1</v>
      </c>
      <c r="N510" s="212" t="str">
        <f ca="1"/>
        <v>DAY</v>
      </c>
      <c r="O510" s="220">
        <f ca="1"/>
        <v>0.96078431372549022</v>
      </c>
      <c r="P510" s="221">
        <f ca="1"/>
        <v>510</v>
      </c>
      <c r="Q510" s="221">
        <f ca="1"/>
        <v>0</v>
      </c>
    </row>
    <row r="511" spans="1:17" ht="18" customHeight="1">
      <c r="A511" s="212" t="str">
        <f ca="1"/>
        <v>C39-AUG</v>
      </c>
      <c r="B511" s="218">
        <f ca="1"/>
        <v>46238</v>
      </c>
      <c r="C511" s="212" t="str">
        <f ca="1"/>
        <v>1,2,3,4</v>
      </c>
      <c r="D511" s="212" t="str">
        <f ca="1"/>
        <v>C39</v>
      </c>
      <c r="E511" s="212" t="str">
        <f ca="1"/>
        <v>multigrain</v>
      </c>
      <c r="F511" s="219">
        <f ca="1"/>
        <v>8300</v>
      </c>
      <c r="G511" s="219">
        <f ca="1"/>
        <v>38</v>
      </c>
      <c r="H511" s="219">
        <f ca="1"/>
        <v>452</v>
      </c>
      <c r="I511" s="219">
        <f ca="1"/>
        <v>38</v>
      </c>
      <c r="J511" s="219">
        <f ca="1"/>
        <v>147</v>
      </c>
      <c r="K511" s="219">
        <f ca="1"/>
        <v>675</v>
      </c>
      <c r="L511" s="219">
        <f ca="1"/>
        <v>7625</v>
      </c>
      <c r="M511" s="219">
        <f ca="1"/>
        <v>7</v>
      </c>
      <c r="N511" s="212" t="str">
        <f ca="1"/>
        <v>DAY</v>
      </c>
      <c r="O511" s="220">
        <f ca="1"/>
        <v>0.91867469879518071</v>
      </c>
      <c r="P511" s="221">
        <f ca="1"/>
        <v>8300</v>
      </c>
      <c r="Q511" s="221">
        <f ca="1"/>
        <v>0</v>
      </c>
    </row>
    <row r="512" spans="1:17" ht="18" customHeight="1">
      <c r="A512" s="212" t="str">
        <f ca="1"/>
        <v>C39-AUG</v>
      </c>
      <c r="B512" s="218">
        <f ca="1"/>
        <v>46238</v>
      </c>
      <c r="C512" s="212" t="str">
        <f ca="1"/>
        <v>blendar</v>
      </c>
      <c r="D512" s="212" t="str">
        <f ca="1"/>
        <v>C39</v>
      </c>
      <c r="E512" s="212" t="str">
        <f ca="1"/>
        <v>BESAN</v>
      </c>
      <c r="F512" s="219">
        <f ca="1"/>
        <v>800</v>
      </c>
      <c r="G512" s="219">
        <f ca="1"/>
        <v>0</v>
      </c>
      <c r="H512" s="219">
        <f ca="1"/>
        <v>0</v>
      </c>
      <c r="I512" s="219">
        <f ca="1"/>
        <v>6</v>
      </c>
      <c r="J512" s="219">
        <f ca="1"/>
        <v>49</v>
      </c>
      <c r="K512" s="219">
        <f ca="1"/>
        <v>55</v>
      </c>
      <c r="L512" s="219">
        <f ca="1"/>
        <v>745</v>
      </c>
      <c r="M512" s="219">
        <f ca="1"/>
        <v>1</v>
      </c>
      <c r="N512" s="212" t="str">
        <f ca="1"/>
        <v>DAY</v>
      </c>
      <c r="O512" s="220">
        <f ca="1"/>
        <v>0.93125000000000002</v>
      </c>
      <c r="P512" s="221">
        <f ca="1"/>
        <v>800</v>
      </c>
      <c r="Q512" s="221">
        <f ca="1"/>
        <v>0</v>
      </c>
    </row>
    <row r="513" spans="1:17" ht="18" customHeight="1">
      <c r="A513" s="212" t="str">
        <f ca="1"/>
        <v>C39-AUG</v>
      </c>
      <c r="B513" s="218">
        <f ca="1"/>
        <v>46239</v>
      </c>
      <c r="C513" s="212" t="str">
        <f ca="1"/>
        <v>1,2,3,4</v>
      </c>
      <c r="D513" s="212" t="str">
        <f ca="1"/>
        <v>C39</v>
      </c>
      <c r="E513" s="212" t="str">
        <f ca="1"/>
        <v>multigrain</v>
      </c>
      <c r="F513" s="219">
        <f ca="1"/>
        <v>5850</v>
      </c>
      <c r="G513" s="219">
        <f ca="1"/>
        <v>22</v>
      </c>
      <c r="H513" s="219">
        <f ca="1"/>
        <v>343</v>
      </c>
      <c r="I513" s="219">
        <f ca="1"/>
        <v>26</v>
      </c>
      <c r="J513" s="219">
        <f ca="1"/>
        <v>109</v>
      </c>
      <c r="K513" s="219">
        <f ca="1"/>
        <v>500</v>
      </c>
      <c r="L513" s="219">
        <f ca="1"/>
        <v>5350</v>
      </c>
      <c r="M513" s="219">
        <f ca="1"/>
        <v>7</v>
      </c>
      <c r="N513" s="212" t="str">
        <f ca="1"/>
        <v>DAY</v>
      </c>
      <c r="O513" s="220">
        <f ca="1"/>
        <v>0.9145299145299145</v>
      </c>
      <c r="P513" s="221">
        <f ca="1"/>
        <v>5850</v>
      </c>
      <c r="Q513" s="221">
        <f ca="1"/>
        <v>0</v>
      </c>
    </row>
    <row r="514" spans="1:17" ht="18" customHeight="1">
      <c r="A514" s="212" t="str">
        <f ca="1"/>
        <v>C39-AUG</v>
      </c>
      <c r="B514" s="218">
        <f ca="1"/>
        <v>46239</v>
      </c>
      <c r="C514" s="212" t="str">
        <f ca="1"/>
        <v>blendar</v>
      </c>
      <c r="D514" s="212" t="str">
        <f ca="1"/>
        <v>C39</v>
      </c>
      <c r="E514" s="212" t="str">
        <f ca="1"/>
        <v>Besan</v>
      </c>
      <c r="F514" s="219">
        <f ca="1"/>
        <v>630</v>
      </c>
      <c r="G514" s="219">
        <f ca="1"/>
        <v>0</v>
      </c>
      <c r="H514" s="219">
        <f ca="1"/>
        <v>0</v>
      </c>
      <c r="I514" s="219">
        <f ca="1"/>
        <v>4</v>
      </c>
      <c r="J514" s="219">
        <f ca="1"/>
        <v>36</v>
      </c>
      <c r="K514" s="219">
        <f ca="1"/>
        <v>40</v>
      </c>
      <c r="L514" s="219">
        <f ca="1"/>
        <v>590</v>
      </c>
      <c r="M514" s="219">
        <f ca="1"/>
        <v>1</v>
      </c>
      <c r="N514" s="212" t="str">
        <f ca="1"/>
        <v>DAY</v>
      </c>
      <c r="O514" s="220">
        <f ca="1"/>
        <v>0.93650793650793651</v>
      </c>
      <c r="P514" s="221">
        <f ca="1"/>
        <v>630</v>
      </c>
      <c r="Q514" s="221">
        <f ca="1"/>
        <v>0</v>
      </c>
    </row>
    <row r="515" spans="1:17" ht="18" customHeight="1">
      <c r="A515" s="212" t="str">
        <f ca="1"/>
        <v>C39-AUG</v>
      </c>
      <c r="B515" s="218">
        <f ca="1"/>
        <v>46240</v>
      </c>
      <c r="C515" s="212" t="str">
        <f ca="1"/>
        <v>1,2,34</v>
      </c>
      <c r="D515" s="212" t="str">
        <f ca="1"/>
        <v>C39</v>
      </c>
      <c r="E515" s="212" t="str">
        <f ca="1"/>
        <v>multigrain</v>
      </c>
      <c r="F515" s="219">
        <f ca="1"/>
        <v>5500</v>
      </c>
      <c r="G515" s="219">
        <f ca="1"/>
        <v>19</v>
      </c>
      <c r="H515" s="219">
        <f ca="1"/>
        <v>295</v>
      </c>
      <c r="I515" s="219">
        <f ca="1"/>
        <v>19.5</v>
      </c>
      <c r="J515" s="219">
        <f ca="1"/>
        <v>96.5</v>
      </c>
      <c r="K515" s="219">
        <f ca="1"/>
        <v>430</v>
      </c>
      <c r="L515" s="219">
        <f ca="1"/>
        <v>5070</v>
      </c>
      <c r="M515" s="219">
        <f ca="1"/>
        <v>7</v>
      </c>
      <c r="N515" s="212" t="str">
        <f ca="1"/>
        <v>DAY</v>
      </c>
      <c r="O515" s="220">
        <f ca="1"/>
        <v>0.92181818181818187</v>
      </c>
      <c r="P515" s="221">
        <f ca="1"/>
        <v>5500</v>
      </c>
      <c r="Q515" s="221">
        <f ca="1"/>
        <v>0</v>
      </c>
    </row>
    <row r="516" spans="1:17" ht="18" customHeight="1">
      <c r="A516" s="212" t="str">
        <f ca="1"/>
        <v>C39-AUG</v>
      </c>
      <c r="B516" s="218">
        <f ca="1"/>
        <v>46241</v>
      </c>
      <c r="C516" s="212" t="str">
        <f ca="1"/>
        <v>1,2,3,4</v>
      </c>
      <c r="D516" s="212" t="str">
        <f ca="1"/>
        <v>C39</v>
      </c>
      <c r="E516" s="212" t="str">
        <f ca="1"/>
        <v>multigrain</v>
      </c>
      <c r="F516" s="219">
        <f ca="1"/>
        <v>2500</v>
      </c>
      <c r="G516" s="219">
        <f ca="1"/>
        <v>9</v>
      </c>
      <c r="H516" s="219">
        <f ca="1"/>
        <v>98</v>
      </c>
      <c r="I516" s="219">
        <f ca="1"/>
        <v>12.6</v>
      </c>
      <c r="J516" s="219">
        <f ca="1"/>
        <v>65.400000000000006</v>
      </c>
      <c r="K516" s="219">
        <f ca="1"/>
        <v>185</v>
      </c>
      <c r="L516" s="219">
        <f ca="1"/>
        <v>2315</v>
      </c>
      <c r="M516" s="219">
        <f ca="1"/>
        <v>7</v>
      </c>
      <c r="N516" s="212" t="str">
        <f ca="1"/>
        <v>Day</v>
      </c>
      <c r="O516" s="220">
        <f ca="1"/>
        <v>0.92600000000000005</v>
      </c>
      <c r="P516" s="221">
        <f ca="1"/>
        <v>2500</v>
      </c>
      <c r="Q516" s="221">
        <f ca="1"/>
        <v>0</v>
      </c>
    </row>
    <row r="517" spans="1:17" ht="18" customHeight="1">
      <c r="A517" s="212" t="str">
        <f ca="1"/>
        <v>C39-AUG</v>
      </c>
      <c r="B517" s="218">
        <f ca="1"/>
        <v>46241</v>
      </c>
      <c r="C517" s="212" t="str">
        <f ca="1"/>
        <v>1,2,3,4</v>
      </c>
      <c r="D517" s="212" t="str">
        <f ca="1"/>
        <v>C39</v>
      </c>
      <c r="E517" s="212" t="str">
        <f ca="1"/>
        <v>multigrain 60%</v>
      </c>
      <c r="F517" s="219">
        <f ca="1"/>
        <v>3200</v>
      </c>
      <c r="G517" s="219">
        <f ca="1"/>
        <v>5</v>
      </c>
      <c r="H517" s="219">
        <f ca="1"/>
        <v>153.19999999999999</v>
      </c>
      <c r="I517" s="219">
        <f ca="1"/>
        <v>9.8000000000000007</v>
      </c>
      <c r="J517" s="219">
        <f ca="1"/>
        <v>52</v>
      </c>
      <c r="K517" s="219">
        <f ca="1"/>
        <v>220</v>
      </c>
      <c r="L517" s="219">
        <f ca="1"/>
        <v>2980</v>
      </c>
      <c r="M517" s="219">
        <f ca="1"/>
        <v>7</v>
      </c>
      <c r="N517" s="212" t="str">
        <f ca="1"/>
        <v>Day</v>
      </c>
      <c r="O517" s="220">
        <f ca="1"/>
        <v>0.93125000000000002</v>
      </c>
      <c r="P517" s="221">
        <f ca="1"/>
        <v>3200</v>
      </c>
      <c r="Q517" s="221">
        <f ca="1"/>
        <v>0</v>
      </c>
    </row>
    <row r="518" spans="1:17" ht="18" customHeight="1">
      <c r="A518" s="212" t="str">
        <f ca="1"/>
        <v>C39-AUG</v>
      </c>
      <c r="B518" s="218">
        <f ca="1"/>
        <v>46242</v>
      </c>
      <c r="C518" s="212" t="str">
        <f ca="1"/>
        <v>1,2,3,4</v>
      </c>
      <c r="D518" s="212" t="str">
        <f ca="1"/>
        <v>C39</v>
      </c>
      <c r="E518" s="212" t="str">
        <f ca="1"/>
        <v>multigrain</v>
      </c>
      <c r="F518" s="219">
        <f ca="1"/>
        <v>6900</v>
      </c>
      <c r="G518" s="219">
        <f ca="1"/>
        <v>15</v>
      </c>
      <c r="H518" s="219">
        <f ca="1"/>
        <v>380</v>
      </c>
      <c r="I518" s="219">
        <f ca="1"/>
        <v>16</v>
      </c>
      <c r="J518" s="219">
        <f ca="1"/>
        <v>114</v>
      </c>
      <c r="K518" s="219">
        <f ca="1"/>
        <v>525</v>
      </c>
      <c r="L518" s="219">
        <f ca="1"/>
        <v>6375</v>
      </c>
      <c r="M518" s="219">
        <f ca="1"/>
        <v>7</v>
      </c>
      <c r="N518" s="212" t="str">
        <f ca="1"/>
        <v>Day</v>
      </c>
      <c r="O518" s="220">
        <f ca="1"/>
        <v>0.92391304347826086</v>
      </c>
      <c r="P518" s="221">
        <f ca="1"/>
        <v>6900</v>
      </c>
      <c r="Q518" s="221">
        <f ca="1"/>
        <v>0</v>
      </c>
    </row>
    <row r="519" spans="1:17" ht="18" customHeight="1">
      <c r="A519" s="212" t="str">
        <f ca="1"/>
        <v>C39-AUG</v>
      </c>
      <c r="B519" s="218">
        <f ca="1"/>
        <v>46242</v>
      </c>
      <c r="C519" s="212" t="str">
        <f ca="1"/>
        <v>blendar</v>
      </c>
      <c r="D519" s="212" t="str">
        <f ca="1"/>
        <v>C39</v>
      </c>
      <c r="E519" s="212" t="str">
        <f ca="1"/>
        <v>besan</v>
      </c>
      <c r="F519" s="219">
        <f ca="1"/>
        <v>422</v>
      </c>
      <c r="G519" s="219">
        <f ca="1"/>
        <v>0</v>
      </c>
      <c r="H519" s="219">
        <f ca="1"/>
        <v>0</v>
      </c>
      <c r="I519" s="219">
        <f ca="1"/>
        <v>2</v>
      </c>
      <c r="J519" s="219">
        <f ca="1"/>
        <v>25</v>
      </c>
      <c r="K519" s="219">
        <f ca="1"/>
        <v>27</v>
      </c>
      <c r="L519" s="219">
        <f ca="1"/>
        <v>395</v>
      </c>
      <c r="M519" s="219">
        <f ca="1"/>
        <v>1</v>
      </c>
      <c r="N519" s="212" t="str">
        <f ca="1"/>
        <v>Day</v>
      </c>
      <c r="O519" s="220">
        <f ca="1"/>
        <v>0.93601895734597151</v>
      </c>
      <c r="P519" s="221">
        <f ca="1"/>
        <v>422</v>
      </c>
      <c r="Q519" s="221">
        <f ca="1"/>
        <v>0</v>
      </c>
    </row>
    <row r="520" spans="1:17" ht="18" customHeight="1">
      <c r="A520" s="212" t="str">
        <f ca="1"/>
        <v>C39-AUG</v>
      </c>
      <c r="B520" s="218">
        <f ca="1"/>
        <v>46243</v>
      </c>
      <c r="C520" s="212" t="str">
        <f ca="1"/>
        <v>1,2,3,4</v>
      </c>
      <c r="D520" s="212" t="str">
        <f ca="1"/>
        <v>C39</v>
      </c>
      <c r="E520" s="212" t="str">
        <f ca="1"/>
        <v>multigrain</v>
      </c>
      <c r="F520" s="219">
        <f ca="1"/>
        <v>4950</v>
      </c>
      <c r="G520" s="219">
        <f ca="1"/>
        <v>19</v>
      </c>
      <c r="H520" s="219">
        <f ca="1"/>
        <v>252</v>
      </c>
      <c r="I520" s="219">
        <f ca="1"/>
        <v>21</v>
      </c>
      <c r="J520" s="219">
        <f ca="1"/>
        <v>118</v>
      </c>
      <c r="K520" s="219">
        <f ca="1"/>
        <v>410</v>
      </c>
      <c r="L520" s="219">
        <f ca="1"/>
        <v>4540</v>
      </c>
      <c r="M520" s="219">
        <f ca="1"/>
        <v>7</v>
      </c>
      <c r="N520" s="212" t="str">
        <f ca="1"/>
        <v>Day</v>
      </c>
      <c r="O520" s="220">
        <f ca="1"/>
        <v>0.91717171717171719</v>
      </c>
      <c r="P520" s="221">
        <f ca="1"/>
        <v>4950</v>
      </c>
      <c r="Q520" s="221">
        <f ca="1"/>
        <v>0</v>
      </c>
    </row>
    <row r="521" spans="1:17" ht="18" customHeight="1">
      <c r="A521" s="212" t="str">
        <f ca="1"/>
        <v>C39-AUG</v>
      </c>
      <c r="B521" s="218">
        <f ca="1"/>
        <v>46244</v>
      </c>
      <c r="C521" s="212" t="str">
        <f ca="1"/>
        <v>1,2,3,4</v>
      </c>
      <c r="D521" s="212" t="str">
        <f ca="1"/>
        <v>C39</v>
      </c>
      <c r="E521" s="212" t="str">
        <f ca="1"/>
        <v>multigrain</v>
      </c>
      <c r="F521" s="219">
        <f ca="1"/>
        <v>2900</v>
      </c>
      <c r="G521" s="219">
        <f ca="1"/>
        <v>8</v>
      </c>
      <c r="H521" s="219">
        <f ca="1"/>
        <v>135.5</v>
      </c>
      <c r="I521" s="219">
        <f ca="1"/>
        <v>16.5</v>
      </c>
      <c r="J521" s="219">
        <f ca="1"/>
        <v>90</v>
      </c>
      <c r="K521" s="219">
        <f ca="1"/>
        <v>250</v>
      </c>
      <c r="L521" s="219">
        <f ca="1"/>
        <v>2650</v>
      </c>
      <c r="M521" s="219">
        <f ca="1"/>
        <v>7</v>
      </c>
      <c r="N521" s="212" t="str">
        <f ca="1"/>
        <v>Day</v>
      </c>
      <c r="O521" s="220">
        <f ca="1"/>
        <v>0.91379310344827591</v>
      </c>
      <c r="P521" s="221">
        <f ca="1"/>
        <v>2900</v>
      </c>
      <c r="Q521" s="221">
        <f ca="1"/>
        <v>0</v>
      </c>
    </row>
    <row r="522" spans="1:17" ht="18" customHeight="1">
      <c r="A522" s="212" t="str">
        <f ca="1"/>
        <v>C39-AUG</v>
      </c>
      <c r="B522" s="218">
        <f ca="1"/>
        <v>46245</v>
      </c>
      <c r="C522" s="212" t="str">
        <f ca="1"/>
        <v>1,2,3,4</v>
      </c>
      <c r="D522" s="212" t="str">
        <f ca="1"/>
        <v>C39</v>
      </c>
      <c r="E522" s="212" t="str">
        <f ca="1"/>
        <v>Multigrain</v>
      </c>
      <c r="F522" s="219">
        <f ca="1"/>
        <v>6950</v>
      </c>
      <c r="G522" s="219">
        <f ca="1"/>
        <v>29</v>
      </c>
      <c r="H522" s="219">
        <f ca="1"/>
        <v>372</v>
      </c>
      <c r="I522" s="219">
        <f ca="1"/>
        <v>25</v>
      </c>
      <c r="J522" s="219">
        <f ca="1"/>
        <v>174</v>
      </c>
      <c r="K522" s="219">
        <f ca="1"/>
        <v>600</v>
      </c>
      <c r="L522" s="219">
        <f ca="1"/>
        <v>6350</v>
      </c>
      <c r="M522" s="219">
        <f ca="1"/>
        <v>7</v>
      </c>
      <c r="N522" s="212" t="str">
        <f ca="1"/>
        <v>Day</v>
      </c>
      <c r="O522" s="220">
        <f ca="1"/>
        <v>0.91366906474820142</v>
      </c>
      <c r="P522" s="221">
        <f ca="1"/>
        <v>6950</v>
      </c>
      <c r="Q522" s="221">
        <f ca="1"/>
        <v>0</v>
      </c>
    </row>
    <row r="523" spans="1:17" ht="18" customHeight="1">
      <c r="A523" s="212" t="str">
        <f ca="1"/>
        <v>C39-AUG</v>
      </c>
      <c r="B523" s="218">
        <f ca="1"/>
        <v>46245</v>
      </c>
      <c r="C523" s="212" t="str">
        <f ca="1"/>
        <v>Blendar</v>
      </c>
      <c r="D523" s="212" t="str">
        <f ca="1"/>
        <v>C39</v>
      </c>
      <c r="E523" s="212" t="str">
        <f ca="1"/>
        <v>Besan</v>
      </c>
      <c r="F523" s="219">
        <f ca="1"/>
        <v>450</v>
      </c>
      <c r="G523" s="219">
        <f ca="1"/>
        <v>0</v>
      </c>
      <c r="H523" s="219">
        <f ca="1"/>
        <v>0</v>
      </c>
      <c r="I523" s="219">
        <f ca="1"/>
        <v>4.5</v>
      </c>
      <c r="J523" s="219">
        <f ca="1"/>
        <v>25.5</v>
      </c>
      <c r="K523" s="219">
        <f ca="1"/>
        <v>30</v>
      </c>
      <c r="L523" s="219">
        <f ca="1"/>
        <v>420</v>
      </c>
      <c r="M523" s="219">
        <f ca="1"/>
        <v>1</v>
      </c>
      <c r="N523" s="212" t="str">
        <f ca="1"/>
        <v>Day</v>
      </c>
      <c r="O523" s="220">
        <f ca="1"/>
        <v>0.93333333333333335</v>
      </c>
      <c r="P523" s="221">
        <f ca="1"/>
        <v>450</v>
      </c>
      <c r="Q523" s="221">
        <f ca="1"/>
        <v>0</v>
      </c>
    </row>
    <row r="524" spans="1:17" ht="18" customHeight="1">
      <c r="A524" s="212" t="str">
        <f ca="1"/>
        <v>C39-AUG</v>
      </c>
      <c r="B524" s="218">
        <f ca="1"/>
        <v>46246</v>
      </c>
      <c r="C524" s="212" t="str">
        <f ca="1"/>
        <v>1,2,3,4</v>
      </c>
      <c r="D524" s="212" t="str">
        <f ca="1"/>
        <v>C39</v>
      </c>
      <c r="E524" s="212" t="str">
        <f ca="1"/>
        <v>Multigrain</v>
      </c>
      <c r="F524" s="219">
        <f ca="1"/>
        <v>6500</v>
      </c>
      <c r="G524" s="219">
        <f ca="1"/>
        <v>26</v>
      </c>
      <c r="H524" s="219">
        <f ca="1"/>
        <v>297.39999999999998</v>
      </c>
      <c r="I524" s="219">
        <f ca="1"/>
        <v>18.600000000000001</v>
      </c>
      <c r="J524" s="219">
        <f ca="1"/>
        <v>108</v>
      </c>
      <c r="K524" s="219">
        <f ca="1"/>
        <v>450</v>
      </c>
      <c r="L524" s="219">
        <f ca="1"/>
        <v>6050</v>
      </c>
      <c r="M524" s="219">
        <f ca="1"/>
        <v>7</v>
      </c>
      <c r="N524" s="212" t="str">
        <f ca="1"/>
        <v>Day</v>
      </c>
      <c r="O524" s="220">
        <f ca="1"/>
        <v>0.93076923076923079</v>
      </c>
      <c r="P524" s="221">
        <f ca="1"/>
        <v>6500</v>
      </c>
      <c r="Q524" s="221">
        <f ca="1"/>
        <v>0</v>
      </c>
    </row>
    <row r="525" spans="1:17" ht="18" customHeight="1">
      <c r="A525" s="212" t="str">
        <f ca="1"/>
        <v>C39-AUG</v>
      </c>
      <c r="B525" s="218">
        <f ca="1"/>
        <v>46247</v>
      </c>
      <c r="C525" s="212" t="str">
        <f ca="1"/>
        <v>1,2,3,4</v>
      </c>
      <c r="D525" s="212" t="str">
        <f ca="1"/>
        <v>C39</v>
      </c>
      <c r="E525" s="212" t="str">
        <f ca="1"/>
        <v>Multigrain</v>
      </c>
      <c r="F525" s="219">
        <f ca="1"/>
        <v>6100</v>
      </c>
      <c r="G525" s="219">
        <f ca="1"/>
        <v>17</v>
      </c>
      <c r="H525" s="219">
        <f ca="1"/>
        <v>271</v>
      </c>
      <c r="I525" s="219">
        <f ca="1"/>
        <v>26</v>
      </c>
      <c r="J525" s="219">
        <f ca="1"/>
        <v>86</v>
      </c>
      <c r="K525" s="219">
        <f ca="1"/>
        <v>400</v>
      </c>
      <c r="L525" s="219">
        <f ca="1"/>
        <v>5700</v>
      </c>
      <c r="M525" s="219">
        <f ca="1"/>
        <v>7</v>
      </c>
      <c r="N525" s="212" t="str">
        <f ca="1"/>
        <v>Day</v>
      </c>
      <c r="O525" s="220">
        <f ca="1"/>
        <v>0.93442622950819676</v>
      </c>
      <c r="P525" s="221">
        <f ca="1"/>
        <v>6100</v>
      </c>
      <c r="Q525" s="221">
        <f ca="1"/>
        <v>0</v>
      </c>
    </row>
    <row r="526" spans="1:17" ht="18" customHeight="1">
      <c r="A526" s="212" t="str">
        <f ca="1"/>
        <v>C39-AUG</v>
      </c>
      <c r="B526" s="218">
        <f ca="1"/>
        <v>46248</v>
      </c>
      <c r="C526" s="212" t="str">
        <f ca="1"/>
        <v>1,2,3,4</v>
      </c>
      <c r="D526" s="212" t="str">
        <f ca="1"/>
        <v>C39</v>
      </c>
      <c r="E526" s="212" t="str">
        <f ca="1"/>
        <v>Multigrain</v>
      </c>
      <c r="F526" s="219">
        <f ca="1"/>
        <v>4400</v>
      </c>
      <c r="G526" s="219">
        <f ca="1"/>
        <v>27</v>
      </c>
      <c r="H526" s="219">
        <f ca="1"/>
        <v>208</v>
      </c>
      <c r="I526" s="219">
        <f ca="1"/>
        <v>32</v>
      </c>
      <c r="J526" s="219">
        <f ca="1"/>
        <v>133</v>
      </c>
      <c r="K526" s="219">
        <f ca="1"/>
        <v>400</v>
      </c>
      <c r="L526" s="219">
        <f ca="1"/>
        <v>4000</v>
      </c>
      <c r="M526" s="219">
        <f ca="1"/>
        <v>7</v>
      </c>
      <c r="N526" s="212" t="str">
        <f ca="1"/>
        <v>Day</v>
      </c>
      <c r="O526" s="220">
        <f ca="1"/>
        <v>0.90909090909090906</v>
      </c>
      <c r="P526" s="221">
        <f ca="1"/>
        <v>4400</v>
      </c>
      <c r="Q526" s="221">
        <f ca="1"/>
        <v>0</v>
      </c>
    </row>
    <row r="527" spans="1:17" ht="18" customHeight="1">
      <c r="A527" s="212" t="str">
        <f ca="1"/>
        <v>C39-AUG</v>
      </c>
      <c r="B527" s="218">
        <f ca="1"/>
        <v>46250</v>
      </c>
      <c r="C527" s="212" t="str">
        <f ca="1"/>
        <v>1,2,3,4</v>
      </c>
      <c r="D527" s="212" t="str">
        <f ca="1"/>
        <v>C39</v>
      </c>
      <c r="E527" s="212" t="str">
        <f ca="1"/>
        <v>Multigrain</v>
      </c>
      <c r="F527" s="219">
        <f ca="1"/>
        <v>3160</v>
      </c>
      <c r="G527" s="219">
        <f ca="1"/>
        <v>13</v>
      </c>
      <c r="H527" s="219">
        <f ca="1"/>
        <v>171</v>
      </c>
      <c r="I527" s="219">
        <f ca="1"/>
        <v>19</v>
      </c>
      <c r="J527" s="219">
        <f ca="1"/>
        <v>87</v>
      </c>
      <c r="K527" s="219">
        <f ca="1"/>
        <v>290</v>
      </c>
      <c r="L527" s="219">
        <f ca="1"/>
        <v>2870</v>
      </c>
      <c r="M527" s="219">
        <f ca="1"/>
        <v>7</v>
      </c>
      <c r="N527" s="212" t="str">
        <f ca="1"/>
        <v>Day</v>
      </c>
      <c r="O527" s="220">
        <f ca="1"/>
        <v>0.90822784810126578</v>
      </c>
      <c r="P527" s="221">
        <f ca="1"/>
        <v>3160</v>
      </c>
      <c r="Q527" s="221">
        <f ca="1"/>
        <v>0</v>
      </c>
    </row>
    <row r="528" spans="1:17" ht="18" customHeight="1">
      <c r="A528" s="212" t="str">
        <f ca="1"/>
        <v>C39-AUG</v>
      </c>
      <c r="B528" s="218">
        <f ca="1"/>
        <v>46251</v>
      </c>
      <c r="C528" s="212" t="str">
        <f ca="1"/>
        <v>1,2,3,4</v>
      </c>
      <c r="D528" s="212" t="str">
        <f ca="1"/>
        <v>C39</v>
      </c>
      <c r="E528" s="212" t="str">
        <f ca="1"/>
        <v>Multigrain</v>
      </c>
      <c r="F528" s="219">
        <f ca="1"/>
        <v>8650</v>
      </c>
      <c r="G528" s="219">
        <f ca="1"/>
        <v>38</v>
      </c>
      <c r="H528" s="219">
        <f ca="1"/>
        <v>457</v>
      </c>
      <c r="I528" s="219">
        <f ca="1"/>
        <v>29</v>
      </c>
      <c r="J528" s="219">
        <f ca="1"/>
        <v>126</v>
      </c>
      <c r="K528" s="219">
        <f ca="1"/>
        <v>650</v>
      </c>
      <c r="L528" s="219">
        <f ca="1"/>
        <v>8000</v>
      </c>
      <c r="M528" s="219">
        <f ca="1"/>
        <v>7</v>
      </c>
      <c r="N528" s="212" t="str">
        <f ca="1"/>
        <v>Day</v>
      </c>
      <c r="O528" s="220">
        <f ca="1"/>
        <v>0.92485549132947975</v>
      </c>
      <c r="P528" s="221">
        <f ca="1"/>
        <v>8650</v>
      </c>
      <c r="Q528" s="221">
        <f ca="1"/>
        <v>0</v>
      </c>
    </row>
    <row r="529" spans="1:17" ht="18" customHeight="1">
      <c r="A529" s="212" t="str">
        <f ca="1"/>
        <v>C39-AUG</v>
      </c>
      <c r="B529" s="218">
        <f ca="1"/>
        <v>46252</v>
      </c>
      <c r="C529" s="212" t="str">
        <f ca="1"/>
        <v>1,2,3,4</v>
      </c>
      <c r="D529" s="212" t="str">
        <f ca="1"/>
        <v>C39</v>
      </c>
      <c r="E529" s="212" t="str">
        <f ca="1"/>
        <v>Multigrain</v>
      </c>
      <c r="F529" s="219">
        <f ca="1"/>
        <v>5820</v>
      </c>
      <c r="G529" s="219">
        <f ca="1"/>
        <v>28</v>
      </c>
      <c r="H529" s="219">
        <f ca="1"/>
        <v>313</v>
      </c>
      <c r="I529" s="219">
        <f ca="1"/>
        <v>32</v>
      </c>
      <c r="J529" s="219">
        <f ca="1"/>
        <v>147</v>
      </c>
      <c r="K529" s="219">
        <f ca="1"/>
        <v>520</v>
      </c>
      <c r="L529" s="219">
        <f ca="1"/>
        <v>5300</v>
      </c>
      <c r="M529" s="219">
        <f ca="1"/>
        <v>7</v>
      </c>
      <c r="N529" s="212" t="str">
        <f ca="1"/>
        <v>Day</v>
      </c>
      <c r="O529" s="220">
        <f ca="1"/>
        <v>0.9106529209621993</v>
      </c>
      <c r="P529" s="221">
        <f ca="1"/>
        <v>5820</v>
      </c>
      <c r="Q529" s="221">
        <f ca="1"/>
        <v>0</v>
      </c>
    </row>
    <row r="530" spans="1:17" ht="18" customHeight="1">
      <c r="A530" s="212" t="str">
        <f ca="1"/>
        <v>C39-AUG</v>
      </c>
      <c r="B530" s="218">
        <f ca="1"/>
        <v>46253</v>
      </c>
      <c r="C530" s="212" t="str">
        <f ca="1"/>
        <v>1,2,3,4</v>
      </c>
      <c r="D530" s="212" t="str">
        <f ca="1"/>
        <v>C39</v>
      </c>
      <c r="E530" s="212" t="str">
        <f ca="1"/>
        <v>Multigrain</v>
      </c>
      <c r="F530" s="219">
        <f ca="1"/>
        <v>9100</v>
      </c>
      <c r="G530" s="219">
        <f ca="1"/>
        <v>36</v>
      </c>
      <c r="H530" s="219">
        <f ca="1"/>
        <v>570</v>
      </c>
      <c r="I530" s="219">
        <f ca="1"/>
        <v>38</v>
      </c>
      <c r="J530" s="219">
        <f ca="1"/>
        <v>156</v>
      </c>
      <c r="K530" s="219">
        <f ca="1"/>
        <v>800</v>
      </c>
      <c r="L530" s="219">
        <f ca="1"/>
        <v>8300</v>
      </c>
      <c r="M530" s="219">
        <f ca="1"/>
        <v>7</v>
      </c>
      <c r="N530" s="212" t="str">
        <f ca="1"/>
        <v>Day</v>
      </c>
      <c r="O530" s="220">
        <f ca="1"/>
        <v>0.91208791208791207</v>
      </c>
      <c r="P530" s="221">
        <f ca="1"/>
        <v>9100</v>
      </c>
      <c r="Q530" s="221">
        <f ca="1"/>
        <v>0</v>
      </c>
    </row>
    <row r="531" spans="1:17" ht="18" customHeight="1">
      <c r="A531" s="212" t="str">
        <f ca="1"/>
        <v>C39-AUG</v>
      </c>
      <c r="B531" s="218">
        <f ca="1"/>
        <v>46254</v>
      </c>
      <c r="C531" s="212" t="str">
        <f ca="1"/>
        <v>1,2,3,4</v>
      </c>
      <c r="D531" s="212" t="str">
        <f ca="1"/>
        <v>C39</v>
      </c>
      <c r="E531" s="212" t="str">
        <f ca="1"/>
        <v>Multigrain</v>
      </c>
      <c r="F531" s="219">
        <f ca="1"/>
        <v>7970</v>
      </c>
      <c r="G531" s="219">
        <f ca="1"/>
        <v>29</v>
      </c>
      <c r="H531" s="219">
        <f ca="1"/>
        <v>510</v>
      </c>
      <c r="I531" s="219">
        <f ca="1"/>
        <v>22</v>
      </c>
      <c r="J531" s="219">
        <f ca="1"/>
        <v>108</v>
      </c>
      <c r="K531" s="219">
        <f ca="1"/>
        <v>670</v>
      </c>
      <c r="L531" s="219">
        <f ca="1"/>
        <v>7300</v>
      </c>
      <c r="M531" s="219">
        <f ca="1"/>
        <v>7</v>
      </c>
      <c r="N531" s="212" t="str">
        <f ca="1"/>
        <v>Day</v>
      </c>
      <c r="O531" s="220">
        <f ca="1"/>
        <v>0.91593475533249691</v>
      </c>
      <c r="P531" s="221">
        <f ca="1"/>
        <v>7970</v>
      </c>
      <c r="Q531" s="221">
        <f ca="1"/>
        <v>0</v>
      </c>
    </row>
    <row r="532" spans="1:17" ht="18" customHeight="1">
      <c r="A532" s="212" t="str">
        <f ca="1"/>
        <v>C39-AUG</v>
      </c>
      <c r="B532" s="218">
        <f ca="1"/>
        <v>46255</v>
      </c>
      <c r="C532" s="212" t="str">
        <f ca="1"/>
        <v>1,2,3,4</v>
      </c>
      <c r="D532" s="212" t="str">
        <f ca="1"/>
        <v>C39</v>
      </c>
      <c r="E532" s="212" t="str">
        <f ca="1"/>
        <v>Multigrain</v>
      </c>
      <c r="F532" s="219">
        <f ca="1"/>
        <v>9400</v>
      </c>
      <c r="G532" s="219">
        <f ca="1"/>
        <v>36</v>
      </c>
      <c r="H532" s="219">
        <f ca="1"/>
        <v>716</v>
      </c>
      <c r="I532" s="219">
        <f ca="1"/>
        <v>29</v>
      </c>
      <c r="J532" s="219">
        <f ca="1"/>
        <v>119</v>
      </c>
      <c r="K532" s="219">
        <f ca="1"/>
        <v>900</v>
      </c>
      <c r="L532" s="219">
        <f ca="1"/>
        <v>8500</v>
      </c>
      <c r="M532" s="219">
        <f ca="1"/>
        <v>7</v>
      </c>
      <c r="N532" s="212" t="str">
        <f ca="1"/>
        <v>Day</v>
      </c>
      <c r="O532" s="220">
        <f ca="1"/>
        <v>0.9042553191489362</v>
      </c>
      <c r="P532" s="221">
        <f ca="1"/>
        <v>9400</v>
      </c>
      <c r="Q532" s="221">
        <f ca="1"/>
        <v>0</v>
      </c>
    </row>
    <row r="533" spans="1:17" ht="18" customHeight="1">
      <c r="A533" s="212" t="str">
        <f ca="1"/>
        <v>C39-AUG</v>
      </c>
      <c r="B533" s="218">
        <f ca="1"/>
        <v>46256</v>
      </c>
      <c r="C533" s="212" t="str">
        <f ca="1"/>
        <v>1,2,3,4</v>
      </c>
      <c r="D533" s="212" t="str">
        <f ca="1"/>
        <v>C39</v>
      </c>
      <c r="E533" s="212" t="str">
        <f ca="1"/>
        <v>Multigrain</v>
      </c>
      <c r="F533" s="219">
        <f ca="1"/>
        <v>9600</v>
      </c>
      <c r="G533" s="219">
        <f ca="1"/>
        <v>39</v>
      </c>
      <c r="H533" s="219">
        <f ca="1"/>
        <v>736</v>
      </c>
      <c r="I533" s="219">
        <f ca="1"/>
        <v>23</v>
      </c>
      <c r="J533" s="219">
        <f ca="1"/>
        <v>102</v>
      </c>
      <c r="K533" s="219">
        <f ca="1"/>
        <v>900</v>
      </c>
      <c r="L533" s="219">
        <f ca="1"/>
        <v>8700</v>
      </c>
      <c r="M533" s="219">
        <f ca="1"/>
        <v>7</v>
      </c>
      <c r="N533" s="212" t="str">
        <f ca="1"/>
        <v>Day</v>
      </c>
      <c r="O533" s="220">
        <f ca="1"/>
        <v>0.90625</v>
      </c>
      <c r="P533" s="221">
        <f ca="1"/>
        <v>9600</v>
      </c>
      <c r="Q533" s="221">
        <f ca="1"/>
        <v>0</v>
      </c>
    </row>
    <row r="534" spans="1:17" ht="18" customHeight="1">
      <c r="A534" s="212" t="str">
        <f ca="1"/>
        <v>C39-AUG</v>
      </c>
      <c r="B534" s="218">
        <f ca="1"/>
        <v>46258</v>
      </c>
      <c r="C534" s="212" t="str">
        <f ca="1"/>
        <v>1,2,3,4</v>
      </c>
      <c r="D534" s="212" t="str">
        <f ca="1"/>
        <v>C39</v>
      </c>
      <c r="E534" s="212" t="str">
        <f ca="1"/>
        <v>Multigrain</v>
      </c>
      <c r="F534" s="219">
        <f ca="1"/>
        <v>7200</v>
      </c>
      <c r="G534" s="219">
        <f ca="1"/>
        <v>38</v>
      </c>
      <c r="H534" s="219">
        <f ca="1"/>
        <v>72.5</v>
      </c>
      <c r="I534" s="219">
        <f ca="1"/>
        <v>18</v>
      </c>
      <c r="J534" s="219">
        <f ca="1"/>
        <v>421.5</v>
      </c>
      <c r="K534" s="219">
        <f ca="1"/>
        <v>550</v>
      </c>
      <c r="L534" s="219">
        <f ca="1"/>
        <v>6650</v>
      </c>
      <c r="M534" s="219">
        <f ca="1"/>
        <v>7</v>
      </c>
      <c r="N534" s="212" t="str">
        <f ca="1"/>
        <v>Day</v>
      </c>
      <c r="O534" s="220">
        <f ca="1"/>
        <v>0.92361111111111116</v>
      </c>
      <c r="P534" s="221">
        <f ca="1"/>
        <v>7200</v>
      </c>
      <c r="Q534" s="221">
        <f ca="1"/>
        <v>0</v>
      </c>
    </row>
    <row r="535" spans="1:17" ht="18" customHeight="1">
      <c r="A535" s="212" t="str">
        <f ca="1"/>
        <v>C39-AUG</v>
      </c>
      <c r="B535" s="218">
        <f ca="1"/>
        <v>46259</v>
      </c>
      <c r="C535" s="212" t="str">
        <f ca="1"/>
        <v>1,2,3,4</v>
      </c>
      <c r="D535" s="212" t="str">
        <f ca="1"/>
        <v>C39</v>
      </c>
      <c r="E535" s="212" t="str">
        <f ca="1"/>
        <v>Multigrain</v>
      </c>
      <c r="F535" s="219">
        <f ca="1"/>
        <v>9150</v>
      </c>
      <c r="G535" s="219">
        <f ca="1"/>
        <v>36</v>
      </c>
      <c r="H535" s="219">
        <f ca="1"/>
        <v>135</v>
      </c>
      <c r="I535" s="219">
        <f ca="1"/>
        <v>30</v>
      </c>
      <c r="J535" s="219">
        <f ca="1"/>
        <v>449</v>
      </c>
      <c r="K535" s="219">
        <f ca="1"/>
        <v>650</v>
      </c>
      <c r="L535" s="219">
        <f ca="1"/>
        <v>8500</v>
      </c>
      <c r="M535" s="219">
        <f ca="1"/>
        <v>7</v>
      </c>
      <c r="N535" s="212" t="str">
        <f ca="1"/>
        <v>Day</v>
      </c>
      <c r="O535" s="220">
        <f ca="1"/>
        <v>0.92896174863387981</v>
      </c>
      <c r="P535" s="221">
        <f ca="1"/>
        <v>9150</v>
      </c>
      <c r="Q535" s="221">
        <f ca="1"/>
        <v>0</v>
      </c>
    </row>
    <row r="536" spans="1:17" ht="18" customHeight="1">
      <c r="A536" s="212" t="str">
        <f ca="1"/>
        <v>C39-AUG</v>
      </c>
      <c r="B536" s="218">
        <f ca="1"/>
        <v>46260</v>
      </c>
      <c r="C536" s="212" t="str">
        <f ca="1"/>
        <v>1,2,3,4</v>
      </c>
      <c r="D536" s="212" t="str">
        <f ca="1"/>
        <v>C39</v>
      </c>
      <c r="E536" s="212" t="str">
        <f ca="1"/>
        <v>Multigrain</v>
      </c>
      <c r="F536" s="219">
        <f ca="1"/>
        <v>9000</v>
      </c>
      <c r="G536" s="219">
        <f ca="1"/>
        <v>37</v>
      </c>
      <c r="H536" s="219">
        <f ca="1"/>
        <v>160</v>
      </c>
      <c r="I536" s="219">
        <f ca="1"/>
        <v>37</v>
      </c>
      <c r="J536" s="219">
        <f ca="1"/>
        <v>446</v>
      </c>
      <c r="K536" s="219">
        <f ca="1"/>
        <v>680</v>
      </c>
      <c r="L536" s="219">
        <f ca="1"/>
        <v>8320</v>
      </c>
      <c r="M536" s="219">
        <f ca="1"/>
        <v>7</v>
      </c>
      <c r="N536" s="212" t="str">
        <f ca="1"/>
        <v>Day</v>
      </c>
      <c r="O536" s="220">
        <f ca="1"/>
        <v>0.9244444444444444</v>
      </c>
      <c r="P536" s="221">
        <f ca="1"/>
        <v>9000</v>
      </c>
      <c r="Q536" s="221">
        <f ca="1"/>
        <v>0</v>
      </c>
    </row>
    <row r="537" spans="1:17" ht="18" customHeight="1">
      <c r="A537" s="212" t="str">
        <f ca="1"/>
        <v>C39-AUG</v>
      </c>
      <c r="B537" s="218">
        <f ca="1"/>
        <v>46261</v>
      </c>
      <c r="C537" s="212" t="str">
        <f ca="1"/>
        <v>1,2,3,4</v>
      </c>
      <c r="D537" s="212" t="str">
        <f ca="1"/>
        <v>C39</v>
      </c>
      <c r="E537" s="212" t="str">
        <f ca="1"/>
        <v>Multigrain</v>
      </c>
      <c r="F537" s="219">
        <f ca="1"/>
        <v>7400</v>
      </c>
      <c r="G537" s="219">
        <f ca="1"/>
        <v>28</v>
      </c>
      <c r="H537" s="219">
        <f ca="1"/>
        <v>132</v>
      </c>
      <c r="I537" s="219">
        <f ca="1"/>
        <v>19</v>
      </c>
      <c r="J537" s="219">
        <f ca="1"/>
        <v>301</v>
      </c>
      <c r="K537" s="219">
        <f ca="1"/>
        <v>480</v>
      </c>
      <c r="L537" s="219">
        <f ca="1"/>
        <v>6920</v>
      </c>
      <c r="M537" s="219">
        <f ca="1"/>
        <v>7</v>
      </c>
      <c r="N537" s="212" t="str">
        <f ca="1"/>
        <v>Day</v>
      </c>
      <c r="O537" s="220">
        <f ca="1"/>
        <v>0.93513513513513513</v>
      </c>
      <c r="P537" s="221">
        <f ca="1"/>
        <v>7400</v>
      </c>
      <c r="Q537" s="221">
        <f ca="1"/>
        <v>0</v>
      </c>
    </row>
    <row r="538" spans="1:17" ht="18" customHeight="1">
      <c r="A538" s="212" t="str">
        <f ca="1"/>
        <v>C39-AUG</v>
      </c>
      <c r="B538" s="218">
        <f ca="1"/>
        <v>46262</v>
      </c>
      <c r="C538" s="212" t="str">
        <f ca="1"/>
        <v>1,2,3,4</v>
      </c>
      <c r="D538" s="212" t="str">
        <f ca="1"/>
        <v>C39</v>
      </c>
      <c r="E538" s="212" t="str">
        <f ca="1"/>
        <v>Multigrain</v>
      </c>
      <c r="F538" s="219">
        <f ca="1"/>
        <v>10000</v>
      </c>
      <c r="G538" s="219">
        <f ca="1"/>
        <v>38</v>
      </c>
      <c r="H538" s="219">
        <f ca="1"/>
        <v>152</v>
      </c>
      <c r="I538" s="219">
        <f ca="1"/>
        <v>25</v>
      </c>
      <c r="J538" s="219">
        <f ca="1"/>
        <v>429</v>
      </c>
      <c r="K538" s="219">
        <f ca="1"/>
        <v>644</v>
      </c>
      <c r="L538" s="219">
        <f ca="1"/>
        <v>9356</v>
      </c>
      <c r="M538" s="219">
        <f ca="1"/>
        <v>7</v>
      </c>
      <c r="N538" s="212" t="str">
        <f ca="1"/>
        <v>Day</v>
      </c>
      <c r="O538" s="220">
        <f ca="1"/>
        <v>0.93559999999999999</v>
      </c>
      <c r="P538" s="221">
        <f ca="1"/>
        <v>10000</v>
      </c>
      <c r="Q538" s="221">
        <f ca="1"/>
        <v>0</v>
      </c>
    </row>
    <row r="539" spans="1:17" ht="18" customHeight="1">
      <c r="A539" s="212" t="str">
        <f ca="1"/>
        <v>C39-AUG</v>
      </c>
      <c r="B539" s="218">
        <f ca="1"/>
        <v>46263</v>
      </c>
      <c r="C539" s="212" t="str">
        <f ca="1"/>
        <v>1,2,3,4</v>
      </c>
      <c r="D539" s="212" t="str">
        <f ca="1"/>
        <v>C39</v>
      </c>
      <c r="E539" s="212" t="str">
        <f ca="1"/>
        <v>Khapli</v>
      </c>
      <c r="F539" s="219">
        <f ca="1"/>
        <v>5150</v>
      </c>
      <c r="G539" s="219">
        <f ca="1"/>
        <v>38</v>
      </c>
      <c r="H539" s="219">
        <f ca="1"/>
        <v>40</v>
      </c>
      <c r="I539" s="219">
        <f ca="1"/>
        <v>31</v>
      </c>
      <c r="J539" s="219">
        <f ca="1"/>
        <v>316</v>
      </c>
      <c r="K539" s="219">
        <f ca="1"/>
        <v>425</v>
      </c>
      <c r="L539" s="219">
        <f ca="1"/>
        <v>4725</v>
      </c>
      <c r="M539" s="219">
        <f ca="1"/>
        <v>7</v>
      </c>
      <c r="N539" s="212" t="str">
        <f ca="1"/>
        <v>Day</v>
      </c>
      <c r="O539" s="220">
        <f ca="1"/>
        <v>0.91747572815533984</v>
      </c>
      <c r="P539" s="221">
        <f ca="1"/>
        <v>5150</v>
      </c>
      <c r="Q539" s="221">
        <f ca="1"/>
        <v>0</v>
      </c>
    </row>
    <row r="540" spans="1:17" ht="18" customHeight="1">
      <c r="A540" s="212" t="str">
        <f ca="1"/>
        <v>C39-AUG</v>
      </c>
      <c r="B540" s="218">
        <f ca="1"/>
        <v>46264</v>
      </c>
      <c r="C540" s="212" t="str">
        <f ca="1"/>
        <v>1,,2,3,4</v>
      </c>
      <c r="D540" s="212" t="str">
        <f ca="1"/>
        <v>C39</v>
      </c>
      <c r="E540" s="212" t="str">
        <f ca="1"/>
        <v>Khapli</v>
      </c>
      <c r="F540" s="219">
        <f ca="1"/>
        <v>6900</v>
      </c>
      <c r="G540" s="219">
        <f ca="1"/>
        <v>45</v>
      </c>
      <c r="H540" s="219">
        <f ca="1"/>
        <v>240</v>
      </c>
      <c r="I540" s="219">
        <f ca="1"/>
        <v>28</v>
      </c>
      <c r="J540" s="219">
        <f ca="1"/>
        <v>254</v>
      </c>
      <c r="K540" s="219">
        <f ca="1"/>
        <v>567</v>
      </c>
      <c r="L540" s="219">
        <f ca="1"/>
        <v>6333</v>
      </c>
      <c r="M540" s="219">
        <f ca="1"/>
        <v>7</v>
      </c>
      <c r="N540" s="212" t="str">
        <f ca="1"/>
        <v>Day</v>
      </c>
      <c r="O540" s="220">
        <f ca="1"/>
        <v>0.91782608695652179</v>
      </c>
      <c r="P540" s="221">
        <f ca="1"/>
        <v>6900</v>
      </c>
      <c r="Q540" s="221">
        <f ca="1"/>
        <v>0</v>
      </c>
    </row>
    <row r="541" spans="1:17" ht="18" customHeight="1">
      <c r="A541" s="212" t="str">
        <f ca="1"/>
        <v>C39-AUG</v>
      </c>
      <c r="B541" s="218">
        <f ca="1"/>
        <v>46265</v>
      </c>
      <c r="C541" s="212" t="str">
        <f ca="1"/>
        <v>1,2,3,4</v>
      </c>
      <c r="D541" s="212" t="str">
        <f ca="1"/>
        <v>C39</v>
      </c>
      <c r="E541" s="212" t="str">
        <f ca="1"/>
        <v>Khapli</v>
      </c>
      <c r="F541" s="219">
        <f ca="1"/>
        <v>7300</v>
      </c>
      <c r="G541" s="219">
        <f ca="1"/>
        <v>58</v>
      </c>
      <c r="H541" s="219">
        <f ca="1"/>
        <v>73</v>
      </c>
      <c r="I541" s="219">
        <f ca="1"/>
        <v>34</v>
      </c>
      <c r="J541" s="219">
        <f ca="1"/>
        <v>323</v>
      </c>
      <c r="K541" s="219">
        <f ca="1"/>
        <v>488</v>
      </c>
      <c r="L541" s="219">
        <f ca="1"/>
        <v>6812</v>
      </c>
      <c r="M541" s="219">
        <f ca="1"/>
        <v>7</v>
      </c>
      <c r="N541" s="212" t="str">
        <f ca="1"/>
        <v>Day</v>
      </c>
      <c r="O541" s="220">
        <f ca="1"/>
        <v>0.93315068493150688</v>
      </c>
      <c r="P541" s="221">
        <f ca="1"/>
        <v>7300</v>
      </c>
      <c r="Q541" s="221">
        <f ca="1"/>
        <v>0</v>
      </c>
    </row>
    <row r="542" spans="1:17" ht="18" customHeight="1">
      <c r="A542" s="212" t="str">
        <f ca="1"/>
        <v>C6 SEP</v>
      </c>
      <c r="B542" s="218">
        <f ca="1"/>
        <v>46266</v>
      </c>
      <c r="C542" s="212" t="str">
        <f ca="1"/>
        <v>chakki1,2,3</v>
      </c>
      <c r="D542" s="212" t="str">
        <f ca="1"/>
        <v>C6 New Plant</v>
      </c>
      <c r="E542" s="212" t="str">
        <f ca="1"/>
        <v>khapli protein grains</v>
      </c>
      <c r="F542" s="219">
        <f ca="1"/>
        <v>5092</v>
      </c>
      <c r="G542" s="219">
        <f ca="1"/>
        <v>2</v>
      </c>
      <c r="H542" s="219">
        <f ca="1"/>
        <v>198</v>
      </c>
      <c r="I542" s="219">
        <f ca="1"/>
        <v>10</v>
      </c>
      <c r="J542" s="219">
        <f ca="1"/>
        <v>100</v>
      </c>
      <c r="K542" s="219">
        <f ca="1"/>
        <v>310</v>
      </c>
      <c r="L542" s="219">
        <f ca="1"/>
        <v>4782</v>
      </c>
      <c r="M542" s="219">
        <f ca="1"/>
        <v>3</v>
      </c>
      <c r="N542" s="212" t="str">
        <f ca="1"/>
        <v>Day</v>
      </c>
      <c r="O542" s="220">
        <f ca="1"/>
        <v>0.93912018853102908</v>
      </c>
      <c r="P542" s="221">
        <f ca="1"/>
        <v>5092</v>
      </c>
      <c r="Q542" s="221">
        <f ca="1"/>
        <v>0</v>
      </c>
    </row>
    <row r="543" spans="1:17" ht="18" customHeight="1">
      <c r="A543" s="212" t="str">
        <f ca="1"/>
        <v>C6 SEP</v>
      </c>
      <c r="B543" s="218">
        <f ca="1"/>
        <v>46266</v>
      </c>
      <c r="C543" s="212" t="str">
        <f ca="1"/>
        <v>chakki1,2,3</v>
      </c>
      <c r="D543" s="212" t="str">
        <f ca="1"/>
        <v>C6 Old Plant</v>
      </c>
      <c r="E543" s="212" t="str">
        <f ca="1"/>
        <v>khapli protein grains</v>
      </c>
      <c r="F543" s="219">
        <f ca="1"/>
        <v>2134</v>
      </c>
      <c r="G543" s="219">
        <f ca="1"/>
        <v>2</v>
      </c>
      <c r="H543" s="219">
        <f ca="1"/>
        <v>15.8</v>
      </c>
      <c r="I543" s="219">
        <f ca="1"/>
        <v>4</v>
      </c>
      <c r="J543" s="219">
        <f ca="1"/>
        <v>137.69999999999999</v>
      </c>
      <c r="K543" s="219">
        <f ca="1"/>
        <v>159.5</v>
      </c>
      <c r="L543" s="219">
        <f ca="1"/>
        <v>1974.5</v>
      </c>
      <c r="M543" s="219">
        <f ca="1"/>
        <v>3</v>
      </c>
      <c r="N543" s="212" t="str">
        <f ca="1"/>
        <v>Day</v>
      </c>
      <c r="O543" s="220">
        <f ca="1"/>
        <v>0.92525773195876293</v>
      </c>
      <c r="P543" s="221">
        <f ca="1"/>
        <v>2134</v>
      </c>
      <c r="Q543" s="221">
        <f ca="1"/>
        <v>0</v>
      </c>
    </row>
    <row r="544" spans="1:17" ht="18" customHeight="1">
      <c r="A544" s="212" t="str">
        <f ca="1"/>
        <v>C6 SEP</v>
      </c>
      <c r="B544" s="218">
        <f ca="1"/>
        <v>46267</v>
      </c>
      <c r="C544" s="212" t="str">
        <f ca="1"/>
        <v>chakki1,2,3</v>
      </c>
      <c r="D544" s="212" t="str">
        <f ca="1"/>
        <v>C6 New Plant</v>
      </c>
      <c r="E544" s="212" t="str">
        <f ca="1"/>
        <v>khapli protein grains</v>
      </c>
      <c r="F544" s="219">
        <f ca="1"/>
        <v>4462</v>
      </c>
      <c r="G544" s="219">
        <f ca="1"/>
        <v>1</v>
      </c>
      <c r="H544" s="219">
        <f ca="1"/>
        <v>160</v>
      </c>
      <c r="I544" s="219">
        <f ca="1"/>
        <v>3</v>
      </c>
      <c r="J544" s="219">
        <f ca="1"/>
        <v>196</v>
      </c>
      <c r="K544" s="219">
        <f ca="1"/>
        <v>360</v>
      </c>
      <c r="L544" s="219">
        <f ca="1"/>
        <v>4102</v>
      </c>
      <c r="M544" s="219">
        <f ca="1"/>
        <v>4</v>
      </c>
      <c r="N544" s="212" t="str">
        <f ca="1"/>
        <v>Day</v>
      </c>
      <c r="O544" s="220">
        <f ca="1"/>
        <v>0.91931869116987897</v>
      </c>
      <c r="P544" s="221">
        <f ca="1"/>
        <v>4462</v>
      </c>
      <c r="Q544" s="221">
        <f ca="1"/>
        <v>0</v>
      </c>
    </row>
    <row r="545" spans="1:17" ht="18" customHeight="1">
      <c r="A545" s="212" t="str">
        <f ca="1"/>
        <v>C6 SEP</v>
      </c>
      <c r="B545" s="218">
        <f ca="1"/>
        <v>46267</v>
      </c>
      <c r="C545" s="212" t="str">
        <f ca="1"/>
        <v>chakki1,2,3</v>
      </c>
      <c r="D545" s="212" t="str">
        <f ca="1"/>
        <v>C6 Old Plant</v>
      </c>
      <c r="E545" s="212" t="str">
        <f ca="1"/>
        <v>khapli multigrian 60%</v>
      </c>
      <c r="F545" s="219">
        <f ca="1"/>
        <v>1000</v>
      </c>
      <c r="G545" s="219">
        <f ca="1"/>
        <v>1</v>
      </c>
      <c r="H545" s="219">
        <f ca="1"/>
        <v>10</v>
      </c>
      <c r="I545" s="219">
        <f ca="1"/>
        <v>2</v>
      </c>
      <c r="J545" s="219">
        <f ca="1"/>
        <v>17</v>
      </c>
      <c r="K545" s="219">
        <f ca="1"/>
        <v>30</v>
      </c>
      <c r="L545" s="219">
        <f ca="1"/>
        <v>970</v>
      </c>
      <c r="M545" s="219">
        <f ca="1"/>
        <v>4</v>
      </c>
      <c r="N545" s="212" t="str">
        <f ca="1"/>
        <v>Day</v>
      </c>
      <c r="O545" s="220">
        <f ca="1"/>
        <v>0.97</v>
      </c>
      <c r="P545" s="221">
        <f ca="1"/>
        <v>1000</v>
      </c>
      <c r="Q545" s="221">
        <f ca="1"/>
        <v>0</v>
      </c>
    </row>
    <row r="546" spans="1:17" ht="18" customHeight="1">
      <c r="A546" s="212" t="str">
        <f ca="1"/>
        <v>C6 SEP</v>
      </c>
      <c r="B546" s="218">
        <f ca="1"/>
        <v>46268</v>
      </c>
      <c r="C546" s="212" t="str">
        <f ca="1"/>
        <v>chakki1,2,3</v>
      </c>
      <c r="D546" s="212" t="str">
        <f ca="1"/>
        <v>C6 New Plant</v>
      </c>
      <c r="E546" s="212" t="str">
        <f ca="1"/>
        <v>khapli protein grains</v>
      </c>
      <c r="F546" s="219">
        <f ca="1"/>
        <v>3395</v>
      </c>
      <c r="G546" s="219">
        <f ca="1"/>
        <v>1</v>
      </c>
      <c r="H546" s="219">
        <f ca="1"/>
        <v>160</v>
      </c>
      <c r="I546" s="219">
        <f ca="1"/>
        <v>3</v>
      </c>
      <c r="J546" s="219">
        <f ca="1"/>
        <v>54</v>
      </c>
      <c r="K546" s="219">
        <f ca="1"/>
        <v>218</v>
      </c>
      <c r="L546" s="219">
        <f ca="1"/>
        <v>3177</v>
      </c>
      <c r="M546" s="219">
        <f ca="1"/>
        <v>4</v>
      </c>
      <c r="N546" s="212" t="str">
        <f ca="1"/>
        <v>Day</v>
      </c>
      <c r="O546" s="220">
        <f ca="1"/>
        <v>0.9357879234167894</v>
      </c>
      <c r="P546" s="221">
        <f ca="1"/>
        <v>3395</v>
      </c>
      <c r="Q546" s="221">
        <f ca="1"/>
        <v>0</v>
      </c>
    </row>
    <row r="547" spans="1:17" ht="18" customHeight="1">
      <c r="A547" s="212" t="str">
        <f ca="1"/>
        <v>C6 SEP</v>
      </c>
      <c r="B547" s="218">
        <f ca="1"/>
        <v>46269</v>
      </c>
      <c r="C547" s="212" t="str">
        <f ca="1"/>
        <v>chakki1,2,3</v>
      </c>
      <c r="D547" s="212" t="str">
        <f ca="1"/>
        <v>C6 New Plant</v>
      </c>
      <c r="E547" s="212" t="str">
        <f ca="1"/>
        <v>khapli protein grains</v>
      </c>
      <c r="F547" s="219">
        <f ca="1"/>
        <v>4704.5</v>
      </c>
      <c r="G547" s="219">
        <f ca="1"/>
        <v>0</v>
      </c>
      <c r="H547" s="219">
        <f ca="1"/>
        <v>158</v>
      </c>
      <c r="I547" s="219">
        <f ca="1"/>
        <v>4</v>
      </c>
      <c r="J547" s="219">
        <f ca="1"/>
        <v>168.5</v>
      </c>
      <c r="K547" s="219">
        <f ca="1"/>
        <v>330.5</v>
      </c>
      <c r="L547" s="219">
        <f ca="1"/>
        <v>4374</v>
      </c>
      <c r="M547" s="219">
        <f ca="1"/>
        <v>4</v>
      </c>
      <c r="N547" s="212" t="str">
        <f ca="1"/>
        <v>Day</v>
      </c>
      <c r="O547" s="220">
        <f ca="1"/>
        <v>0.92974811350834308</v>
      </c>
      <c r="P547" s="221">
        <f ca="1"/>
        <v>4704.5</v>
      </c>
      <c r="Q547" s="221">
        <f ca="1"/>
        <v>0</v>
      </c>
    </row>
    <row r="548" spans="1:17" ht="18" customHeight="1">
      <c r="A548" s="212" t="str">
        <f ca="1"/>
        <v>C6 SEP</v>
      </c>
      <c r="B548" s="218">
        <f ca="1"/>
        <v>46270</v>
      </c>
      <c r="C548" s="212" t="str">
        <f ca="1"/>
        <v>chakki1,2,3</v>
      </c>
      <c r="D548" s="212" t="str">
        <f ca="1"/>
        <v>C6 New Plant</v>
      </c>
      <c r="E548" s="212" t="str">
        <f ca="1"/>
        <v>khapli protein grains</v>
      </c>
      <c r="F548" s="219">
        <f ca="1"/>
        <v>4413.5</v>
      </c>
      <c r="G548" s="219">
        <f ca="1"/>
        <v>1</v>
      </c>
      <c r="H548" s="219">
        <f ca="1"/>
        <v>165</v>
      </c>
      <c r="I548" s="219">
        <f ca="1"/>
        <v>2</v>
      </c>
      <c r="J548" s="219">
        <f ca="1"/>
        <v>188.5</v>
      </c>
      <c r="K548" s="219">
        <f ca="1"/>
        <v>356.5</v>
      </c>
      <c r="L548" s="219">
        <f ca="1"/>
        <v>4057</v>
      </c>
      <c r="M548" s="219">
        <f ca="1"/>
        <v>4</v>
      </c>
      <c r="N548" s="212" t="str">
        <f ca="1"/>
        <v>Day</v>
      </c>
      <c r="O548" s="220">
        <f ca="1"/>
        <v>0.91922510479211506</v>
      </c>
      <c r="P548" s="221">
        <f ca="1"/>
        <v>4413.5</v>
      </c>
      <c r="Q548" s="221">
        <f ca="1"/>
        <v>0</v>
      </c>
    </row>
    <row r="549" spans="1:17" ht="18" customHeight="1">
      <c r="A549" s="212" t="str">
        <f ca="1"/>
        <v>C6 SEP</v>
      </c>
      <c r="B549" s="218">
        <f ca="1"/>
        <v>46272</v>
      </c>
      <c r="C549" s="212" t="str">
        <f ca="1"/>
        <v>chakki1,2,3</v>
      </c>
      <c r="D549" s="212" t="str">
        <f ca="1"/>
        <v>C6 New Plant</v>
      </c>
      <c r="E549" s="212" t="str">
        <f ca="1"/>
        <v>khapli protein grains</v>
      </c>
      <c r="F549" s="219">
        <f ca="1"/>
        <v>4025.5</v>
      </c>
      <c r="G549" s="219">
        <f ca="1"/>
        <v>0</v>
      </c>
      <c r="H549" s="219">
        <f ca="1"/>
        <v>127</v>
      </c>
      <c r="I549" s="219">
        <f ca="1"/>
        <v>3</v>
      </c>
      <c r="J549" s="219">
        <f ca="1"/>
        <v>99.5</v>
      </c>
      <c r="K549" s="219">
        <f ca="1"/>
        <v>229.5</v>
      </c>
      <c r="L549" s="219">
        <f ca="1"/>
        <v>3796</v>
      </c>
      <c r="M549" s="219">
        <f ca="1"/>
        <v>4</v>
      </c>
      <c r="N549" s="212" t="str">
        <f ca="1"/>
        <v>Day</v>
      </c>
      <c r="O549" s="220">
        <f ca="1"/>
        <v>0.94298844863992048</v>
      </c>
      <c r="P549" s="221">
        <f ca="1"/>
        <v>4025.5</v>
      </c>
      <c r="Q549" s="221">
        <f ca="1"/>
        <v>0</v>
      </c>
    </row>
    <row r="550" spans="1:17" ht="18" customHeight="1">
      <c r="A550" s="212" t="str">
        <f ca="1"/>
        <v>C6 SEP</v>
      </c>
      <c r="B550" s="218">
        <f ca="1"/>
        <v>46273</v>
      </c>
      <c r="C550" s="212" t="str">
        <f ca="1"/>
        <v>chakki1,2,3</v>
      </c>
      <c r="D550" s="212" t="str">
        <f ca="1"/>
        <v>C6 New Plant</v>
      </c>
      <c r="E550" s="212" t="str">
        <f ca="1"/>
        <v>khapli protein grains</v>
      </c>
      <c r="F550" s="219">
        <f ca="1"/>
        <v>4654.3</v>
      </c>
      <c r="G550" s="219">
        <f ca="1"/>
        <v>1</v>
      </c>
      <c r="H550" s="219">
        <f ca="1"/>
        <v>210</v>
      </c>
      <c r="I550" s="219">
        <f ca="1"/>
        <v>2</v>
      </c>
      <c r="J550" s="219">
        <f ca="1"/>
        <v>77.3</v>
      </c>
      <c r="K550" s="219">
        <f ca="1"/>
        <v>290.3</v>
      </c>
      <c r="L550" s="219">
        <f ca="1"/>
        <v>4364</v>
      </c>
      <c r="M550" s="219">
        <f ca="1"/>
        <v>4</v>
      </c>
      <c r="N550" s="212" t="str">
        <f ca="1"/>
        <v>Day</v>
      </c>
      <c r="O550" s="220">
        <f ca="1"/>
        <v>0.93762757020389742</v>
      </c>
      <c r="P550" s="221">
        <f ca="1"/>
        <v>4654.3</v>
      </c>
      <c r="Q550" s="221">
        <f ca="1"/>
        <v>0</v>
      </c>
    </row>
    <row r="551" spans="1:17" ht="18" customHeight="1">
      <c r="A551" s="212" t="str">
        <f ca="1"/>
        <v>C6 SEP</v>
      </c>
      <c r="B551" s="218">
        <f ca="1"/>
        <v>46274</v>
      </c>
      <c r="C551" s="212" t="str">
        <f ca="1"/>
        <v>chakki1,2,3</v>
      </c>
      <c r="D551" s="212" t="str">
        <f ca="1"/>
        <v>C6 New Plant</v>
      </c>
      <c r="E551" s="212" t="str">
        <f ca="1"/>
        <v>khapli protein grains</v>
      </c>
      <c r="F551" s="219">
        <f ca="1"/>
        <v>3978</v>
      </c>
      <c r="G551" s="219">
        <f ca="1"/>
        <v>1</v>
      </c>
      <c r="H551" s="219">
        <f ca="1"/>
        <v>179</v>
      </c>
      <c r="I551" s="219">
        <f ca="1"/>
        <v>2</v>
      </c>
      <c r="J551" s="219">
        <f ca="1"/>
        <v>159</v>
      </c>
      <c r="K551" s="219">
        <f ca="1"/>
        <v>341</v>
      </c>
      <c r="L551" s="219">
        <f ca="1"/>
        <v>3637</v>
      </c>
      <c r="M551" s="219">
        <f ca="1"/>
        <v>4</v>
      </c>
      <c r="N551" s="212" t="str">
        <f ca="1"/>
        <v>Day</v>
      </c>
      <c r="O551" s="220">
        <f ca="1"/>
        <v>0.91427853192559072</v>
      </c>
      <c r="P551" s="221">
        <f ca="1"/>
        <v>3978</v>
      </c>
      <c r="Q551" s="221">
        <f ca="1"/>
        <v>0</v>
      </c>
    </row>
    <row r="552" spans="1:17" ht="18" customHeight="1">
      <c r="A552" s="212" t="str">
        <f ca="1"/>
        <v>C6 SEP</v>
      </c>
      <c r="B552" s="218">
        <f ca="1"/>
        <v>46275</v>
      </c>
      <c r="C552" s="212" t="str">
        <f ca="1"/>
        <v>chakki1,2,3</v>
      </c>
      <c r="D552" s="212" t="str">
        <f ca="1"/>
        <v>C6 New Plant</v>
      </c>
      <c r="E552" s="212" t="str">
        <f ca="1"/>
        <v>khapli protein grains</v>
      </c>
      <c r="F552" s="219">
        <f ca="1"/>
        <v>4549</v>
      </c>
      <c r="G552" s="219">
        <f ca="1"/>
        <v>1</v>
      </c>
      <c r="H552" s="219">
        <f ca="1"/>
        <v>209</v>
      </c>
      <c r="I552" s="219">
        <f ca="1"/>
        <v>3</v>
      </c>
      <c r="J552" s="219">
        <f ca="1"/>
        <v>164</v>
      </c>
      <c r="K552" s="219">
        <f ca="1"/>
        <v>377</v>
      </c>
      <c r="L552" s="219">
        <f ca="1"/>
        <v>4172</v>
      </c>
      <c r="M552" s="219">
        <f ca="1"/>
        <v>4</v>
      </c>
      <c r="N552" s="212" t="str">
        <f ca="1"/>
        <v>Day</v>
      </c>
      <c r="O552" s="220">
        <f ca="1"/>
        <v>0.9171246427786327</v>
      </c>
      <c r="P552" s="221">
        <f ca="1"/>
        <v>4549</v>
      </c>
      <c r="Q552" s="221">
        <f ca="1"/>
        <v>0</v>
      </c>
    </row>
    <row r="553" spans="1:17" ht="18" customHeight="1">
      <c r="A553" s="212" t="str">
        <f ca="1"/>
        <v>C6 SEP</v>
      </c>
      <c r="B553" s="218">
        <f ca="1"/>
        <v>46275</v>
      </c>
      <c r="C553" s="212" t="str">
        <f ca="1"/>
        <v>chakki1,2,3</v>
      </c>
      <c r="D553" s="212" t="str">
        <f ca="1"/>
        <v>C6 Old Plant</v>
      </c>
      <c r="E553" s="212" t="str">
        <f ca="1"/>
        <v>khapli protein grains</v>
      </c>
      <c r="F553" s="219">
        <f ca="1"/>
        <v>2182.5</v>
      </c>
      <c r="G553" s="219">
        <f ca="1"/>
        <v>1</v>
      </c>
      <c r="H553" s="219">
        <f ca="1"/>
        <v>14</v>
      </c>
      <c r="I553" s="219">
        <f ca="1"/>
        <v>2</v>
      </c>
      <c r="J553" s="219">
        <f ca="1"/>
        <v>140.5</v>
      </c>
      <c r="K553" s="219">
        <f ca="1"/>
        <v>157.5</v>
      </c>
      <c r="L553" s="219">
        <f ca="1"/>
        <v>2025</v>
      </c>
      <c r="M553" s="219">
        <f ca="1"/>
        <v>4</v>
      </c>
      <c r="N553" s="212" t="str">
        <f ca="1"/>
        <v>Day</v>
      </c>
      <c r="O553" s="220">
        <f ca="1"/>
        <v>0.92783505154639179</v>
      </c>
      <c r="P553" s="221">
        <f ca="1"/>
        <v>2182.5</v>
      </c>
      <c r="Q553" s="221">
        <f ca="1"/>
        <v>0</v>
      </c>
    </row>
    <row r="554" spans="1:17" ht="18" customHeight="1">
      <c r="A554" s="212" t="str">
        <f ca="1"/>
        <v>C6 SEP</v>
      </c>
      <c r="B554" s="218">
        <f ca="1"/>
        <v>46276</v>
      </c>
      <c r="C554" s="212" t="str">
        <f ca="1"/>
        <v>chakki1,2,3</v>
      </c>
      <c r="D554" s="212" t="str">
        <f ca="1"/>
        <v>C6 New Plant</v>
      </c>
      <c r="E554" s="212" t="str">
        <f ca="1"/>
        <v>khapli protein grains</v>
      </c>
      <c r="F554" s="219">
        <f ca="1"/>
        <v>4313.5</v>
      </c>
      <c r="G554" s="219">
        <f ca="1"/>
        <v>1</v>
      </c>
      <c r="H554" s="219">
        <f ca="1"/>
        <v>132</v>
      </c>
      <c r="I554" s="219">
        <f ca="1"/>
        <v>3</v>
      </c>
      <c r="J554" s="219">
        <f ca="1"/>
        <v>209.5</v>
      </c>
      <c r="K554" s="219">
        <f ca="1"/>
        <v>345.5</v>
      </c>
      <c r="L554" s="219">
        <f ca="1"/>
        <v>3968</v>
      </c>
      <c r="M554" s="219">
        <f ca="1"/>
        <v>4</v>
      </c>
      <c r="N554" s="212" t="str">
        <f ca="1"/>
        <v>Day</v>
      </c>
      <c r="O554" s="220">
        <f ca="1"/>
        <v>0.91990263127390748</v>
      </c>
      <c r="P554" s="221">
        <f ca="1"/>
        <v>4313.5</v>
      </c>
      <c r="Q554" s="221">
        <f ca="1"/>
        <v>0</v>
      </c>
    </row>
    <row r="555" spans="1:17" ht="18" customHeight="1">
      <c r="A555" s="212" t="str">
        <f ca="1"/>
        <v>C6 SEP</v>
      </c>
      <c r="B555" s="218">
        <f ca="1"/>
        <v>46276</v>
      </c>
      <c r="C555" s="212" t="str">
        <f ca="1"/>
        <v>chakki1,2,3</v>
      </c>
      <c r="D555" s="212" t="str">
        <f ca="1"/>
        <v>C6 Old Plant</v>
      </c>
      <c r="E555" s="212" t="str">
        <f ca="1"/>
        <v>khapli protein grains</v>
      </c>
      <c r="F555" s="219">
        <f ca="1"/>
        <v>1891.5</v>
      </c>
      <c r="G555" s="219">
        <f ca="1"/>
        <v>1</v>
      </c>
      <c r="H555" s="219">
        <f ca="1"/>
        <v>14</v>
      </c>
      <c r="I555" s="219">
        <f ca="1"/>
        <v>1</v>
      </c>
      <c r="J555" s="219">
        <f ca="1"/>
        <v>73.5</v>
      </c>
      <c r="K555" s="219">
        <f ca="1"/>
        <v>89.5</v>
      </c>
      <c r="L555" s="219">
        <f ca="1"/>
        <v>1802</v>
      </c>
      <c r="M555" s="219">
        <f ca="1"/>
        <v>4</v>
      </c>
      <c r="N555" s="212" t="str">
        <f ca="1"/>
        <v>Day</v>
      </c>
      <c r="O555" s="220">
        <f ca="1"/>
        <v>0.95268305577583923</v>
      </c>
      <c r="P555" s="221">
        <f ca="1"/>
        <v>1891.5</v>
      </c>
      <c r="Q555" s="221">
        <f ca="1"/>
        <v>0</v>
      </c>
    </row>
    <row r="556" spans="1:17" ht="18" customHeight="1">
      <c r="A556" s="212" t="str">
        <f ca="1"/>
        <v>C6 SEP</v>
      </c>
      <c r="B556" s="218">
        <f ca="1"/>
        <v>46277</v>
      </c>
      <c r="C556" s="212" t="str">
        <f ca="1"/>
        <v>chakki1,2,3</v>
      </c>
      <c r="D556" s="212" t="str">
        <f ca="1"/>
        <v>C6 New Plant</v>
      </c>
      <c r="E556" s="212" t="str">
        <f ca="1"/>
        <v>khapli protein grains</v>
      </c>
      <c r="F556" s="219">
        <f ca="1"/>
        <v>3926</v>
      </c>
      <c r="G556" s="219">
        <f ca="1"/>
        <v>1</v>
      </c>
      <c r="H556" s="219">
        <f ca="1"/>
        <v>161</v>
      </c>
      <c r="I556" s="219">
        <f ca="1"/>
        <v>2</v>
      </c>
      <c r="J556" s="219">
        <f ca="1"/>
        <v>125</v>
      </c>
      <c r="K556" s="219">
        <f ca="1"/>
        <v>289</v>
      </c>
      <c r="L556" s="219">
        <f ca="1"/>
        <v>3637</v>
      </c>
      <c r="M556" s="219">
        <f ca="1"/>
        <v>4</v>
      </c>
      <c r="N556" s="212" t="str">
        <f ca="1"/>
        <v>Day</v>
      </c>
      <c r="O556" s="220">
        <f ca="1"/>
        <v>0.92638818135506873</v>
      </c>
      <c r="P556" s="221">
        <f ca="1"/>
        <v>3926</v>
      </c>
      <c r="Q556" s="221">
        <f ca="1"/>
        <v>0</v>
      </c>
    </row>
    <row r="557" spans="1:17" ht="18" customHeight="1">
      <c r="A557" s="212" t="str">
        <f ca="1"/>
        <v>C6 SEP</v>
      </c>
      <c r="B557" s="218">
        <f ca="1"/>
        <v>46277</v>
      </c>
      <c r="C557" s="212" t="str">
        <f ca="1"/>
        <v>chakki1,2,3</v>
      </c>
      <c r="D557" s="212" t="str">
        <f ca="1"/>
        <v>C6 Old Plant</v>
      </c>
      <c r="E557" s="212" t="str">
        <f ca="1"/>
        <v>khapli protein grains</v>
      </c>
      <c r="F557" s="219">
        <f ca="1"/>
        <v>2037</v>
      </c>
      <c r="G557" s="219">
        <f ca="1"/>
        <v>1</v>
      </c>
      <c r="H557" s="219">
        <f ca="1"/>
        <v>12</v>
      </c>
      <c r="I557" s="219">
        <f ca="1"/>
        <v>2</v>
      </c>
      <c r="J557" s="219">
        <f ca="1"/>
        <v>102</v>
      </c>
      <c r="K557" s="219">
        <f ca="1"/>
        <v>117</v>
      </c>
      <c r="L557" s="219">
        <f ca="1"/>
        <v>1920</v>
      </c>
      <c r="M557" s="219">
        <f ca="1"/>
        <v>4</v>
      </c>
      <c r="N557" s="212" t="str">
        <f ca="1"/>
        <v>Day</v>
      </c>
      <c r="O557" s="220">
        <f ca="1"/>
        <v>0.94256259204712811</v>
      </c>
      <c r="P557" s="221">
        <f ca="1"/>
        <v>2037</v>
      </c>
      <c r="Q557" s="221">
        <f ca="1"/>
        <v>0</v>
      </c>
    </row>
    <row r="558" spans="1:17" ht="18" customHeight="1">
      <c r="A558" s="212" t="str">
        <f ca="1"/>
        <v>C6 SEP</v>
      </c>
      <c r="B558" s="218">
        <f ca="1"/>
        <v>46280</v>
      </c>
      <c r="C558" s="212" t="str">
        <f ca="1"/>
        <v>chakki1,2,3</v>
      </c>
      <c r="D558" s="212" t="str">
        <f ca="1"/>
        <v>C6 New Plant</v>
      </c>
      <c r="E558" s="212" t="str">
        <f ca="1"/>
        <v>khapli protein grains</v>
      </c>
      <c r="F558" s="219">
        <f ca="1"/>
        <v>3830</v>
      </c>
      <c r="G558" s="219">
        <f ca="1"/>
        <v>1</v>
      </c>
      <c r="H558" s="219">
        <f ca="1"/>
        <v>187</v>
      </c>
      <c r="I558" s="219">
        <f ca="1"/>
        <v>2</v>
      </c>
      <c r="J558" s="219">
        <f ca="1"/>
        <v>145</v>
      </c>
      <c r="K558" s="219">
        <f ca="1"/>
        <v>335</v>
      </c>
      <c r="L558" s="219">
        <f ca="1"/>
        <v>3495</v>
      </c>
      <c r="M558" s="219">
        <f ca="1"/>
        <v>4</v>
      </c>
      <c r="N558" s="212" t="str">
        <f ca="1"/>
        <v>Day</v>
      </c>
      <c r="O558" s="220">
        <f ca="1"/>
        <v>0.91253263707571797</v>
      </c>
      <c r="P558" s="221">
        <f ca="1"/>
        <v>3830</v>
      </c>
      <c r="Q558" s="221">
        <f ca="1"/>
        <v>0</v>
      </c>
    </row>
    <row r="559" spans="1:17" ht="18" customHeight="1">
      <c r="A559" s="212" t="str">
        <f ca="1"/>
        <v>C6 SEP</v>
      </c>
      <c r="B559" s="218">
        <f ca="1"/>
        <v>46280</v>
      </c>
      <c r="C559" s="212" t="str">
        <f ca="1"/>
        <v>chakki1,2,3</v>
      </c>
      <c r="D559" s="212" t="str">
        <f ca="1"/>
        <v>C6 Old Plant</v>
      </c>
      <c r="E559" s="212" t="str">
        <f ca="1"/>
        <v>khapli protein grains</v>
      </c>
      <c r="F559" s="219">
        <f ca="1"/>
        <v>1746</v>
      </c>
      <c r="G559" s="219">
        <f ca="1"/>
        <v>1</v>
      </c>
      <c r="H559" s="219">
        <f ca="1"/>
        <v>15</v>
      </c>
      <c r="I559" s="219">
        <f ca="1"/>
        <v>1</v>
      </c>
      <c r="J559" s="219">
        <f ca="1"/>
        <v>89</v>
      </c>
      <c r="K559" s="219">
        <f ca="1"/>
        <v>106</v>
      </c>
      <c r="L559" s="219">
        <f ca="1"/>
        <v>1640</v>
      </c>
      <c r="M559" s="219">
        <f ca="1"/>
        <v>4</v>
      </c>
      <c r="N559" s="212" t="str">
        <f ca="1"/>
        <v>Day</v>
      </c>
      <c r="O559" s="220">
        <f ca="1"/>
        <v>0.93928980526918671</v>
      </c>
      <c r="P559" s="221">
        <f ca="1"/>
        <v>1746</v>
      </c>
      <c r="Q559" s="221">
        <f ca="1"/>
        <v>0</v>
      </c>
    </row>
    <row r="560" spans="1:17" ht="18" customHeight="1">
      <c r="A560" s="212" t="str">
        <f ca="1"/>
        <v>C6 SEP</v>
      </c>
      <c r="B560" s="218">
        <f ca="1"/>
        <v>46281</v>
      </c>
      <c r="C560" s="212" t="str">
        <f ca="1"/>
        <v>chakki1,2,3</v>
      </c>
      <c r="D560" s="212" t="str">
        <f ca="1"/>
        <v>C6 New Plant</v>
      </c>
      <c r="E560" s="212" t="str">
        <f ca="1"/>
        <v>khapli protein grains</v>
      </c>
      <c r="F560" s="219">
        <f ca="1"/>
        <v>4023</v>
      </c>
      <c r="G560" s="219">
        <f ca="1"/>
        <v>1</v>
      </c>
      <c r="H560" s="219">
        <f ca="1"/>
        <v>210</v>
      </c>
      <c r="I560" s="219">
        <f ca="1"/>
        <v>1</v>
      </c>
      <c r="J560" s="219">
        <f ca="1"/>
        <v>76</v>
      </c>
      <c r="K560" s="219">
        <f ca="1"/>
        <v>288</v>
      </c>
      <c r="L560" s="219">
        <f ca="1"/>
        <v>3735</v>
      </c>
      <c r="M560" s="219">
        <f ca="1"/>
        <v>4</v>
      </c>
      <c r="N560" s="212" t="str">
        <f ca="1"/>
        <v>Day</v>
      </c>
      <c r="O560" s="220">
        <f ca="1"/>
        <v>0.92841163310961972</v>
      </c>
      <c r="P560" s="221">
        <f ca="1"/>
        <v>4023</v>
      </c>
      <c r="Q560" s="221">
        <f ca="1"/>
        <v>0</v>
      </c>
    </row>
    <row r="561" spans="1:17" ht="18" customHeight="1">
      <c r="A561" s="212" t="str">
        <f ca="1"/>
        <v>C6 SEP</v>
      </c>
      <c r="B561" s="218">
        <f ca="1"/>
        <v>46281</v>
      </c>
      <c r="C561" s="212" t="str">
        <f ca="1"/>
        <v>chakki1,2,3</v>
      </c>
      <c r="D561" s="212" t="str">
        <f ca="1"/>
        <v>C6 Old Plant</v>
      </c>
      <c r="E561" s="212" t="str">
        <f ca="1"/>
        <v>jowar grains</v>
      </c>
      <c r="F561" s="219">
        <f ca="1"/>
        <v>1200</v>
      </c>
      <c r="G561" s="219">
        <f ca="1"/>
        <v>0</v>
      </c>
      <c r="H561" s="219">
        <f ca="1"/>
        <v>36</v>
      </c>
      <c r="I561" s="219">
        <f ca="1"/>
        <v>1</v>
      </c>
      <c r="J561" s="219">
        <f ca="1"/>
        <v>74.5</v>
      </c>
      <c r="K561" s="219">
        <f ca="1"/>
        <v>111.5</v>
      </c>
      <c r="L561" s="219">
        <f ca="1"/>
        <v>1088.5</v>
      </c>
      <c r="M561" s="219">
        <f ca="1"/>
        <v>4</v>
      </c>
      <c r="N561" s="212" t="str">
        <f ca="1"/>
        <v>Day</v>
      </c>
      <c r="O561" s="220">
        <f ca="1"/>
        <v>0.90708333333333335</v>
      </c>
      <c r="P561" s="221">
        <f ca="1"/>
        <v>1200</v>
      </c>
      <c r="Q561" s="221">
        <f ca="1"/>
        <v>0</v>
      </c>
    </row>
    <row r="562" spans="1:17" ht="18" customHeight="1">
      <c r="A562" s="212" t="str">
        <f ca="1"/>
        <v>C6 SEP</v>
      </c>
      <c r="B562" s="218">
        <f ca="1"/>
        <v>46283</v>
      </c>
      <c r="C562" s="212" t="str">
        <f ca="1"/>
        <v>chakki1,2,3</v>
      </c>
      <c r="D562" s="212" t="str">
        <f ca="1"/>
        <v>C6 New Plant</v>
      </c>
      <c r="E562" s="212" t="str">
        <f ca="1"/>
        <v>khapli protein grains</v>
      </c>
      <c r="F562" s="219">
        <f ca="1"/>
        <v>4510.5</v>
      </c>
      <c r="G562" s="219">
        <f ca="1"/>
        <v>1</v>
      </c>
      <c r="H562" s="219">
        <f ca="1"/>
        <v>103</v>
      </c>
      <c r="I562" s="219">
        <f ca="1"/>
        <v>2</v>
      </c>
      <c r="J562" s="219">
        <f ca="1"/>
        <v>203.5</v>
      </c>
      <c r="K562" s="219">
        <f ca="1"/>
        <v>309.5</v>
      </c>
      <c r="L562" s="219">
        <f ca="1"/>
        <v>4201</v>
      </c>
      <c r="M562" s="219">
        <f ca="1"/>
        <v>4</v>
      </c>
      <c r="N562" s="212" t="str">
        <f ca="1"/>
        <v>Day</v>
      </c>
      <c r="O562" s="220">
        <f ca="1"/>
        <v>0.93138233011861216</v>
      </c>
      <c r="P562" s="221">
        <f ca="1"/>
        <v>4510.5</v>
      </c>
      <c r="Q562" s="221">
        <f ca="1"/>
        <v>0</v>
      </c>
    </row>
    <row r="563" spans="1:17" ht="18" customHeight="1">
      <c r="A563" s="212" t="str">
        <f ca="1"/>
        <v>C6 SEP</v>
      </c>
      <c r="B563" s="218">
        <f ca="1"/>
        <v>46283</v>
      </c>
      <c r="C563" s="212" t="str">
        <f ca="1"/>
        <v>chakki1,2,3</v>
      </c>
      <c r="D563" s="212" t="str">
        <f ca="1"/>
        <v>C6 Old Plant</v>
      </c>
      <c r="E563" s="212" t="str">
        <f ca="1"/>
        <v>jowar grains</v>
      </c>
      <c r="F563" s="219">
        <f ca="1"/>
        <v>215</v>
      </c>
      <c r="G563" s="219">
        <f ca="1"/>
        <v>0</v>
      </c>
      <c r="H563" s="219">
        <f ca="1"/>
        <v>3</v>
      </c>
      <c r="I563" s="219">
        <f ca="1"/>
        <v>0</v>
      </c>
      <c r="J563" s="219">
        <f ca="1"/>
        <v>12</v>
      </c>
      <c r="K563" s="219">
        <f ca="1"/>
        <v>15</v>
      </c>
      <c r="L563" s="219">
        <f ca="1"/>
        <v>200</v>
      </c>
      <c r="M563" s="219">
        <f ca="1"/>
        <v>4</v>
      </c>
      <c r="N563" s="212" t="str">
        <f ca="1"/>
        <v>Day</v>
      </c>
      <c r="O563" s="220">
        <f ca="1"/>
        <v>0.93023255813953487</v>
      </c>
      <c r="P563" s="221">
        <f ca="1"/>
        <v>215</v>
      </c>
      <c r="Q563" s="221">
        <f ca="1"/>
        <v>0</v>
      </c>
    </row>
    <row r="564" spans="1:17" ht="18" customHeight="1">
      <c r="A564" s="212" t="str">
        <f ca="1"/>
        <v>C6 SEP</v>
      </c>
      <c r="B564" s="218">
        <f ca="1"/>
        <v>46284</v>
      </c>
      <c r="C564" s="212" t="str">
        <f ca="1"/>
        <v>chakki1,2,3</v>
      </c>
      <c r="D564" s="212" t="str">
        <f ca="1"/>
        <v>C6 New Plant</v>
      </c>
      <c r="E564" s="212" t="str">
        <f ca="1"/>
        <v>khapli protein grains</v>
      </c>
      <c r="F564" s="219">
        <f ca="1"/>
        <v>4606</v>
      </c>
      <c r="G564" s="219">
        <f ca="1"/>
        <v>1</v>
      </c>
      <c r="H564" s="219">
        <f ca="1"/>
        <v>110</v>
      </c>
      <c r="I564" s="219">
        <f ca="1"/>
        <v>2</v>
      </c>
      <c r="J564" s="219">
        <f ca="1"/>
        <v>183</v>
      </c>
      <c r="K564" s="219">
        <f ca="1"/>
        <v>296</v>
      </c>
      <c r="L564" s="219">
        <f ca="1"/>
        <v>4310</v>
      </c>
      <c r="M564" s="219">
        <f ca="1"/>
        <v>4</v>
      </c>
      <c r="N564" s="212" t="str">
        <f ca="1"/>
        <v>Day</v>
      </c>
      <c r="O564" s="220">
        <f ca="1"/>
        <v>0.93573599652627004</v>
      </c>
      <c r="P564" s="221">
        <f ca="1"/>
        <v>4606</v>
      </c>
      <c r="Q564" s="221">
        <f ca="1"/>
        <v>0</v>
      </c>
    </row>
    <row r="565" spans="1:17" ht="18" customHeight="1">
      <c r="A565" s="212" t="str">
        <f ca="1"/>
        <v>C6 SEP</v>
      </c>
      <c r="B565" s="218">
        <f ca="1"/>
        <v>46284</v>
      </c>
      <c r="C565" s="212" t="str">
        <f ca="1"/>
        <v>chakki1,2,3</v>
      </c>
      <c r="D565" s="212" t="str">
        <f ca="1"/>
        <v>C6 Old Plant</v>
      </c>
      <c r="E565" s="212" t="str">
        <f ca="1"/>
        <v>khapli protein grains</v>
      </c>
      <c r="F565" s="219">
        <f ca="1"/>
        <v>2037</v>
      </c>
      <c r="G565" s="219">
        <f ca="1"/>
        <v>1</v>
      </c>
      <c r="H565" s="219">
        <f ca="1"/>
        <v>35</v>
      </c>
      <c r="I565" s="219">
        <f ca="1"/>
        <v>2</v>
      </c>
      <c r="J565" s="219">
        <f ca="1"/>
        <v>89</v>
      </c>
      <c r="K565" s="219">
        <f ca="1"/>
        <v>127</v>
      </c>
      <c r="L565" s="219">
        <f ca="1"/>
        <v>1910</v>
      </c>
      <c r="M565" s="219">
        <f ca="1"/>
        <v>4</v>
      </c>
      <c r="N565" s="212" t="str">
        <f ca="1"/>
        <v>Day</v>
      </c>
      <c r="O565" s="220">
        <f ca="1"/>
        <v>0.937653411880216</v>
      </c>
      <c r="P565" s="221">
        <f ca="1"/>
        <v>2037</v>
      </c>
      <c r="Q565" s="221">
        <f ca="1"/>
        <v>0</v>
      </c>
    </row>
    <row r="566" spans="1:17" ht="18" customHeight="1">
      <c r="A566" s="212" t="str">
        <f ca="1"/>
        <v>C6 SEP</v>
      </c>
      <c r="B566" s="218">
        <f ca="1"/>
        <v>46285</v>
      </c>
      <c r="C566" s="212" t="str">
        <f ca="1"/>
        <v>chakki1,2,3</v>
      </c>
      <c r="D566" s="212" t="str">
        <f ca="1"/>
        <v>C6 Old Plant</v>
      </c>
      <c r="E566" s="212" t="str">
        <f ca="1"/>
        <v>jowar grains</v>
      </c>
      <c r="F566" s="219">
        <f ca="1"/>
        <v>3250</v>
      </c>
      <c r="G566" s="219">
        <f ca="1"/>
        <v>1</v>
      </c>
      <c r="H566" s="219">
        <f ca="1"/>
        <v>44</v>
      </c>
      <c r="I566" s="219">
        <f ca="1"/>
        <v>2</v>
      </c>
      <c r="J566" s="219">
        <f ca="1"/>
        <v>147</v>
      </c>
      <c r="K566" s="219">
        <f ca="1"/>
        <v>194</v>
      </c>
      <c r="L566" s="219">
        <f ca="1"/>
        <v>3056</v>
      </c>
      <c r="M566" s="219">
        <f ca="1"/>
        <v>4</v>
      </c>
      <c r="N566" s="212" t="str">
        <f ca="1"/>
        <v>Day</v>
      </c>
      <c r="O566" s="220">
        <f ca="1"/>
        <v>0.94030769230769229</v>
      </c>
      <c r="P566" s="221">
        <f ca="1"/>
        <v>3250</v>
      </c>
      <c r="Q566" s="221">
        <f ca="1"/>
        <v>0</v>
      </c>
    </row>
    <row r="567" spans="1:17" ht="18" customHeight="1">
      <c r="A567" s="212" t="str">
        <f ca="1"/>
        <v>C6 SEP</v>
      </c>
      <c r="B567" s="218">
        <f ca="1"/>
        <v>46286</v>
      </c>
      <c r="C567" s="212" t="str">
        <f ca="1"/>
        <v>chakki1,2,3</v>
      </c>
      <c r="D567" s="212" t="str">
        <f ca="1"/>
        <v>C6 New Plant</v>
      </c>
      <c r="E567" s="212" t="str">
        <f ca="1"/>
        <v>jowar grains</v>
      </c>
      <c r="F567" s="219">
        <f ca="1"/>
        <v>3870</v>
      </c>
      <c r="G567" s="219">
        <f ca="1"/>
        <v>1</v>
      </c>
      <c r="H567" s="219">
        <f ca="1"/>
        <v>70</v>
      </c>
      <c r="I567" s="219">
        <f ca="1"/>
        <v>2</v>
      </c>
      <c r="J567" s="219">
        <f ca="1"/>
        <v>206</v>
      </c>
      <c r="K567" s="219">
        <f ca="1"/>
        <v>279</v>
      </c>
      <c r="L567" s="219">
        <f ca="1"/>
        <v>3591</v>
      </c>
      <c r="M567" s="219">
        <f ca="1"/>
        <v>4</v>
      </c>
      <c r="N567" s="212" t="str">
        <f ca="1"/>
        <v>Day</v>
      </c>
      <c r="O567" s="220">
        <f ca="1"/>
        <v>0.9279069767441861</v>
      </c>
      <c r="P567" s="221">
        <f ca="1"/>
        <v>3870</v>
      </c>
      <c r="Q567" s="221">
        <f ca="1"/>
        <v>0</v>
      </c>
    </row>
    <row r="568" spans="1:17" ht="18" customHeight="1">
      <c r="A568" s="212" t="str">
        <f ca="1"/>
        <v>C6 SEP</v>
      </c>
      <c r="B568" s="218">
        <f ca="1"/>
        <v>46287</v>
      </c>
      <c r="C568" s="212" t="str">
        <f ca="1"/>
        <v>chakki1,2,3</v>
      </c>
      <c r="D568" s="212" t="str">
        <f ca="1"/>
        <v>C6 New Plant</v>
      </c>
      <c r="E568" s="212" t="str">
        <f ca="1"/>
        <v>jowar grains</v>
      </c>
      <c r="F568" s="219">
        <f ca="1"/>
        <v>2900</v>
      </c>
      <c r="G568" s="219">
        <f ca="1"/>
        <v>1</v>
      </c>
      <c r="H568" s="219">
        <f ca="1"/>
        <v>109</v>
      </c>
      <c r="I568" s="219">
        <f ca="1"/>
        <v>2</v>
      </c>
      <c r="J568" s="219">
        <f ca="1"/>
        <v>68</v>
      </c>
      <c r="K568" s="219">
        <f ca="1"/>
        <v>180</v>
      </c>
      <c r="L568" s="219">
        <f ca="1"/>
        <v>2720</v>
      </c>
      <c r="M568" s="219">
        <f ca="1"/>
        <v>4</v>
      </c>
      <c r="N568" s="212" t="str">
        <f ca="1"/>
        <v>Day</v>
      </c>
      <c r="O568" s="220">
        <f ca="1"/>
        <v>0.93793103448275861</v>
      </c>
      <c r="P568" s="221">
        <f ca="1"/>
        <v>2900</v>
      </c>
      <c r="Q568" s="221">
        <f ca="1"/>
        <v>0</v>
      </c>
    </row>
    <row r="569" spans="1:17" ht="18" customHeight="1">
      <c r="A569" s="212" t="str">
        <f ca="1"/>
        <v>C6 SEP</v>
      </c>
      <c r="B569" s="218">
        <f ca="1"/>
        <v>46288</v>
      </c>
      <c r="C569" s="212" t="str">
        <f ca="1"/>
        <v>chakki1,2,3</v>
      </c>
      <c r="D569" s="212" t="str">
        <f ca="1"/>
        <v>C6 New Plant</v>
      </c>
      <c r="E569" s="212" t="str">
        <f ca="1"/>
        <v>khapli protein grains</v>
      </c>
      <c r="F569" s="219">
        <f ca="1"/>
        <v>3152.5</v>
      </c>
      <c r="G569" s="219">
        <f ca="1"/>
        <v>1</v>
      </c>
      <c r="H569" s="219">
        <f ca="1"/>
        <v>75</v>
      </c>
      <c r="I569" s="219">
        <f ca="1"/>
        <v>2</v>
      </c>
      <c r="J569" s="219">
        <f ca="1"/>
        <v>143.5</v>
      </c>
      <c r="K569" s="219">
        <f ca="1"/>
        <v>221.5</v>
      </c>
      <c r="L569" s="219">
        <f ca="1"/>
        <v>2931</v>
      </c>
      <c r="M569" s="219">
        <f ca="1"/>
        <v>4</v>
      </c>
      <c r="N569" s="212" t="str">
        <f ca="1"/>
        <v>Day</v>
      </c>
      <c r="O569" s="220">
        <f ca="1"/>
        <v>0.92973830293417925</v>
      </c>
      <c r="P569" s="221">
        <f ca="1"/>
        <v>3152.5</v>
      </c>
      <c r="Q569" s="221">
        <f ca="1"/>
        <v>0</v>
      </c>
    </row>
    <row r="570" spans="1:17" ht="18" customHeight="1">
      <c r="A570" s="212" t="str">
        <f ca="1"/>
        <v>C6 SEP</v>
      </c>
      <c r="B570" s="218">
        <f ca="1"/>
        <v>46288</v>
      </c>
      <c r="C570" s="212" t="str">
        <f ca="1"/>
        <v>chakki1,2,3</v>
      </c>
      <c r="D570" s="212" t="str">
        <f ca="1"/>
        <v>C6 Old Plant</v>
      </c>
      <c r="E570" s="212" t="str">
        <f ca="1"/>
        <v>khapli protein grains</v>
      </c>
      <c r="F570" s="219">
        <f ca="1"/>
        <v>2182.5</v>
      </c>
      <c r="G570" s="219">
        <f ca="1"/>
        <v>0</v>
      </c>
      <c r="H570" s="219">
        <f ca="1"/>
        <v>35</v>
      </c>
      <c r="I570" s="219">
        <f ca="1"/>
        <v>2</v>
      </c>
      <c r="J570" s="219">
        <f ca="1"/>
        <v>95.5</v>
      </c>
      <c r="K570" s="219">
        <f ca="1"/>
        <v>132.5</v>
      </c>
      <c r="L570" s="219">
        <f ca="1"/>
        <v>2050</v>
      </c>
      <c r="M570" s="219">
        <f ca="1"/>
        <v>4</v>
      </c>
      <c r="N570" s="212" t="str">
        <f ca="1"/>
        <v>Day</v>
      </c>
      <c r="O570" s="220">
        <f ca="1"/>
        <v>0.93928980526918671</v>
      </c>
      <c r="P570" s="221">
        <f ca="1"/>
        <v>2182.5</v>
      </c>
      <c r="Q570" s="221">
        <f ca="1"/>
        <v>0</v>
      </c>
    </row>
    <row r="571" spans="1:17" ht="18" customHeight="1">
      <c r="A571" s="212" t="str">
        <f ca="1"/>
        <v>C6 SEP</v>
      </c>
      <c r="B571" s="218">
        <f ca="1"/>
        <v>46290</v>
      </c>
      <c r="C571" s="212" t="str">
        <f ca="1"/>
        <v>chakki1,2,3</v>
      </c>
      <c r="D571" s="212" t="str">
        <f ca="1"/>
        <v>C6 New Plant</v>
      </c>
      <c r="E571" s="212" t="str">
        <f ca="1"/>
        <v>khapli protein grains</v>
      </c>
      <c r="F571" s="219">
        <f ca="1"/>
        <v>4898.5</v>
      </c>
      <c r="G571" s="219">
        <f ca="1"/>
        <v>1</v>
      </c>
      <c r="H571" s="219">
        <f ca="1"/>
        <v>91</v>
      </c>
      <c r="I571" s="219">
        <f ca="1"/>
        <v>3</v>
      </c>
      <c r="J571" s="219">
        <f ca="1"/>
        <v>166.5</v>
      </c>
      <c r="K571" s="219">
        <f ca="1"/>
        <v>261.5</v>
      </c>
      <c r="L571" s="219">
        <f ca="1"/>
        <v>4637</v>
      </c>
      <c r="M571" s="219">
        <f ca="1"/>
        <v>4</v>
      </c>
      <c r="N571" s="212" t="str">
        <f ca="1"/>
        <v>Day</v>
      </c>
      <c r="O571" s="220">
        <f ca="1"/>
        <v>0.9466163111156477</v>
      </c>
      <c r="P571" s="221">
        <f ca="1"/>
        <v>4898.5</v>
      </c>
      <c r="Q571" s="221">
        <f ca="1"/>
        <v>0</v>
      </c>
    </row>
    <row r="572" spans="1:17" ht="18" customHeight="1">
      <c r="A572" s="212" t="str">
        <f ca="1"/>
        <v>C6 SEP</v>
      </c>
      <c r="B572" s="218">
        <f ca="1"/>
        <v>46291</v>
      </c>
      <c r="C572" s="212" t="str">
        <f ca="1"/>
        <v>chakki1,2,3</v>
      </c>
      <c r="D572" s="212" t="str">
        <f ca="1"/>
        <v>C6 New Plant</v>
      </c>
      <c r="E572" s="212" t="str">
        <f ca="1"/>
        <v>Khapli Grains</v>
      </c>
      <c r="F572" s="219">
        <f ca="1"/>
        <v>2150</v>
      </c>
      <c r="G572" s="219">
        <f ca="1"/>
        <v>0</v>
      </c>
      <c r="H572" s="219">
        <f ca="1"/>
        <v>31</v>
      </c>
      <c r="I572" s="219">
        <f ca="1"/>
        <v>1</v>
      </c>
      <c r="J572" s="219">
        <f ca="1"/>
        <v>110</v>
      </c>
      <c r="K572" s="219">
        <f ca="1"/>
        <v>142</v>
      </c>
      <c r="L572" s="219">
        <f ca="1"/>
        <v>2008</v>
      </c>
      <c r="M572" s="219">
        <f ca="1"/>
        <v>4</v>
      </c>
      <c r="N572" s="212" t="str">
        <f ca="1"/>
        <v>Day</v>
      </c>
      <c r="O572" s="220">
        <f ca="1"/>
        <v>0.93395348837209302</v>
      </c>
      <c r="P572" s="221">
        <f ca="1"/>
        <v>2150</v>
      </c>
      <c r="Q572" s="221">
        <f ca="1"/>
        <v>0</v>
      </c>
    </row>
    <row r="573" spans="1:17" ht="18" customHeight="1">
      <c r="A573" s="212" t="str">
        <f ca="1"/>
        <v>C6 SEP</v>
      </c>
      <c r="B573" s="218">
        <f ca="1"/>
        <v>46291</v>
      </c>
      <c r="C573" s="212" t="str">
        <f ca="1"/>
        <v>chakki1,2,3</v>
      </c>
      <c r="D573" s="212" t="str">
        <f ca="1"/>
        <v>C6 Old Plant</v>
      </c>
      <c r="E573" s="212" t="str">
        <f ca="1"/>
        <v>Proteins grains 60%</v>
      </c>
      <c r="F573" s="219">
        <f ca="1"/>
        <v>100</v>
      </c>
      <c r="G573" s="219">
        <f ca="1"/>
        <v>0</v>
      </c>
      <c r="H573" s="219">
        <f ca="1"/>
        <v>0</v>
      </c>
      <c r="I573" s="219">
        <f ca="1"/>
        <v>0</v>
      </c>
      <c r="J573" s="219">
        <f ca="1"/>
        <v>8</v>
      </c>
      <c r="K573" s="219">
        <f ca="1"/>
        <v>8</v>
      </c>
      <c r="L573" s="219">
        <f ca="1"/>
        <v>92</v>
      </c>
      <c r="M573" s="219">
        <f ca="1"/>
        <v>4</v>
      </c>
      <c r="N573" s="212" t="str">
        <f ca="1"/>
        <v>Day</v>
      </c>
      <c r="O573" s="220">
        <f ca="1"/>
        <v>0.92</v>
      </c>
      <c r="P573" s="221">
        <f ca="1"/>
        <v>100</v>
      </c>
      <c r="Q573" s="221">
        <f ca="1"/>
        <v>0</v>
      </c>
    </row>
    <row r="574" spans="1:17" ht="18" customHeight="1">
      <c r="A574" s="212" t="str">
        <f ca="1"/>
        <v>C6 SEP</v>
      </c>
      <c r="B574" s="218">
        <f ca="1"/>
        <v>46291</v>
      </c>
      <c r="C574" s="212" t="str">
        <f ca="1"/>
        <v>chakki1,2,3</v>
      </c>
      <c r="D574" s="212" t="str">
        <f ca="1"/>
        <v>C6 Old Plant</v>
      </c>
      <c r="E574" s="212" t="str">
        <f ca="1"/>
        <v>multigrain 60%</v>
      </c>
      <c r="F574" s="219">
        <f ca="1"/>
        <v>100</v>
      </c>
      <c r="G574" s="219">
        <f ca="1"/>
        <v>0</v>
      </c>
      <c r="H574" s="219">
        <f ca="1"/>
        <v>0</v>
      </c>
      <c r="I574" s="219">
        <f ca="1"/>
        <v>0</v>
      </c>
      <c r="J574" s="219">
        <f ca="1"/>
        <v>9</v>
      </c>
      <c r="K574" s="219">
        <f ca="1"/>
        <v>9</v>
      </c>
      <c r="L574" s="219">
        <f ca="1"/>
        <v>91</v>
      </c>
      <c r="M574" s="219">
        <f ca="1"/>
        <v>4</v>
      </c>
      <c r="N574" s="212" t="str">
        <f ca="1"/>
        <v>Day</v>
      </c>
      <c r="O574" s="220">
        <f ca="1"/>
        <v>0.91</v>
      </c>
      <c r="P574" s="221">
        <f ca="1"/>
        <v>100</v>
      </c>
      <c r="Q574" s="221">
        <f ca="1"/>
        <v>0</v>
      </c>
    </row>
    <row r="575" spans="1:17" ht="18" customHeight="1">
      <c r="A575" s="212" t="str">
        <f ca="1"/>
        <v>C6 SEP</v>
      </c>
      <c r="B575" s="218">
        <f ca="1"/>
        <v>46292</v>
      </c>
      <c r="C575" s="212" t="str">
        <f ca="1"/>
        <v>chakki1,2,3</v>
      </c>
      <c r="D575" s="212" t="str">
        <f ca="1"/>
        <v>C6 New Plant</v>
      </c>
      <c r="E575" s="212" t="str">
        <f ca="1"/>
        <v>Khapli Grains</v>
      </c>
      <c r="F575" s="219">
        <f ca="1"/>
        <v>2800</v>
      </c>
      <c r="G575" s="219">
        <f ca="1"/>
        <v>1</v>
      </c>
      <c r="H575" s="219">
        <f ca="1"/>
        <v>19</v>
      </c>
      <c r="I575" s="219">
        <f ca="1"/>
        <v>2</v>
      </c>
      <c r="J575" s="219">
        <f ca="1"/>
        <v>148</v>
      </c>
      <c r="K575" s="219">
        <f ca="1"/>
        <v>170</v>
      </c>
      <c r="L575" s="219">
        <f ca="1"/>
        <v>2630</v>
      </c>
      <c r="M575" s="219">
        <f ca="1"/>
        <v>3</v>
      </c>
      <c r="N575" s="212" t="str">
        <f ca="1"/>
        <v>Day</v>
      </c>
      <c r="O575" s="220">
        <f ca="1"/>
        <v>0.93928571428571428</v>
      </c>
      <c r="P575" s="221">
        <f ca="1"/>
        <v>2800</v>
      </c>
      <c r="Q575" s="221">
        <f ca="1"/>
        <v>0</v>
      </c>
    </row>
    <row r="576" spans="1:17" ht="18" customHeight="1">
      <c r="A576" s="212" t="str">
        <f ca="1"/>
        <v>C6 SEP</v>
      </c>
      <c r="B576" s="218">
        <f ca="1"/>
        <v>46293</v>
      </c>
      <c r="C576" s="212" t="str">
        <f ca="1"/>
        <v>chakki1,2,3</v>
      </c>
      <c r="D576" s="212" t="str">
        <f ca="1"/>
        <v>C6 New Plant</v>
      </c>
      <c r="E576" s="212" t="str">
        <f ca="1"/>
        <v>Khapli Grains</v>
      </c>
      <c r="F576" s="219">
        <f ca="1"/>
        <v>3500</v>
      </c>
      <c r="G576" s="219">
        <f ca="1"/>
        <v>1</v>
      </c>
      <c r="H576" s="219">
        <f ca="1"/>
        <v>33</v>
      </c>
      <c r="I576" s="219">
        <f ca="1"/>
        <v>2</v>
      </c>
      <c r="J576" s="219">
        <f ca="1"/>
        <v>224</v>
      </c>
      <c r="K576" s="219">
        <f ca="1"/>
        <v>260</v>
      </c>
      <c r="L576" s="219">
        <f ca="1"/>
        <v>3240</v>
      </c>
      <c r="M576" s="219">
        <f ca="1"/>
        <v>3</v>
      </c>
      <c r="N576" s="212" t="str">
        <f ca="1"/>
        <v>Day</v>
      </c>
      <c r="O576" s="220">
        <f ca="1"/>
        <v>0.92571428571428571</v>
      </c>
      <c r="P576" s="221">
        <f ca="1"/>
        <v>3500</v>
      </c>
      <c r="Q576" s="221">
        <f ca="1"/>
        <v>0</v>
      </c>
    </row>
    <row r="577" spans="1:17" ht="18" customHeight="1">
      <c r="A577" s="212" t="str">
        <f ca="1"/>
        <v>C6 SEP</v>
      </c>
      <c r="B577" s="218">
        <f ca="1"/>
        <v>46294</v>
      </c>
      <c r="C577" s="212" t="str">
        <f ca="1"/>
        <v>chakki1,2,3</v>
      </c>
      <c r="D577" s="212" t="str">
        <f ca="1"/>
        <v>C6 New Plant</v>
      </c>
      <c r="E577" s="212" t="str">
        <f ca="1"/>
        <v>multigrain 60%</v>
      </c>
      <c r="F577" s="219">
        <f ca="1"/>
        <v>2450</v>
      </c>
      <c r="G577" s="219">
        <f ca="1"/>
        <v>1</v>
      </c>
      <c r="H577" s="219">
        <f ca="1"/>
        <v>35</v>
      </c>
      <c r="I577" s="219">
        <f ca="1"/>
        <v>2</v>
      </c>
      <c r="J577" s="219">
        <f ca="1"/>
        <v>110</v>
      </c>
      <c r="K577" s="219">
        <f ca="1"/>
        <v>148</v>
      </c>
      <c r="L577" s="219">
        <f ca="1"/>
        <v>2302</v>
      </c>
      <c r="M577" s="219">
        <f ca="1"/>
        <v>4</v>
      </c>
      <c r="N577" s="212" t="str">
        <f ca="1"/>
        <v>Day</v>
      </c>
      <c r="O577" s="220">
        <f ca="1"/>
        <v>0.93959183673469393</v>
      </c>
      <c r="P577" s="221">
        <f ca="1"/>
        <v>2450</v>
      </c>
      <c r="Q577" s="221">
        <f ca="1"/>
        <v>0</v>
      </c>
    </row>
    <row r="578" spans="1:17" ht="18" customHeight="1">
      <c r="A578" s="212" t="str">
        <f ca="1"/>
        <v>C6 SEP</v>
      </c>
      <c r="B578" s="218">
        <f ca="1"/>
        <v>46294</v>
      </c>
      <c r="C578" s="212" t="str">
        <f ca="1"/>
        <v>chakki1</v>
      </c>
      <c r="D578" s="212" t="str">
        <f ca="1"/>
        <v>C6 Old Plant</v>
      </c>
      <c r="E578" s="212" t="str">
        <f ca="1"/>
        <v>Bajra</v>
      </c>
      <c r="F578" s="219">
        <f ca="1"/>
        <v>30</v>
      </c>
      <c r="G578" s="219">
        <f ca="1"/>
        <v>0</v>
      </c>
      <c r="H578" s="219">
        <f ca="1"/>
        <v>0</v>
      </c>
      <c r="I578" s="219">
        <f ca="1"/>
        <v>0</v>
      </c>
      <c r="J578" s="219">
        <f ca="1"/>
        <v>1</v>
      </c>
      <c r="K578" s="219">
        <f ca="1"/>
        <v>1</v>
      </c>
      <c r="L578" s="219">
        <f ca="1"/>
        <v>29</v>
      </c>
      <c r="M578" s="219">
        <f ca="1"/>
        <v>3</v>
      </c>
      <c r="N578" s="212" t="str">
        <f ca="1"/>
        <v>Day</v>
      </c>
      <c r="O578" s="220">
        <f ca="1"/>
        <v>0.96666666666666667</v>
      </c>
      <c r="P578" s="221">
        <f ca="1"/>
        <v>30</v>
      </c>
      <c r="Q578" s="221">
        <f ca="1"/>
        <v>0</v>
      </c>
    </row>
    <row r="579" spans="1:17" ht="18" customHeight="1">
      <c r="A579" s="212" t="str">
        <f ca="1"/>
        <v>C6 SEP</v>
      </c>
      <c r="B579" s="218">
        <f ca="1"/>
        <v>46295</v>
      </c>
      <c r="C579" s="212" t="str">
        <f ca="1"/>
        <v>chakki1,2,3</v>
      </c>
      <c r="D579" s="212" t="str">
        <f ca="1"/>
        <v>C6 New Plant</v>
      </c>
      <c r="E579" s="212" t="str">
        <f ca="1"/>
        <v>Proteins grains 60%</v>
      </c>
      <c r="F579" s="219">
        <f ca="1"/>
        <v>3135</v>
      </c>
      <c r="G579" s="219">
        <f ca="1"/>
        <v>1</v>
      </c>
      <c r="H579" s="219">
        <f ca="1"/>
        <v>67</v>
      </c>
      <c r="I579" s="219">
        <f ca="1"/>
        <v>2</v>
      </c>
      <c r="J579" s="219">
        <f ca="1"/>
        <v>159</v>
      </c>
      <c r="K579" s="219">
        <f ca="1"/>
        <v>229</v>
      </c>
      <c r="L579" s="219">
        <f ca="1"/>
        <v>2906</v>
      </c>
      <c r="M579" s="219">
        <f ca="1"/>
        <v>4</v>
      </c>
      <c r="N579" s="212" t="str">
        <f ca="1"/>
        <v>Day</v>
      </c>
      <c r="O579" s="220">
        <f ca="1"/>
        <v>0.92695374800637964</v>
      </c>
      <c r="P579" s="221">
        <f ca="1"/>
        <v>3135</v>
      </c>
      <c r="Q579" s="221">
        <f ca="1"/>
        <v>0</v>
      </c>
    </row>
    <row r="580" spans="1:17" ht="18" customHeight="1">
      <c r="A580" s="212" t="str">
        <f ca="1"/>
        <v>C6 SEP</v>
      </c>
      <c r="B580" s="218">
        <f ca="1"/>
        <v>46295</v>
      </c>
      <c r="C580" s="212" t="str">
        <f ca="1"/>
        <v>chakki1,2,3</v>
      </c>
      <c r="D580" s="212" t="str">
        <f ca="1"/>
        <v>C6 New Plant</v>
      </c>
      <c r="E580" s="212" t="str">
        <f ca="1"/>
        <v>khapli grains</v>
      </c>
      <c r="F580" s="219">
        <f ca="1"/>
        <v>450</v>
      </c>
      <c r="G580" s="219">
        <f ca="1"/>
        <v>0</v>
      </c>
      <c r="H580" s="219">
        <f ca="1"/>
        <v>11</v>
      </c>
      <c r="I580" s="219">
        <f ca="1"/>
        <v>0.5</v>
      </c>
      <c r="J580" s="219">
        <f ca="1"/>
        <v>23.5</v>
      </c>
      <c r="K580" s="219">
        <f ca="1"/>
        <v>35</v>
      </c>
      <c r="L580" s="219">
        <f ca="1"/>
        <v>415</v>
      </c>
      <c r="M580" s="219">
        <f ca="1"/>
        <v>4</v>
      </c>
      <c r="N580" s="212">
        <f ca="1"/>
        <v>0</v>
      </c>
      <c r="O580" s="220">
        <f ca="1"/>
        <v>0.92222222222222228</v>
      </c>
      <c r="P580" s="221">
        <f ca="1"/>
        <v>450</v>
      </c>
      <c r="Q580" s="221">
        <f ca="1"/>
        <v>0</v>
      </c>
    </row>
    <row r="581" spans="1:17" ht="18" customHeight="1">
      <c r="A581" s="212" t="str">
        <f ca="1"/>
        <v>C39 SEP</v>
      </c>
      <c r="B581" s="218">
        <f ca="1"/>
        <v>46266</v>
      </c>
      <c r="C581" s="212" t="str">
        <f ca="1"/>
        <v>1,2,3,4</v>
      </c>
      <c r="D581" s="212" t="str">
        <f ca="1"/>
        <v>C39</v>
      </c>
      <c r="E581" s="212" t="str">
        <f ca="1"/>
        <v>Khapli</v>
      </c>
      <c r="F581" s="219">
        <f ca="1"/>
        <v>14620</v>
      </c>
      <c r="G581" s="219">
        <f ca="1"/>
        <v>48</v>
      </c>
      <c r="H581" s="219">
        <f ca="1"/>
        <v>30</v>
      </c>
      <c r="I581" s="219">
        <f ca="1"/>
        <v>30.7</v>
      </c>
      <c r="J581" s="219">
        <f ca="1"/>
        <v>921.3</v>
      </c>
      <c r="K581" s="219">
        <f ca="1"/>
        <v>1030</v>
      </c>
      <c r="L581" s="219">
        <f ca="1"/>
        <v>13590</v>
      </c>
      <c r="M581" s="219">
        <f ca="1"/>
        <v>7</v>
      </c>
      <c r="N581" s="212" t="str">
        <f ca="1"/>
        <v>Day</v>
      </c>
      <c r="O581" s="220">
        <f ca="1"/>
        <v>0.92954856361149107</v>
      </c>
      <c r="P581" s="221">
        <f ca="1"/>
        <v>14620</v>
      </c>
      <c r="Q581" s="221">
        <f ca="1"/>
        <v>0</v>
      </c>
    </row>
    <row r="582" spans="1:17" ht="18" customHeight="1">
      <c r="A582" s="212" t="str">
        <f ca="1"/>
        <v>C39 SEP</v>
      </c>
      <c r="B582" s="218">
        <f ca="1"/>
        <v>46267</v>
      </c>
      <c r="C582" s="212" t="str">
        <f ca="1"/>
        <v>1,2,3,4</v>
      </c>
      <c r="D582" s="212" t="str">
        <f ca="1"/>
        <v>C39</v>
      </c>
      <c r="E582" s="212" t="str">
        <f ca="1"/>
        <v>Khapli</v>
      </c>
      <c r="F582" s="219">
        <f ca="1"/>
        <v>8300</v>
      </c>
      <c r="G582" s="219">
        <f ca="1"/>
        <v>56</v>
      </c>
      <c r="H582" s="219">
        <f ca="1"/>
        <v>135</v>
      </c>
      <c r="I582" s="219">
        <f ca="1"/>
        <v>25</v>
      </c>
      <c r="J582" s="219">
        <f ca="1"/>
        <v>484</v>
      </c>
      <c r="K582" s="219">
        <f ca="1"/>
        <v>700</v>
      </c>
      <c r="L582" s="219">
        <f ca="1"/>
        <v>7600</v>
      </c>
      <c r="M582" s="219">
        <f ca="1"/>
        <v>7</v>
      </c>
      <c r="N582" s="212" t="str">
        <f ca="1"/>
        <v>Day</v>
      </c>
      <c r="O582" s="220">
        <f ca="1"/>
        <v>0.91566265060240959</v>
      </c>
      <c r="P582" s="221">
        <f ca="1"/>
        <v>8300</v>
      </c>
      <c r="Q582" s="221">
        <f ca="1"/>
        <v>0</v>
      </c>
    </row>
    <row r="583" spans="1:17" ht="18" customHeight="1">
      <c r="A583" s="212" t="str">
        <f ca="1"/>
        <v>C39 SEP</v>
      </c>
      <c r="B583" s="218">
        <f ca="1"/>
        <v>46268</v>
      </c>
      <c r="C583" s="212" t="str">
        <f ca="1"/>
        <v>1,2,3,4</v>
      </c>
      <c r="D583" s="212" t="str">
        <f ca="1"/>
        <v>C39</v>
      </c>
      <c r="E583" s="212" t="str">
        <f ca="1"/>
        <v>Khapli</v>
      </c>
      <c r="F583" s="219">
        <f ca="1"/>
        <v>6550</v>
      </c>
      <c r="G583" s="219">
        <f ca="1"/>
        <v>32</v>
      </c>
      <c r="H583" s="219">
        <f ca="1"/>
        <v>38</v>
      </c>
      <c r="I583" s="219">
        <f ca="1"/>
        <v>19</v>
      </c>
      <c r="J583" s="219">
        <f ca="1"/>
        <v>261</v>
      </c>
      <c r="K583" s="219">
        <f ca="1"/>
        <v>350</v>
      </c>
      <c r="L583" s="219">
        <f ca="1"/>
        <v>6200</v>
      </c>
      <c r="M583" s="219">
        <f ca="1"/>
        <v>7</v>
      </c>
      <c r="N583" s="212" t="str">
        <f ca="1"/>
        <v>Day</v>
      </c>
      <c r="O583" s="220">
        <f ca="1"/>
        <v>0.94656488549618323</v>
      </c>
      <c r="P583" s="221">
        <f ca="1"/>
        <v>6550</v>
      </c>
      <c r="Q583" s="221">
        <f ca="1"/>
        <v>0</v>
      </c>
    </row>
    <row r="584" spans="1:17" ht="18" customHeight="1">
      <c r="A584" s="212" t="str">
        <f ca="1"/>
        <v>C39 SEP</v>
      </c>
      <c r="B584" s="218">
        <f ca="1"/>
        <v>46268</v>
      </c>
      <c r="C584" s="212" t="str">
        <f ca="1"/>
        <v>blender</v>
      </c>
      <c r="D584" s="212" t="str">
        <f ca="1"/>
        <v>C39</v>
      </c>
      <c r="E584" s="212" t="str">
        <f ca="1"/>
        <v>Besan</v>
      </c>
      <c r="F584" s="219">
        <f ca="1"/>
        <v>620</v>
      </c>
      <c r="G584" s="219">
        <f ca="1"/>
        <v>0</v>
      </c>
      <c r="H584" s="219">
        <f ca="1"/>
        <v>0</v>
      </c>
      <c r="I584" s="219">
        <f ca="1"/>
        <v>5</v>
      </c>
      <c r="J584" s="219">
        <f ca="1"/>
        <v>10</v>
      </c>
      <c r="K584" s="219">
        <f ca="1"/>
        <v>30</v>
      </c>
      <c r="L584" s="219">
        <f ca="1"/>
        <v>590</v>
      </c>
      <c r="M584" s="219">
        <f ca="1"/>
        <v>1</v>
      </c>
      <c r="N584" s="212" t="str">
        <f ca="1"/>
        <v>Day</v>
      </c>
      <c r="O584" s="220">
        <f ca="1"/>
        <v>0.95161290322580649</v>
      </c>
      <c r="P584" s="221">
        <f ca="1"/>
        <v>620</v>
      </c>
      <c r="Q584" s="221">
        <f ca="1"/>
        <v>0</v>
      </c>
    </row>
    <row r="585" spans="1:17" ht="18" customHeight="1">
      <c r="A585" s="212" t="str">
        <f ca="1"/>
        <v>C39 SEP</v>
      </c>
      <c r="B585" s="218">
        <f ca="1"/>
        <v>46269</v>
      </c>
      <c r="C585" s="212" t="str">
        <f ca="1"/>
        <v>1,2,3,4</v>
      </c>
      <c r="D585" s="212" t="str">
        <f ca="1"/>
        <v>C39</v>
      </c>
      <c r="E585" s="212" t="str">
        <f ca="1"/>
        <v>Khapli</v>
      </c>
      <c r="F585" s="219">
        <f ca="1"/>
        <v>6800</v>
      </c>
      <c r="G585" s="219">
        <f ca="1"/>
        <v>38</v>
      </c>
      <c r="H585" s="219">
        <f ca="1"/>
        <v>32</v>
      </c>
      <c r="I585" s="219">
        <f ca="1"/>
        <v>16</v>
      </c>
      <c r="J585" s="219">
        <f ca="1"/>
        <v>356</v>
      </c>
      <c r="K585" s="219">
        <f ca="1"/>
        <v>442</v>
      </c>
      <c r="L585" s="219">
        <f ca="1"/>
        <v>6358</v>
      </c>
      <c r="M585" s="219">
        <f ca="1"/>
        <v>7</v>
      </c>
      <c r="N585" s="212" t="str">
        <f ca="1"/>
        <v>Day</v>
      </c>
      <c r="O585" s="220">
        <f ca="1"/>
        <v>0.93500000000000005</v>
      </c>
      <c r="P585" s="221">
        <f ca="1"/>
        <v>6800</v>
      </c>
      <c r="Q585" s="221">
        <f ca="1"/>
        <v>0</v>
      </c>
    </row>
    <row r="586" spans="1:17" ht="18" customHeight="1">
      <c r="A586" s="212" t="str">
        <f ca="1"/>
        <v>C39 SEP</v>
      </c>
      <c r="B586" s="218">
        <f ca="1"/>
        <v>46269</v>
      </c>
      <c r="C586" s="212" t="str">
        <f ca="1"/>
        <v>blender</v>
      </c>
      <c r="D586" s="212" t="str">
        <f ca="1"/>
        <v>C39</v>
      </c>
      <c r="E586" s="212" t="str">
        <f ca="1"/>
        <v>Besan</v>
      </c>
      <c r="F586" s="219">
        <f ca="1"/>
        <v>290</v>
      </c>
      <c r="G586" s="219">
        <f ca="1"/>
        <v>0</v>
      </c>
      <c r="H586" s="219">
        <f ca="1"/>
        <v>0</v>
      </c>
      <c r="I586" s="219">
        <f ca="1"/>
        <v>8</v>
      </c>
      <c r="J586" s="219">
        <f ca="1"/>
        <v>12</v>
      </c>
      <c r="K586" s="219">
        <f ca="1"/>
        <v>20</v>
      </c>
      <c r="L586" s="219">
        <f ca="1"/>
        <v>270</v>
      </c>
      <c r="M586" s="219">
        <f ca="1"/>
        <v>1</v>
      </c>
      <c r="N586" s="212" t="str">
        <f ca="1"/>
        <v>Day</v>
      </c>
      <c r="O586" s="220">
        <f ca="1"/>
        <v>0.93103448275862066</v>
      </c>
      <c r="P586" s="221">
        <f ca="1"/>
        <v>290</v>
      </c>
      <c r="Q586" s="221">
        <f ca="1"/>
        <v>0</v>
      </c>
    </row>
    <row r="587" spans="1:17" ht="18" customHeight="1">
      <c r="A587" s="212" t="str">
        <f ca="1"/>
        <v>C39 SEP</v>
      </c>
      <c r="B587" s="218">
        <f ca="1"/>
        <v>46270</v>
      </c>
      <c r="C587" s="212" t="str">
        <f ca="1"/>
        <v>1,2,3,4</v>
      </c>
      <c r="D587" s="212" t="str">
        <f ca="1"/>
        <v>C39</v>
      </c>
      <c r="E587" s="212" t="str">
        <f ca="1"/>
        <v>Khapli</v>
      </c>
      <c r="F587" s="219">
        <f ca="1"/>
        <v>8900</v>
      </c>
      <c r="G587" s="219">
        <f ca="1"/>
        <v>28</v>
      </c>
      <c r="H587" s="219">
        <f ca="1"/>
        <v>41</v>
      </c>
      <c r="I587" s="219">
        <f ca="1"/>
        <v>26</v>
      </c>
      <c r="J587" s="219">
        <f ca="1"/>
        <v>405</v>
      </c>
      <c r="K587" s="219">
        <f ca="1"/>
        <v>500</v>
      </c>
      <c r="L587" s="219">
        <f ca="1"/>
        <v>8400</v>
      </c>
      <c r="M587" s="219">
        <f ca="1"/>
        <v>7</v>
      </c>
      <c r="N587" s="212" t="str">
        <f ca="1"/>
        <v>Day</v>
      </c>
      <c r="O587" s="220">
        <f ca="1"/>
        <v>0.9438202247191011</v>
      </c>
      <c r="P587" s="221">
        <f ca="1"/>
        <v>8900</v>
      </c>
      <c r="Q587" s="221">
        <f ca="1"/>
        <v>0</v>
      </c>
    </row>
    <row r="588" spans="1:17" ht="18" customHeight="1">
      <c r="A588" s="212" t="str">
        <f ca="1"/>
        <v>C39 SEP</v>
      </c>
      <c r="B588" s="218">
        <f ca="1"/>
        <v>46270</v>
      </c>
      <c r="C588" s="212" t="str">
        <f ca="1"/>
        <v>blender</v>
      </c>
      <c r="D588" s="212" t="str">
        <f ca="1"/>
        <v>C39</v>
      </c>
      <c r="E588" s="212" t="str">
        <f ca="1"/>
        <v>Besan</v>
      </c>
      <c r="F588" s="219">
        <f ca="1"/>
        <v>1050</v>
      </c>
      <c r="G588" s="219">
        <f ca="1"/>
        <v>0</v>
      </c>
      <c r="H588" s="219">
        <f ca="1"/>
        <v>5</v>
      </c>
      <c r="I588" s="219">
        <f ca="1"/>
        <v>10</v>
      </c>
      <c r="J588" s="219">
        <f ca="1"/>
        <v>5</v>
      </c>
      <c r="K588" s="219">
        <f ca="1"/>
        <v>20</v>
      </c>
      <c r="L588" s="219">
        <f ca="1"/>
        <v>1030</v>
      </c>
      <c r="M588" s="219">
        <f ca="1"/>
        <v>1</v>
      </c>
      <c r="N588" s="212" t="str">
        <f ca="1"/>
        <v>Day</v>
      </c>
      <c r="O588" s="220">
        <f ca="1"/>
        <v>0.98095238095238091</v>
      </c>
      <c r="P588" s="221">
        <f ca="1"/>
        <v>1050</v>
      </c>
      <c r="Q588" s="221">
        <f ca="1"/>
        <v>0</v>
      </c>
    </row>
    <row r="589" spans="1:17" ht="18" customHeight="1">
      <c r="A589" s="212" t="str">
        <f ca="1"/>
        <v>C39 SEP</v>
      </c>
      <c r="B589" s="218">
        <f ca="1"/>
        <v>46271</v>
      </c>
      <c r="C589" s="212" t="str">
        <f ca="1"/>
        <v>blender</v>
      </c>
      <c r="D589" s="212" t="str">
        <f ca="1"/>
        <v>C39</v>
      </c>
      <c r="E589" s="212" t="str">
        <f ca="1"/>
        <v>Besan</v>
      </c>
      <c r="F589" s="219">
        <f ca="1"/>
        <v>480</v>
      </c>
      <c r="G589" s="219">
        <f ca="1"/>
        <v>0</v>
      </c>
      <c r="H589" s="219">
        <f ca="1"/>
        <v>8</v>
      </c>
      <c r="I589" s="219">
        <f ca="1"/>
        <v>10</v>
      </c>
      <c r="J589" s="219">
        <f ca="1"/>
        <v>12</v>
      </c>
      <c r="K589" s="219">
        <f ca="1"/>
        <v>30</v>
      </c>
      <c r="L589" s="219">
        <f ca="1"/>
        <v>450</v>
      </c>
      <c r="M589" s="219">
        <f ca="1"/>
        <v>1</v>
      </c>
      <c r="N589" s="212" t="str">
        <f ca="1"/>
        <v>Day</v>
      </c>
      <c r="O589" s="220">
        <f ca="1"/>
        <v>0.9375</v>
      </c>
      <c r="P589" s="221">
        <f ca="1"/>
        <v>480</v>
      </c>
      <c r="Q589" s="221">
        <f ca="1"/>
        <v>0</v>
      </c>
    </row>
    <row r="590" spans="1:17" ht="18" customHeight="1">
      <c r="A590" s="212" t="str">
        <f ca="1"/>
        <v>C39 SEP</v>
      </c>
      <c r="B590" s="218">
        <f ca="1"/>
        <v>46272</v>
      </c>
      <c r="C590" s="212" t="str">
        <f ca="1"/>
        <v>1,2,3,4</v>
      </c>
      <c r="D590" s="212" t="str">
        <f ca="1"/>
        <v>C39</v>
      </c>
      <c r="E590" s="212" t="str">
        <f ca="1"/>
        <v>Khapli</v>
      </c>
      <c r="F590" s="219">
        <f ca="1"/>
        <v>9000</v>
      </c>
      <c r="G590" s="219">
        <f ca="1"/>
        <v>55</v>
      </c>
      <c r="H590" s="219">
        <f ca="1"/>
        <v>25</v>
      </c>
      <c r="I590" s="219">
        <f ca="1"/>
        <v>28</v>
      </c>
      <c r="J590" s="219">
        <f ca="1"/>
        <v>442</v>
      </c>
      <c r="K590" s="219">
        <f ca="1"/>
        <v>550</v>
      </c>
      <c r="L590" s="219">
        <f ca="1"/>
        <v>8450</v>
      </c>
      <c r="M590" s="219">
        <f ca="1"/>
        <v>7</v>
      </c>
      <c r="N590" s="212" t="str">
        <f ca="1"/>
        <v>Day</v>
      </c>
      <c r="O590" s="220">
        <f ca="1"/>
        <v>0.93888888888888888</v>
      </c>
      <c r="P590" s="221">
        <f ca="1"/>
        <v>9000</v>
      </c>
      <c r="Q590" s="221">
        <f ca="1"/>
        <v>0</v>
      </c>
    </row>
    <row r="591" spans="1:17" ht="18" customHeight="1">
      <c r="A591" s="212" t="str">
        <f ca="1"/>
        <v>C39 SEP</v>
      </c>
      <c r="B591" s="218">
        <f ca="1"/>
        <v>46273</v>
      </c>
      <c r="C591" s="212" t="str">
        <f ca="1"/>
        <v>1,2,3,4</v>
      </c>
      <c r="D591" s="212" t="str">
        <f ca="1"/>
        <v>C39</v>
      </c>
      <c r="E591" s="212" t="str">
        <f ca="1"/>
        <v>Khapli</v>
      </c>
      <c r="F591" s="219">
        <f ca="1"/>
        <v>7600</v>
      </c>
      <c r="G591" s="219">
        <f ca="1"/>
        <v>48</v>
      </c>
      <c r="H591" s="219">
        <f ca="1"/>
        <v>22</v>
      </c>
      <c r="I591" s="219">
        <f ca="1"/>
        <v>31</v>
      </c>
      <c r="J591" s="219">
        <f ca="1"/>
        <v>390</v>
      </c>
      <c r="K591" s="219">
        <f ca="1"/>
        <v>491</v>
      </c>
      <c r="L591" s="219">
        <f ca="1"/>
        <v>7109</v>
      </c>
      <c r="M591" s="219">
        <f ca="1"/>
        <v>7</v>
      </c>
      <c r="N591" s="212" t="str">
        <f ca="1"/>
        <v>Day</v>
      </c>
      <c r="O591" s="220">
        <f ca="1"/>
        <v>0.93539473684210528</v>
      </c>
      <c r="P591" s="221">
        <f ca="1"/>
        <v>7600</v>
      </c>
      <c r="Q591" s="221">
        <f ca="1"/>
        <v>0</v>
      </c>
    </row>
    <row r="592" spans="1:17" ht="18" customHeight="1">
      <c r="A592" s="212" t="str">
        <f ca="1"/>
        <v>C39 SEP</v>
      </c>
      <c r="B592" s="218">
        <f ca="1"/>
        <v>46274</v>
      </c>
      <c r="C592" s="212" t="str">
        <f ca="1"/>
        <v>1,2,3,4</v>
      </c>
      <c r="D592" s="212" t="str">
        <f ca="1"/>
        <v>C39</v>
      </c>
      <c r="E592" s="212" t="str">
        <f ca="1"/>
        <v>Khapli</v>
      </c>
      <c r="F592" s="219">
        <f ca="1"/>
        <v>8600</v>
      </c>
      <c r="G592" s="219">
        <f ca="1"/>
        <v>54</v>
      </c>
      <c r="H592" s="219">
        <f ca="1"/>
        <v>36</v>
      </c>
      <c r="I592" s="219">
        <f ca="1"/>
        <v>22</v>
      </c>
      <c r="J592" s="219">
        <f ca="1"/>
        <v>338</v>
      </c>
      <c r="K592" s="219">
        <f ca="1"/>
        <v>450</v>
      </c>
      <c r="L592" s="219">
        <f ca="1"/>
        <v>8150</v>
      </c>
      <c r="M592" s="219">
        <f ca="1"/>
        <v>7</v>
      </c>
      <c r="N592" s="212" t="str">
        <f ca="1"/>
        <v>Day</v>
      </c>
      <c r="O592" s="220">
        <f ca="1"/>
        <v>0.94767441860465118</v>
      </c>
      <c r="P592" s="221">
        <f ca="1"/>
        <v>8600</v>
      </c>
      <c r="Q592" s="221">
        <f ca="1"/>
        <v>0</v>
      </c>
    </row>
    <row r="593" spans="1:17" ht="18" customHeight="1">
      <c r="A593" s="212" t="str">
        <f ca="1"/>
        <v>C39 SEP</v>
      </c>
      <c r="B593" s="218">
        <f ca="1"/>
        <v>46275</v>
      </c>
      <c r="C593" s="212" t="str">
        <f ca="1"/>
        <v>1,2,3,4</v>
      </c>
      <c r="D593" s="212" t="str">
        <f ca="1"/>
        <v>C39</v>
      </c>
      <c r="E593" s="212" t="str">
        <f ca="1"/>
        <v>Multigrain</v>
      </c>
      <c r="F593" s="219">
        <f ca="1"/>
        <v>3500</v>
      </c>
      <c r="G593" s="219">
        <f ca="1"/>
        <v>15</v>
      </c>
      <c r="H593" s="219">
        <f ca="1"/>
        <v>6.3</v>
      </c>
      <c r="I593" s="219">
        <f ca="1"/>
        <v>12</v>
      </c>
      <c r="J593" s="219">
        <f ca="1"/>
        <v>186.7</v>
      </c>
      <c r="K593" s="219">
        <f ca="1"/>
        <v>220</v>
      </c>
      <c r="L593" s="219">
        <f ca="1"/>
        <v>3280</v>
      </c>
      <c r="M593" s="219">
        <f ca="1"/>
        <v>7</v>
      </c>
      <c r="N593" s="212" t="str">
        <f ca="1"/>
        <v>Day</v>
      </c>
      <c r="O593" s="220">
        <f ca="1"/>
        <v>0.93714285714285717</v>
      </c>
      <c r="P593" s="221">
        <f ca="1"/>
        <v>3500</v>
      </c>
      <c r="Q593" s="221">
        <f ca="1"/>
        <v>0</v>
      </c>
    </row>
    <row r="594" spans="1:17" ht="18" customHeight="1">
      <c r="A594" s="212" t="str">
        <f ca="1"/>
        <v>C39 SEP</v>
      </c>
      <c r="B594" s="218">
        <f ca="1"/>
        <v>46276</v>
      </c>
      <c r="C594" s="212" t="str">
        <f ca="1"/>
        <v>1,2,3,4</v>
      </c>
      <c r="D594" s="212" t="str">
        <f ca="1"/>
        <v>C39</v>
      </c>
      <c r="E594" s="212" t="str">
        <f ca="1"/>
        <v>Multigrain</v>
      </c>
      <c r="F594" s="219">
        <f ca="1"/>
        <v>12750</v>
      </c>
      <c r="G594" s="219">
        <f ca="1"/>
        <v>56</v>
      </c>
      <c r="H594" s="219">
        <f ca="1"/>
        <v>464</v>
      </c>
      <c r="I594" s="219">
        <f ca="1"/>
        <v>29</v>
      </c>
      <c r="J594" s="219">
        <f ca="1"/>
        <v>401</v>
      </c>
      <c r="K594" s="219">
        <f ca="1"/>
        <v>950</v>
      </c>
      <c r="L594" s="219">
        <f ca="1"/>
        <v>11800</v>
      </c>
      <c r="M594" s="219">
        <f ca="1"/>
        <v>7</v>
      </c>
      <c r="N594" s="212" t="str">
        <f ca="1"/>
        <v>Day</v>
      </c>
      <c r="O594" s="220">
        <f ca="1"/>
        <v>0.93</v>
      </c>
      <c r="P594" s="221">
        <f ca="1"/>
        <v>12750</v>
      </c>
      <c r="Q594" s="221">
        <f ca="1"/>
        <v>0</v>
      </c>
    </row>
    <row r="595" spans="1:17" ht="18" customHeight="1">
      <c r="A595" s="212" t="str">
        <f ca="1"/>
        <v>C39 SEP</v>
      </c>
      <c r="B595" s="218">
        <f ca="1"/>
        <v>46277</v>
      </c>
      <c r="C595" s="212" t="str">
        <f ca="1"/>
        <v>1,2,3,4</v>
      </c>
      <c r="D595" s="212" t="str">
        <f ca="1"/>
        <v>C39</v>
      </c>
      <c r="E595" s="212" t="str">
        <f ca="1"/>
        <v>Multigrain</v>
      </c>
      <c r="F595" s="219">
        <f ca="1"/>
        <v>9250</v>
      </c>
      <c r="G595" s="219">
        <f ca="1"/>
        <v>46</v>
      </c>
      <c r="H595" s="219">
        <f ca="1"/>
        <v>241</v>
      </c>
      <c r="I595" s="219">
        <f ca="1"/>
        <v>18</v>
      </c>
      <c r="J595" s="219">
        <f ca="1"/>
        <v>295</v>
      </c>
      <c r="K595" s="219">
        <f ca="1"/>
        <v>600</v>
      </c>
      <c r="L595" s="219">
        <f ca="1"/>
        <v>8650</v>
      </c>
      <c r="M595" s="219">
        <f ca="1"/>
        <v>7</v>
      </c>
      <c r="N595" s="212" t="str">
        <f ca="1"/>
        <v>Day</v>
      </c>
      <c r="O595" s="220">
        <f ca="1"/>
        <v>0.93</v>
      </c>
      <c r="P595" s="221">
        <f ca="1"/>
        <v>9250</v>
      </c>
      <c r="Q595" s="221">
        <f ca="1"/>
        <v>0</v>
      </c>
    </row>
    <row r="596" spans="1:17" ht="18" customHeight="1">
      <c r="A596" s="212" t="str">
        <f ca="1"/>
        <v>C39 SEP</v>
      </c>
      <c r="B596" s="218">
        <f ca="1"/>
        <v>46280</v>
      </c>
      <c r="C596" s="212" t="str">
        <f ca="1"/>
        <v>1,2,3,4</v>
      </c>
      <c r="D596" s="212" t="str">
        <f ca="1"/>
        <v>C39</v>
      </c>
      <c r="E596" s="212" t="str">
        <f ca="1"/>
        <v>Multigrain</v>
      </c>
      <c r="F596" s="219">
        <f ca="1"/>
        <v>10420</v>
      </c>
      <c r="G596" s="219">
        <f ca="1"/>
        <v>32</v>
      </c>
      <c r="H596" s="219">
        <f ca="1"/>
        <v>95</v>
      </c>
      <c r="I596" s="219">
        <f ca="1"/>
        <v>29</v>
      </c>
      <c r="J596" s="219">
        <f ca="1"/>
        <v>413</v>
      </c>
      <c r="K596" s="219">
        <f ca="1"/>
        <v>575</v>
      </c>
      <c r="L596" s="219">
        <f ca="1"/>
        <v>9845</v>
      </c>
      <c r="M596" s="219">
        <f ca="1"/>
        <v>7</v>
      </c>
      <c r="N596" s="212" t="str">
        <f ca="1"/>
        <v>Day</v>
      </c>
      <c r="O596" s="220">
        <f ca="1"/>
        <v>0.94481765834932818</v>
      </c>
      <c r="P596" s="221">
        <f ca="1"/>
        <v>10420</v>
      </c>
      <c r="Q596" s="221">
        <f ca="1"/>
        <v>0</v>
      </c>
    </row>
    <row r="597" spans="1:17" ht="18" customHeight="1">
      <c r="A597" s="212" t="str">
        <f ca="1"/>
        <v>C39 SEP</v>
      </c>
      <c r="B597" s="218">
        <f ca="1"/>
        <v>46281</v>
      </c>
      <c r="C597" s="212" t="str">
        <f ca="1"/>
        <v>1,2,3,4</v>
      </c>
      <c r="D597" s="212" t="str">
        <f ca="1"/>
        <v>C39</v>
      </c>
      <c r="E597" s="212" t="str">
        <f ca="1"/>
        <v>Multigrain</v>
      </c>
      <c r="F597" s="219">
        <f ca="1"/>
        <v>3300</v>
      </c>
      <c r="G597" s="219">
        <f ca="1"/>
        <v>16</v>
      </c>
      <c r="H597" s="219">
        <f ca="1"/>
        <v>8</v>
      </c>
      <c r="I597" s="219">
        <f ca="1"/>
        <v>13</v>
      </c>
      <c r="J597" s="219">
        <f ca="1"/>
        <v>63</v>
      </c>
      <c r="K597" s="219">
        <f ca="1"/>
        <v>100</v>
      </c>
      <c r="L597" s="219">
        <f ca="1"/>
        <v>3070</v>
      </c>
      <c r="M597" s="219">
        <f ca="1"/>
        <v>7</v>
      </c>
      <c r="N597" s="212" t="str">
        <f ca="1"/>
        <v>Day</v>
      </c>
      <c r="O597" s="220">
        <f ca="1"/>
        <v>0.9303030303030303</v>
      </c>
      <c r="P597" s="221">
        <f ca="1"/>
        <v>3300</v>
      </c>
      <c r="Q597" s="221">
        <f ca="1"/>
        <v>0</v>
      </c>
    </row>
    <row r="598" spans="1:17" ht="18" customHeight="1">
      <c r="A598" s="212" t="str">
        <f ca="1"/>
        <v>C39 SEP</v>
      </c>
      <c r="B598" s="218">
        <f ca="1"/>
        <v>46283</v>
      </c>
      <c r="C598" s="212" t="str">
        <f ca="1"/>
        <v>1,2,3,4</v>
      </c>
      <c r="D598" s="212" t="str">
        <f ca="1"/>
        <v>C39</v>
      </c>
      <c r="E598" s="212" t="str">
        <f ca="1"/>
        <v>Multigrain</v>
      </c>
      <c r="F598" s="219">
        <f ca="1"/>
        <v>6350</v>
      </c>
      <c r="G598" s="219">
        <f ca="1"/>
        <v>36</v>
      </c>
      <c r="H598" s="219">
        <f ca="1"/>
        <v>68</v>
      </c>
      <c r="I598" s="219">
        <f ca="1"/>
        <v>29</v>
      </c>
      <c r="J598" s="219">
        <f ca="1"/>
        <v>287</v>
      </c>
      <c r="K598" s="219">
        <f ca="1"/>
        <v>420</v>
      </c>
      <c r="L598" s="219">
        <f ca="1"/>
        <v>5930</v>
      </c>
      <c r="M598" s="219">
        <f ca="1"/>
        <v>7</v>
      </c>
      <c r="N598" s="212" t="str">
        <f ca="1"/>
        <v>Day</v>
      </c>
      <c r="O598" s="220">
        <f ca="1"/>
        <v>0.93385826771653546</v>
      </c>
      <c r="P598" s="221">
        <f ca="1"/>
        <v>6350</v>
      </c>
      <c r="Q598" s="221">
        <f ca="1"/>
        <v>0</v>
      </c>
    </row>
    <row r="599" spans="1:17" ht="18" customHeight="1">
      <c r="A599" s="212" t="str">
        <f ca="1"/>
        <v>C39 SEP</v>
      </c>
      <c r="B599" s="218">
        <f ca="1"/>
        <v>46284</v>
      </c>
      <c r="C599" s="212" t="str">
        <f ca="1"/>
        <v>1,2,3,4</v>
      </c>
      <c r="D599" s="212" t="str">
        <f ca="1"/>
        <v>C39</v>
      </c>
      <c r="E599" s="212" t="str">
        <f ca="1"/>
        <v>Multigrain</v>
      </c>
      <c r="F599" s="219">
        <f ca="1"/>
        <v>12270</v>
      </c>
      <c r="G599" s="219">
        <f ca="1"/>
        <v>38</v>
      </c>
      <c r="H599" s="219">
        <f ca="1"/>
        <v>605</v>
      </c>
      <c r="I599" s="219">
        <f ca="1"/>
        <v>32</v>
      </c>
      <c r="J599" s="219">
        <f ca="1"/>
        <v>165</v>
      </c>
      <c r="K599" s="219">
        <f ca="1"/>
        <v>840</v>
      </c>
      <c r="L599" s="219">
        <f ca="1"/>
        <v>11430</v>
      </c>
      <c r="M599" s="219">
        <f ca="1"/>
        <v>7</v>
      </c>
      <c r="N599" s="212" t="str">
        <f ca="1"/>
        <v>Day</v>
      </c>
      <c r="O599" s="220">
        <f ca="1"/>
        <v>0.93154034229828853</v>
      </c>
      <c r="P599" s="221">
        <f ca="1"/>
        <v>12270</v>
      </c>
      <c r="Q599" s="221">
        <f ca="1"/>
        <v>0</v>
      </c>
    </row>
    <row r="600" spans="1:17" ht="18" customHeight="1">
      <c r="A600" s="212" t="str">
        <f ca="1"/>
        <v>C39 SEP</v>
      </c>
      <c r="B600" s="218">
        <f ca="1"/>
        <v>46285</v>
      </c>
      <c r="C600" s="212" t="str">
        <f ca="1"/>
        <v>1,2,3,4</v>
      </c>
      <c r="D600" s="212" t="str">
        <f ca="1"/>
        <v>C39</v>
      </c>
      <c r="E600" s="212" t="str">
        <f ca="1"/>
        <v>Multigrain</v>
      </c>
      <c r="F600" s="219">
        <f ca="1"/>
        <v>9600</v>
      </c>
      <c r="G600" s="219">
        <f ca="1"/>
        <v>32</v>
      </c>
      <c r="H600" s="219">
        <f ca="1"/>
        <v>534</v>
      </c>
      <c r="I600" s="219">
        <f ca="1"/>
        <v>28</v>
      </c>
      <c r="J600" s="219">
        <f ca="1"/>
        <v>81</v>
      </c>
      <c r="K600" s="219">
        <f ca="1"/>
        <v>675</v>
      </c>
      <c r="L600" s="219">
        <f ca="1"/>
        <v>8925</v>
      </c>
      <c r="M600" s="219">
        <f ca="1"/>
        <v>7</v>
      </c>
      <c r="N600" s="212" t="str">
        <f ca="1"/>
        <v>Day</v>
      </c>
      <c r="O600" s="220">
        <f ca="1"/>
        <v>0.9296875</v>
      </c>
      <c r="P600" s="221">
        <f ca="1"/>
        <v>9600</v>
      </c>
      <c r="Q600" s="221">
        <f ca="1"/>
        <v>0</v>
      </c>
    </row>
    <row r="601" spans="1:17" ht="18" customHeight="1">
      <c r="A601" s="212" t="str">
        <f ca="1"/>
        <v>C39 SEP</v>
      </c>
      <c r="B601" s="218">
        <f ca="1"/>
        <v>46286</v>
      </c>
      <c r="C601" s="212" t="str">
        <f ca="1"/>
        <v>1,2,34</v>
      </c>
      <c r="D601" s="212" t="str">
        <f ca="1"/>
        <v>C39</v>
      </c>
      <c r="E601" s="212" t="str">
        <f ca="1"/>
        <v>Multigrain</v>
      </c>
      <c r="F601" s="219">
        <f ca="1"/>
        <v>11500</v>
      </c>
      <c r="G601" s="219">
        <f ca="1"/>
        <v>36</v>
      </c>
      <c r="H601" s="219">
        <f ca="1"/>
        <v>185</v>
      </c>
      <c r="I601" s="219">
        <f ca="1"/>
        <v>31</v>
      </c>
      <c r="J601" s="219">
        <f ca="1"/>
        <v>428</v>
      </c>
      <c r="K601" s="219">
        <f ca="1"/>
        <v>680</v>
      </c>
      <c r="L601" s="219">
        <f ca="1"/>
        <v>10820</v>
      </c>
      <c r="M601" s="219">
        <f ca="1"/>
        <v>7</v>
      </c>
      <c r="N601" s="212" t="str">
        <f ca="1"/>
        <v>Day</v>
      </c>
      <c r="O601" s="220">
        <f ca="1"/>
        <v>0.94086956521739129</v>
      </c>
      <c r="P601" s="221">
        <f ca="1"/>
        <v>11500</v>
      </c>
      <c r="Q601" s="221">
        <f ca="1"/>
        <v>0</v>
      </c>
    </row>
    <row r="602" spans="1:17" ht="18" customHeight="1">
      <c r="A602" s="212" t="str">
        <f ca="1"/>
        <v>C39 SEP</v>
      </c>
      <c r="B602" s="218">
        <f ca="1"/>
        <v>46287</v>
      </c>
      <c r="C602" s="212" t="str">
        <f ca="1"/>
        <v>1,2,3,4</v>
      </c>
      <c r="D602" s="212" t="str">
        <f ca="1"/>
        <v>C39</v>
      </c>
      <c r="E602" s="212" t="str">
        <f ca="1"/>
        <v>Multigrain</v>
      </c>
      <c r="F602" s="219">
        <f ca="1"/>
        <v>12450</v>
      </c>
      <c r="G602" s="219">
        <f ca="1"/>
        <v>39</v>
      </c>
      <c r="H602" s="219">
        <f ca="1"/>
        <v>200</v>
      </c>
      <c r="I602" s="219">
        <f ca="1"/>
        <v>27</v>
      </c>
      <c r="J602" s="219">
        <f ca="1"/>
        <v>564</v>
      </c>
      <c r="K602" s="219">
        <f ca="1"/>
        <v>830</v>
      </c>
      <c r="L602" s="219">
        <f ca="1"/>
        <v>11620</v>
      </c>
      <c r="M602" s="219">
        <f ca="1"/>
        <v>7</v>
      </c>
      <c r="N602" s="212" t="str">
        <f ca="1"/>
        <v>Day</v>
      </c>
      <c r="O602" s="220">
        <f ca="1"/>
        <v>0.93333333333333335</v>
      </c>
      <c r="P602" s="221">
        <f ca="1"/>
        <v>12450</v>
      </c>
      <c r="Q602" s="221">
        <f ca="1"/>
        <v>0</v>
      </c>
    </row>
    <row r="603" spans="1:17" ht="18" customHeight="1">
      <c r="A603" s="212" t="str">
        <f ca="1"/>
        <v>C39 SEP</v>
      </c>
      <c r="B603" s="218">
        <f ca="1"/>
        <v>46288</v>
      </c>
      <c r="C603" s="212" t="str">
        <f ca="1"/>
        <v>1,2,3,4</v>
      </c>
      <c r="D603" s="212" t="str">
        <f ca="1"/>
        <v>C39</v>
      </c>
      <c r="E603" s="212" t="str">
        <f ca="1"/>
        <v>Multigrain</v>
      </c>
      <c r="F603" s="219">
        <f ca="1"/>
        <v>12200</v>
      </c>
      <c r="G603" s="219">
        <f ca="1"/>
        <v>34</v>
      </c>
      <c r="H603" s="219">
        <f ca="1"/>
        <v>185</v>
      </c>
      <c r="I603" s="219">
        <f ca="1"/>
        <v>23</v>
      </c>
      <c r="J603" s="219">
        <f ca="1"/>
        <v>518</v>
      </c>
      <c r="K603" s="219">
        <f ca="1"/>
        <v>760</v>
      </c>
      <c r="L603" s="219">
        <f ca="1"/>
        <v>11440</v>
      </c>
      <c r="M603" s="219">
        <f ca="1"/>
        <v>7</v>
      </c>
      <c r="N603" s="212" t="str">
        <f ca="1"/>
        <v>Day</v>
      </c>
      <c r="O603" s="220">
        <f ca="1"/>
        <v>0.93770491803278688</v>
      </c>
      <c r="P603" s="221">
        <f ca="1"/>
        <v>12200</v>
      </c>
      <c r="Q603" s="221">
        <f ca="1"/>
        <v>0</v>
      </c>
    </row>
    <row r="604" spans="1:17" ht="18" customHeight="1">
      <c r="A604" s="212" t="str">
        <f ca="1"/>
        <v>C39 SEP</v>
      </c>
      <c r="B604" s="218">
        <f ca="1"/>
        <v>46289</v>
      </c>
      <c r="C604" s="212" t="str">
        <f ca="1"/>
        <v>1,2,3,4</v>
      </c>
      <c r="D604" s="212" t="str">
        <f ca="1"/>
        <v>C39</v>
      </c>
      <c r="E604" s="212" t="str">
        <f ca="1"/>
        <v>Multigrain</v>
      </c>
      <c r="F604" s="219">
        <f ca="1"/>
        <v>5270</v>
      </c>
      <c r="G604" s="219">
        <f ca="1"/>
        <v>23</v>
      </c>
      <c r="H604" s="219">
        <f ca="1"/>
        <v>246</v>
      </c>
      <c r="I604" s="219">
        <f ca="1"/>
        <v>18</v>
      </c>
      <c r="J604" s="219">
        <f ca="1"/>
        <v>63</v>
      </c>
      <c r="K604" s="219">
        <f ca="1"/>
        <v>350</v>
      </c>
      <c r="L604" s="219">
        <f ca="1"/>
        <v>4920</v>
      </c>
      <c r="M604" s="219">
        <f ca="1"/>
        <v>7</v>
      </c>
      <c r="N604" s="212" t="str">
        <f ca="1"/>
        <v>Day</v>
      </c>
      <c r="O604" s="220">
        <f ca="1"/>
        <v>0.93358633776091082</v>
      </c>
      <c r="P604" s="221">
        <f ca="1"/>
        <v>5270</v>
      </c>
      <c r="Q604" s="221">
        <f ca="1"/>
        <v>0</v>
      </c>
    </row>
    <row r="605" spans="1:17" ht="18" customHeight="1">
      <c r="A605" s="212" t="str">
        <f ca="1"/>
        <v>C39 SEP</v>
      </c>
      <c r="B605" s="218">
        <f ca="1"/>
        <v>46290</v>
      </c>
      <c r="C605" s="212" t="str">
        <f ca="1"/>
        <v>1,2,3,4</v>
      </c>
      <c r="D605" s="212" t="str">
        <f ca="1"/>
        <v>C39</v>
      </c>
      <c r="E605" s="212" t="str">
        <f ca="1"/>
        <v>Multigrain</v>
      </c>
      <c r="F605" s="219">
        <f ca="1"/>
        <v>11750</v>
      </c>
      <c r="G605" s="219">
        <f ca="1"/>
        <v>39</v>
      </c>
      <c r="H605" s="219">
        <f ca="1"/>
        <v>320</v>
      </c>
      <c r="I605" s="219">
        <f ca="1"/>
        <v>23</v>
      </c>
      <c r="J605" s="219">
        <f ca="1"/>
        <v>413</v>
      </c>
      <c r="K605" s="219">
        <f ca="1"/>
        <v>795</v>
      </c>
      <c r="L605" s="219">
        <f ca="1"/>
        <v>10955</v>
      </c>
      <c r="M605" s="219">
        <f ca="1"/>
        <v>7</v>
      </c>
      <c r="N605" s="212" t="str">
        <f ca="1"/>
        <v>Day</v>
      </c>
      <c r="O605" s="220">
        <f ca="1"/>
        <v>0.93234042553191487</v>
      </c>
      <c r="P605" s="221">
        <f ca="1"/>
        <v>11750</v>
      </c>
      <c r="Q605" s="221">
        <f ca="1"/>
        <v>0</v>
      </c>
    </row>
    <row r="606" spans="1:17" ht="18" customHeight="1">
      <c r="A606" s="212" t="str">
        <f ca="1"/>
        <v>C39 SEP</v>
      </c>
      <c r="B606" s="218">
        <f ca="1"/>
        <v>46291</v>
      </c>
      <c r="C606" s="212" t="str">
        <f ca="1"/>
        <v>1,2,3,4</v>
      </c>
      <c r="D606" s="212" t="str">
        <f ca="1"/>
        <v>C39</v>
      </c>
      <c r="E606" s="212" t="str">
        <f ca="1"/>
        <v>Multigrain</v>
      </c>
      <c r="F606" s="219">
        <f ca="1"/>
        <v>10000</v>
      </c>
      <c r="G606" s="219">
        <f ca="1"/>
        <v>31</v>
      </c>
      <c r="H606" s="219">
        <f ca="1"/>
        <v>269</v>
      </c>
      <c r="I606" s="219">
        <f ca="1"/>
        <v>28</v>
      </c>
      <c r="J606" s="219">
        <f ca="1"/>
        <v>347</v>
      </c>
      <c r="K606" s="219">
        <f ca="1"/>
        <v>675</v>
      </c>
      <c r="L606" s="219">
        <f ca="1"/>
        <v>9325</v>
      </c>
      <c r="M606" s="219">
        <f ca="1"/>
        <v>7</v>
      </c>
      <c r="N606" s="212" t="str">
        <f ca="1"/>
        <v>Day</v>
      </c>
      <c r="O606" s="220">
        <f ca="1"/>
        <v>0.9325</v>
      </c>
      <c r="P606" s="221">
        <f ca="1"/>
        <v>10000</v>
      </c>
      <c r="Q606" s="221">
        <f ca="1"/>
        <v>0</v>
      </c>
    </row>
    <row r="607" spans="1:17" ht="18" customHeight="1">
      <c r="A607" s="212" t="str">
        <f ca="1"/>
        <v>C39 SEP</v>
      </c>
      <c r="B607" s="218">
        <f ca="1"/>
        <v>46293</v>
      </c>
      <c r="C607" s="212" t="str">
        <f ca="1"/>
        <v>1,2,3,4</v>
      </c>
      <c r="D607" s="212" t="str">
        <f ca="1"/>
        <v>C39</v>
      </c>
      <c r="E607" s="212" t="str">
        <f ca="1"/>
        <v>Multigrain</v>
      </c>
      <c r="F607" s="219">
        <f ca="1"/>
        <v>8900</v>
      </c>
      <c r="G607" s="219">
        <f ca="1"/>
        <v>28</v>
      </c>
      <c r="H607" s="219">
        <f ca="1"/>
        <v>279.89999999999998</v>
      </c>
      <c r="I607" s="219">
        <f ca="1"/>
        <v>19.5</v>
      </c>
      <c r="J607" s="219">
        <f ca="1"/>
        <v>342.6</v>
      </c>
      <c r="K607" s="219">
        <f ca="1"/>
        <v>670</v>
      </c>
      <c r="L607" s="219">
        <f ca="1"/>
        <v>8230</v>
      </c>
      <c r="M607" s="219">
        <f ca="1"/>
        <v>7</v>
      </c>
      <c r="N607" s="212" t="str">
        <f ca="1"/>
        <v>Day</v>
      </c>
      <c r="O607" s="220">
        <f ca="1"/>
        <v>0.92471910112359545</v>
      </c>
      <c r="P607" s="221">
        <f ca="1"/>
        <v>8900</v>
      </c>
      <c r="Q607" s="221">
        <f ca="1"/>
        <v>0</v>
      </c>
    </row>
    <row r="608" spans="1:17" ht="18" customHeight="1">
      <c r="A608" s="212" t="str">
        <f ca="1"/>
        <v>C39 SEP</v>
      </c>
      <c r="B608" s="218">
        <f ca="1"/>
        <v>46294</v>
      </c>
      <c r="C608" s="212" t="str">
        <f ca="1"/>
        <v>1,23,4</v>
      </c>
      <c r="D608" s="212" t="str">
        <f ca="1"/>
        <v>C39</v>
      </c>
      <c r="E608" s="212" t="str">
        <f ca="1"/>
        <v>Multigrain</v>
      </c>
      <c r="F608" s="219">
        <f ca="1"/>
        <v>6500</v>
      </c>
      <c r="G608" s="219">
        <f ca="1"/>
        <v>19</v>
      </c>
      <c r="H608" s="219">
        <f ca="1"/>
        <v>179</v>
      </c>
      <c r="I608" s="219">
        <f ca="1"/>
        <v>12</v>
      </c>
      <c r="J608" s="219">
        <f ca="1"/>
        <v>265</v>
      </c>
      <c r="K608" s="219">
        <f ca="1"/>
        <v>475</v>
      </c>
      <c r="L608" s="219">
        <f ca="1"/>
        <v>6025</v>
      </c>
      <c r="M608" s="219">
        <f ca="1"/>
        <v>7</v>
      </c>
      <c r="N608" s="212" t="str">
        <f ca="1"/>
        <v>Day</v>
      </c>
      <c r="O608" s="220">
        <f ca="1"/>
        <v>0.92692307692307696</v>
      </c>
      <c r="P608" s="221">
        <f ca="1"/>
        <v>6500</v>
      </c>
      <c r="Q608" s="221">
        <f ca="1"/>
        <v>0</v>
      </c>
    </row>
    <row r="609" spans="1:17" ht="18" customHeight="1">
      <c r="A609" s="212" t="str">
        <f ca="1"/>
        <v>C39 SEP</v>
      </c>
      <c r="B609" s="218">
        <f ca="1"/>
        <v>46295</v>
      </c>
      <c r="C609" s="212" t="str">
        <f ca="1"/>
        <v>1,2,3,4</v>
      </c>
      <c r="D609" s="212" t="str">
        <f ca="1"/>
        <v>C39</v>
      </c>
      <c r="E609" s="212" t="str">
        <f ca="1"/>
        <v>Multigrain</v>
      </c>
      <c r="F609" s="219">
        <f ca="1"/>
        <v>9700</v>
      </c>
      <c r="G609" s="219">
        <f ca="1"/>
        <v>28</v>
      </c>
      <c r="H609" s="219">
        <f ca="1"/>
        <v>352</v>
      </c>
      <c r="I609" s="219">
        <f ca="1"/>
        <v>24</v>
      </c>
      <c r="J609" s="219">
        <f ca="1"/>
        <v>234</v>
      </c>
      <c r="K609" s="219">
        <f ca="1"/>
        <v>638</v>
      </c>
      <c r="L609" s="219">
        <f ca="1"/>
        <v>9062</v>
      </c>
      <c r="M609" s="219">
        <f ca="1"/>
        <v>7</v>
      </c>
      <c r="N609" s="212" t="str">
        <f ca="1"/>
        <v>Day</v>
      </c>
      <c r="O609" s="220">
        <f ca="1"/>
        <v>0.93422680412371129</v>
      </c>
      <c r="P609" s="221">
        <f ca="1"/>
        <v>9700</v>
      </c>
      <c r="Q609" s="221">
        <f ca="1"/>
        <v>0</v>
      </c>
    </row>
    <row r="610" spans="1:17" ht="18" customHeight="1">
      <c r="A610" s="212" t="str">
        <f ca="1"/>
        <v>C6 OCT</v>
      </c>
      <c r="B610" s="218">
        <f ca="1"/>
        <v>46296</v>
      </c>
      <c r="C610" s="212" t="str">
        <f ca="1"/>
        <v>chakki1,2,3</v>
      </c>
      <c r="D610" s="212" t="str">
        <f ca="1"/>
        <v>C6 New Plant</v>
      </c>
      <c r="E610" s="212" t="str">
        <f ca="1"/>
        <v>khapli protein premix</v>
      </c>
      <c r="F610" s="219">
        <f ca="1"/>
        <v>997.5</v>
      </c>
      <c r="G610" s="219">
        <f ca="1"/>
        <v>1</v>
      </c>
      <c r="H610" s="219">
        <f ca="1"/>
        <v>29</v>
      </c>
      <c r="I610" s="219">
        <f ca="1"/>
        <v>1</v>
      </c>
      <c r="J610" s="219">
        <f ca="1"/>
        <v>48.5</v>
      </c>
      <c r="K610" s="219">
        <f ca="1"/>
        <v>79.5</v>
      </c>
      <c r="L610" s="219">
        <f ca="1"/>
        <v>918</v>
      </c>
      <c r="M610" s="219">
        <f ca="1"/>
        <v>4</v>
      </c>
      <c r="N610" s="212" t="str">
        <f ca="1"/>
        <v>Day</v>
      </c>
      <c r="O610" s="220">
        <f ca="1"/>
        <v>0.92030075187969929</v>
      </c>
      <c r="P610" s="221">
        <f ca="1"/>
        <v>997.5</v>
      </c>
      <c r="Q610" s="221">
        <f ca="1"/>
        <v>0</v>
      </c>
    </row>
    <row r="611" spans="1:17" ht="18" customHeight="1">
      <c r="A611" s="212" t="str">
        <f ca="1"/>
        <v>C6 OCT</v>
      </c>
      <c r="B611" s="218">
        <f ca="1"/>
        <v>46296</v>
      </c>
      <c r="C611" s="212" t="str">
        <f ca="1"/>
        <v>chakki1,2,3</v>
      </c>
      <c r="D611" s="212" t="str">
        <f ca="1"/>
        <v>C6 New Plant</v>
      </c>
      <c r="E611" s="212" t="str">
        <f ca="1"/>
        <v>khapli wheat grains</v>
      </c>
      <c r="F611" s="219">
        <f ca="1"/>
        <v>1750</v>
      </c>
      <c r="G611" s="219">
        <f ca="1"/>
        <v>1</v>
      </c>
      <c r="H611" s="219">
        <f ca="1"/>
        <v>9</v>
      </c>
      <c r="I611" s="219">
        <f ca="1"/>
        <v>1</v>
      </c>
      <c r="J611" s="219">
        <f ca="1"/>
        <v>101</v>
      </c>
      <c r="K611" s="219">
        <f ca="1"/>
        <v>112</v>
      </c>
      <c r="L611" s="219">
        <f ca="1"/>
        <v>1638</v>
      </c>
      <c r="M611" s="219">
        <f ca="1"/>
        <v>4</v>
      </c>
      <c r="N611" s="212" t="str">
        <f ca="1"/>
        <v>Day</v>
      </c>
      <c r="O611" s="220">
        <f ca="1"/>
        <v>0.93600000000000005</v>
      </c>
      <c r="P611" s="221">
        <f ca="1"/>
        <v>1750</v>
      </c>
      <c r="Q611" s="221">
        <f ca="1"/>
        <v>0</v>
      </c>
    </row>
    <row r="612" spans="1:17" ht="18" customHeight="1">
      <c r="A612" s="212" t="str">
        <f ca="1"/>
        <v>C6 OCT</v>
      </c>
      <c r="B612" s="218">
        <f ca="1"/>
        <v>46298</v>
      </c>
      <c r="C612" s="212" t="str">
        <f ca="1"/>
        <v>chakki1,2,3</v>
      </c>
      <c r="D612" s="212" t="str">
        <f ca="1"/>
        <v>C6 New Plant</v>
      </c>
      <c r="E612" s="212" t="str">
        <f ca="1"/>
        <v>khapli wheat grains</v>
      </c>
      <c r="F612" s="219">
        <f ca="1"/>
        <v>4000</v>
      </c>
      <c r="G612" s="219">
        <f ca="1"/>
        <v>1</v>
      </c>
      <c r="H612" s="219">
        <f ca="1"/>
        <v>52</v>
      </c>
      <c r="I612" s="219">
        <f ca="1"/>
        <v>2</v>
      </c>
      <c r="J612" s="219">
        <f ca="1"/>
        <v>245</v>
      </c>
      <c r="K612" s="219">
        <f ca="1"/>
        <v>300</v>
      </c>
      <c r="L612" s="219">
        <f ca="1"/>
        <v>3700</v>
      </c>
      <c r="M612" s="219">
        <f ca="1"/>
        <v>4</v>
      </c>
      <c r="N612" s="212" t="str">
        <f ca="1"/>
        <v>Day</v>
      </c>
      <c r="O612" s="220">
        <f ca="1"/>
        <v>0.92500000000000004</v>
      </c>
      <c r="P612" s="221">
        <f ca="1"/>
        <v>4000</v>
      </c>
      <c r="Q612" s="221">
        <f ca="1"/>
        <v>0</v>
      </c>
    </row>
    <row r="613" spans="1:17" ht="18" customHeight="1">
      <c r="A613" s="212" t="str">
        <f ca="1"/>
        <v>C6 OCT</v>
      </c>
      <c r="B613" s="218">
        <f ca="1"/>
        <v>46300</v>
      </c>
      <c r="C613" s="212" t="str">
        <f ca="1"/>
        <v>chakki1,2,3</v>
      </c>
      <c r="D613" s="212" t="str">
        <f ca="1"/>
        <v>C6 New Plant</v>
      </c>
      <c r="E613" s="212" t="str">
        <f ca="1"/>
        <v>khapli wheat grains</v>
      </c>
      <c r="F613" s="219">
        <f ca="1"/>
        <v>4000</v>
      </c>
      <c r="G613" s="219">
        <f ca="1"/>
        <v>1</v>
      </c>
      <c r="H613" s="219">
        <f ca="1"/>
        <v>50</v>
      </c>
      <c r="I613" s="219">
        <f ca="1"/>
        <v>2</v>
      </c>
      <c r="J613" s="219">
        <f ca="1"/>
        <v>227</v>
      </c>
      <c r="K613" s="219">
        <f ca="1"/>
        <v>280</v>
      </c>
      <c r="L613" s="219">
        <f ca="1"/>
        <v>3720</v>
      </c>
      <c r="M613" s="219">
        <f ca="1"/>
        <v>4</v>
      </c>
      <c r="N613" s="212" t="str">
        <f ca="1"/>
        <v>Day</v>
      </c>
      <c r="O613" s="220">
        <f ca="1"/>
        <v>0.93</v>
      </c>
      <c r="P613" s="221">
        <f ca="1"/>
        <v>4000</v>
      </c>
      <c r="Q613" s="221">
        <f ca="1"/>
        <v>0</v>
      </c>
    </row>
    <row r="614" spans="1:17" ht="18" customHeight="1">
      <c r="A614" s="212" t="str">
        <f ca="1"/>
        <v>C6 OCT</v>
      </c>
      <c r="B614" s="218">
        <f ca="1"/>
        <v>46301</v>
      </c>
      <c r="C614" s="212" t="str">
        <f ca="1"/>
        <v>chakki1,2,3</v>
      </c>
      <c r="D614" s="212" t="str">
        <f ca="1"/>
        <v>C6 New Plant</v>
      </c>
      <c r="E614" s="212" t="str">
        <f ca="1"/>
        <v>khapli wheat grains</v>
      </c>
      <c r="F614" s="219">
        <f ca="1"/>
        <v>3800</v>
      </c>
      <c r="G614" s="219">
        <f ca="1"/>
        <v>1</v>
      </c>
      <c r="H614" s="219">
        <f ca="1"/>
        <v>29</v>
      </c>
      <c r="I614" s="219">
        <f ca="1"/>
        <v>2</v>
      </c>
      <c r="J614" s="219">
        <f ca="1"/>
        <v>234</v>
      </c>
      <c r="K614" s="219">
        <f ca="1"/>
        <v>266</v>
      </c>
      <c r="L614" s="219">
        <f ca="1"/>
        <v>3534</v>
      </c>
      <c r="M614" s="219">
        <f ca="1"/>
        <v>4</v>
      </c>
      <c r="N614" s="212" t="str">
        <f ca="1"/>
        <v>Day</v>
      </c>
      <c r="O614" s="220">
        <f ca="1"/>
        <v>0.93</v>
      </c>
      <c r="P614" s="221">
        <f ca="1"/>
        <v>3800</v>
      </c>
      <c r="Q614" s="221">
        <f ca="1"/>
        <v>0</v>
      </c>
    </row>
    <row r="615" spans="1:17" ht="18" customHeight="1">
      <c r="A615" s="212" t="str">
        <f ca="1"/>
        <v>C6 OCT</v>
      </c>
      <c r="B615" s="218">
        <f ca="1"/>
        <v>46302</v>
      </c>
      <c r="C615" s="212" t="str">
        <f ca="1"/>
        <v>chakki1,2,3</v>
      </c>
      <c r="D615" s="212" t="str">
        <f ca="1"/>
        <v>C6 New Plant</v>
      </c>
      <c r="E615" s="212" t="str">
        <f ca="1"/>
        <v>khapli wheat grains</v>
      </c>
      <c r="F615" s="219">
        <f ca="1"/>
        <v>4050</v>
      </c>
      <c r="G615" s="219">
        <f ca="1"/>
        <v>1</v>
      </c>
      <c r="H615" s="219">
        <f ca="1"/>
        <v>32</v>
      </c>
      <c r="I615" s="219">
        <f ca="1"/>
        <v>2</v>
      </c>
      <c r="J615" s="219">
        <f ca="1"/>
        <v>184</v>
      </c>
      <c r="K615" s="219">
        <f ca="1"/>
        <v>219</v>
      </c>
      <c r="L615" s="219">
        <f ca="1"/>
        <v>3831</v>
      </c>
      <c r="M615" s="219">
        <f ca="1"/>
        <v>4</v>
      </c>
      <c r="N615" s="212" t="str">
        <f ca="1"/>
        <v>Day</v>
      </c>
      <c r="O615" s="220">
        <f ca="1"/>
        <v>0.94592592592592595</v>
      </c>
      <c r="P615" s="221">
        <f ca="1"/>
        <v>4050</v>
      </c>
      <c r="Q615" s="221">
        <f ca="1"/>
        <v>0</v>
      </c>
    </row>
    <row r="616" spans="1:17" ht="18" customHeight="1">
      <c r="A616" s="212" t="str">
        <f ca="1"/>
        <v>C6 OCT</v>
      </c>
      <c r="B616" s="218">
        <f ca="1"/>
        <v>46303</v>
      </c>
      <c r="C616" s="212" t="str">
        <f ca="1"/>
        <v>chakki1,2,3</v>
      </c>
      <c r="D616" s="212" t="str">
        <f ca="1"/>
        <v>C6 New Plant</v>
      </c>
      <c r="E616" s="212" t="str">
        <f ca="1"/>
        <v>khapli wheat grains</v>
      </c>
      <c r="F616" s="219">
        <f ca="1"/>
        <v>1150</v>
      </c>
      <c r="G616" s="219">
        <f ca="1"/>
        <v>0</v>
      </c>
      <c r="H616" s="219">
        <f ca="1"/>
        <v>8</v>
      </c>
      <c r="I616" s="219">
        <f ca="1"/>
        <v>1</v>
      </c>
      <c r="J616" s="219">
        <f ca="1"/>
        <v>74</v>
      </c>
      <c r="K616" s="219">
        <f ca="1"/>
        <v>83</v>
      </c>
      <c r="L616" s="219">
        <f ca="1"/>
        <v>1067</v>
      </c>
      <c r="M616" s="219">
        <f ca="1"/>
        <v>4</v>
      </c>
      <c r="N616" s="212" t="str">
        <f ca="1"/>
        <v>Day</v>
      </c>
      <c r="O616" s="220">
        <f ca="1"/>
        <v>0.92782608695652169</v>
      </c>
      <c r="P616" s="221">
        <f ca="1"/>
        <v>1150</v>
      </c>
      <c r="Q616" s="221">
        <f ca="1"/>
        <v>0</v>
      </c>
    </row>
    <row r="617" spans="1:17" ht="18" customHeight="1">
      <c r="A617" s="212" t="str">
        <f ca="1"/>
        <v>C6 OCT</v>
      </c>
      <c r="B617" s="218">
        <f ca="1"/>
        <v>46304</v>
      </c>
      <c r="C617" s="212" t="str">
        <f ca="1"/>
        <v>chakki1,2,3</v>
      </c>
      <c r="D617" s="212" t="str">
        <f ca="1"/>
        <v>C6 New Plant</v>
      </c>
      <c r="E617" s="212" t="str">
        <f ca="1"/>
        <v>khapli wheat grains</v>
      </c>
      <c r="F617" s="219">
        <f ca="1"/>
        <v>5750</v>
      </c>
      <c r="G617" s="219">
        <f ca="1"/>
        <v>1</v>
      </c>
      <c r="H617" s="219">
        <f ca="1"/>
        <v>105</v>
      </c>
      <c r="I617" s="219">
        <f ca="1"/>
        <v>3</v>
      </c>
      <c r="J617" s="219">
        <f ca="1"/>
        <v>341</v>
      </c>
      <c r="K617" s="219">
        <f ca="1"/>
        <v>450</v>
      </c>
      <c r="L617" s="219">
        <f ca="1"/>
        <v>5300</v>
      </c>
      <c r="M617" s="219">
        <f ca="1"/>
        <v>4</v>
      </c>
      <c r="N617" s="212" t="str">
        <f ca="1"/>
        <v>Day</v>
      </c>
      <c r="O617" s="220">
        <f ca="1"/>
        <v>0.92173913043478262</v>
      </c>
      <c r="P617" s="221">
        <f ca="1"/>
        <v>5750</v>
      </c>
      <c r="Q617" s="221">
        <f ca="1"/>
        <v>0</v>
      </c>
    </row>
    <row r="618" spans="1:17" ht="18" customHeight="1">
      <c r="A618" s="212" t="str">
        <f ca="1"/>
        <v>C6 OCT</v>
      </c>
      <c r="B618" s="218">
        <f ca="1"/>
        <v>46305</v>
      </c>
      <c r="C618" s="212" t="str">
        <f ca="1"/>
        <v>chakki1,2,3</v>
      </c>
      <c r="D618" s="212" t="str">
        <f ca="1"/>
        <v>C6 New Plant</v>
      </c>
      <c r="E618" s="212" t="str">
        <f ca="1"/>
        <v>khapli wheat grains</v>
      </c>
      <c r="F618" s="219">
        <f ca="1"/>
        <v>6050</v>
      </c>
      <c r="G618" s="219">
        <f ca="1"/>
        <v>1</v>
      </c>
      <c r="H618" s="219">
        <f ca="1"/>
        <v>110</v>
      </c>
      <c r="I618" s="219">
        <f ca="1"/>
        <v>3</v>
      </c>
      <c r="J618" s="219">
        <f ca="1"/>
        <v>328</v>
      </c>
      <c r="K618" s="219">
        <f ca="1"/>
        <v>442</v>
      </c>
      <c r="L618" s="219">
        <f ca="1"/>
        <v>5608</v>
      </c>
      <c r="M618" s="219">
        <f ca="1"/>
        <v>4</v>
      </c>
      <c r="N618" s="212" t="str">
        <f ca="1"/>
        <v>Day</v>
      </c>
      <c r="O618" s="220">
        <f ca="1"/>
        <v>0.92694214876033054</v>
      </c>
      <c r="P618" s="221">
        <f ca="1"/>
        <v>6050</v>
      </c>
      <c r="Q618" s="221">
        <f ca="1"/>
        <v>0</v>
      </c>
    </row>
    <row r="619" spans="1:17" ht="18" customHeight="1">
      <c r="A619" s="212" t="str">
        <f ca="1"/>
        <v>C6 OCT</v>
      </c>
      <c r="B619" s="218">
        <f ca="1"/>
        <v>46307</v>
      </c>
      <c r="C619" s="212" t="str">
        <f ca="1"/>
        <v>chakki1,2,3</v>
      </c>
      <c r="D619" s="212" t="str">
        <f ca="1"/>
        <v>C6 New Plant</v>
      </c>
      <c r="E619" s="212" t="str">
        <f ca="1"/>
        <v>khapli wheat grains</v>
      </c>
      <c r="F619" s="219">
        <f ca="1"/>
        <v>4200</v>
      </c>
      <c r="G619" s="219">
        <f ca="1"/>
        <v>1</v>
      </c>
      <c r="H619" s="219">
        <f ca="1"/>
        <v>50</v>
      </c>
      <c r="I619" s="219">
        <f ca="1"/>
        <v>2</v>
      </c>
      <c r="J619" s="219">
        <f ca="1"/>
        <v>207</v>
      </c>
      <c r="K619" s="219">
        <f ca="1"/>
        <v>260</v>
      </c>
      <c r="L619" s="219">
        <f ca="1"/>
        <v>3940</v>
      </c>
      <c r="M619" s="219">
        <f ca="1"/>
        <v>3</v>
      </c>
      <c r="N619" s="212" t="str">
        <f ca="1"/>
        <v>Day</v>
      </c>
      <c r="O619" s="220">
        <f ca="1"/>
        <v>0.93809523809523809</v>
      </c>
      <c r="P619" s="221">
        <f ca="1"/>
        <v>4200</v>
      </c>
      <c r="Q619" s="221">
        <f ca="1"/>
        <v>0</v>
      </c>
    </row>
    <row r="620" spans="1:17" ht="18" customHeight="1">
      <c r="A620" s="212" t="str">
        <f ca="1"/>
        <v>C39 OCT</v>
      </c>
      <c r="B620" s="218">
        <f ca="1"/>
        <v>46296</v>
      </c>
      <c r="C620" s="212" t="str">
        <f ca="1"/>
        <v>1,2,3,4</v>
      </c>
      <c r="D620" s="212" t="str">
        <f ca="1"/>
        <v>C39</v>
      </c>
      <c r="E620" s="212" t="str">
        <f ca="1"/>
        <v>Multigrain</v>
      </c>
      <c r="F620" s="219">
        <f ca="1"/>
        <v>9800</v>
      </c>
      <c r="G620" s="219">
        <f ca="1"/>
        <v>19</v>
      </c>
      <c r="H620" s="219">
        <f ca="1"/>
        <v>345</v>
      </c>
      <c r="I620" s="219">
        <f ca="1"/>
        <v>19</v>
      </c>
      <c r="J620" s="219">
        <f ca="1"/>
        <v>267</v>
      </c>
      <c r="K620" s="219">
        <f ca="1"/>
        <v>650</v>
      </c>
      <c r="L620" s="219">
        <f ca="1"/>
        <v>9150</v>
      </c>
      <c r="M620" s="219">
        <f ca="1"/>
        <v>7</v>
      </c>
      <c r="N620" s="212" t="str">
        <f ca="1"/>
        <v>Day</v>
      </c>
      <c r="O620" s="220">
        <f ca="1"/>
        <v>0.93367346938775508</v>
      </c>
      <c r="P620" s="221">
        <f ca="1"/>
        <v>9800</v>
      </c>
      <c r="Q620" s="221">
        <f ca="1"/>
        <v>0</v>
      </c>
    </row>
    <row r="621" spans="1:17" ht="18" customHeight="1">
      <c r="A621" s="212" t="str">
        <f ca="1"/>
        <v>C39 OCT</v>
      </c>
      <c r="B621" s="218">
        <f ca="1"/>
        <v>46298</v>
      </c>
      <c r="C621" s="212" t="str">
        <f ca="1"/>
        <v>1,2,3,4</v>
      </c>
      <c r="D621" s="212" t="str">
        <f ca="1"/>
        <v>C39</v>
      </c>
      <c r="E621" s="212" t="str">
        <f ca="1"/>
        <v>Multigrain</v>
      </c>
      <c r="F621" s="219">
        <f ca="1"/>
        <v>8400</v>
      </c>
      <c r="G621" s="219">
        <f ca="1"/>
        <v>16</v>
      </c>
      <c r="H621" s="219">
        <f ca="1"/>
        <v>216</v>
      </c>
      <c r="I621" s="219">
        <f ca="1"/>
        <v>15</v>
      </c>
      <c r="J621" s="219">
        <f ca="1"/>
        <v>373</v>
      </c>
      <c r="K621" s="219">
        <f ca="1"/>
        <v>620</v>
      </c>
      <c r="L621" s="219">
        <f ca="1"/>
        <v>7780</v>
      </c>
      <c r="M621" s="219">
        <f ca="1"/>
        <v>7</v>
      </c>
      <c r="N621" s="212" t="str">
        <f ca="1"/>
        <v>Day</v>
      </c>
      <c r="O621" s="220">
        <f ca="1"/>
        <v>0.92619047619047623</v>
      </c>
      <c r="P621" s="221">
        <f ca="1"/>
        <v>8400</v>
      </c>
      <c r="Q621" s="221">
        <f ca="1"/>
        <v>0</v>
      </c>
    </row>
    <row r="622" spans="1:17" ht="18" customHeight="1">
      <c r="A622" s="212" t="str">
        <f ca="1"/>
        <v>C39 OCT</v>
      </c>
      <c r="B622" s="218">
        <f ca="1"/>
        <v>46299</v>
      </c>
      <c r="C622" s="212" t="str">
        <f ca="1"/>
        <v>1,2,3,4</v>
      </c>
      <c r="D622" s="212" t="str">
        <f ca="1"/>
        <v>C39</v>
      </c>
      <c r="E622" s="212" t="str">
        <f ca="1"/>
        <v>Multigrain</v>
      </c>
      <c r="F622" s="219">
        <f ca="1"/>
        <v>9500</v>
      </c>
      <c r="G622" s="219">
        <f ca="1"/>
        <v>29</v>
      </c>
      <c r="H622" s="219">
        <f ca="1"/>
        <v>249</v>
      </c>
      <c r="I622" s="219">
        <f ca="1"/>
        <v>25</v>
      </c>
      <c r="J622" s="219">
        <f ca="1"/>
        <v>397</v>
      </c>
      <c r="K622" s="219">
        <f ca="1"/>
        <v>700</v>
      </c>
      <c r="L622" s="219">
        <f ca="1"/>
        <v>8800</v>
      </c>
      <c r="M622" s="219">
        <f ca="1"/>
        <v>7</v>
      </c>
      <c r="N622" s="212" t="str">
        <f ca="1"/>
        <v>Day</v>
      </c>
      <c r="O622" s="220">
        <f ca="1"/>
        <v>0.9263157894736842</v>
      </c>
      <c r="P622" s="221">
        <f ca="1"/>
        <v>9500</v>
      </c>
      <c r="Q622" s="221">
        <f ca="1"/>
        <v>0</v>
      </c>
    </row>
    <row r="623" spans="1:17" ht="18" customHeight="1">
      <c r="A623" s="212" t="str">
        <f ca="1"/>
        <v>C39 OCT</v>
      </c>
      <c r="B623" s="218">
        <f ca="1"/>
        <v>46300</v>
      </c>
      <c r="C623" s="212" t="str">
        <f ca="1"/>
        <v>1,2,3,4</v>
      </c>
      <c r="D623" s="212" t="str">
        <f ca="1"/>
        <v>C39</v>
      </c>
      <c r="E623" s="212" t="str">
        <f ca="1"/>
        <v>Multigrain</v>
      </c>
      <c r="F623" s="219">
        <f ca="1"/>
        <v>15500</v>
      </c>
      <c r="G623" s="219">
        <f ca="1"/>
        <v>38</v>
      </c>
      <c r="H623" s="219">
        <f ca="1"/>
        <v>315</v>
      </c>
      <c r="I623" s="219">
        <f ca="1"/>
        <v>38</v>
      </c>
      <c r="J623" s="219">
        <f ca="1"/>
        <v>894</v>
      </c>
      <c r="K623" s="219">
        <f ca="1"/>
        <v>1285</v>
      </c>
      <c r="L623" s="219">
        <f ca="1"/>
        <v>14215</v>
      </c>
      <c r="M623" s="219">
        <f ca="1"/>
        <v>7</v>
      </c>
      <c r="N623" s="212" t="str">
        <f ca="1"/>
        <v>Day</v>
      </c>
      <c r="O623" s="220">
        <f ca="1"/>
        <v>0.9170967741935484</v>
      </c>
      <c r="P623" s="221">
        <f ca="1"/>
        <v>15500</v>
      </c>
      <c r="Q623" s="221">
        <f ca="1"/>
        <v>0</v>
      </c>
    </row>
    <row r="624" spans="1:17" ht="18" customHeight="1">
      <c r="A624" s="212" t="str">
        <f ca="1"/>
        <v>C39 OCT</v>
      </c>
      <c r="B624" s="218">
        <f ca="1"/>
        <v>46301</v>
      </c>
      <c r="C624" s="212" t="str">
        <f ca="1"/>
        <v>1,2,3,4</v>
      </c>
      <c r="D624" s="212" t="str">
        <f ca="1"/>
        <v>C39</v>
      </c>
      <c r="E624" s="212" t="str">
        <f ca="1"/>
        <v>Multigrain</v>
      </c>
      <c r="F624" s="219">
        <f ca="1"/>
        <v>8300</v>
      </c>
      <c r="G624" s="219">
        <f ca="1"/>
        <v>26</v>
      </c>
      <c r="H624" s="219">
        <f ca="1"/>
        <v>276</v>
      </c>
      <c r="I624" s="219">
        <f ca="1"/>
        <v>31</v>
      </c>
      <c r="J624" s="219">
        <f ca="1"/>
        <v>217</v>
      </c>
      <c r="K624" s="219">
        <f ca="1"/>
        <v>550</v>
      </c>
      <c r="L624" s="219">
        <f ca="1"/>
        <v>7750</v>
      </c>
      <c r="M624" s="219">
        <f ca="1"/>
        <v>7</v>
      </c>
      <c r="N624" s="212" t="str">
        <f ca="1"/>
        <v>Day</v>
      </c>
      <c r="O624" s="220">
        <f ca="1"/>
        <v>0.9337349397590361</v>
      </c>
      <c r="P624" s="221">
        <f ca="1"/>
        <v>8300</v>
      </c>
      <c r="Q624" s="221">
        <f ca="1"/>
        <v>0</v>
      </c>
    </row>
    <row r="625" spans="1:17" ht="18" customHeight="1">
      <c r="A625" s="212" t="str">
        <f ca="1"/>
        <v>C39 OCT</v>
      </c>
      <c r="B625" s="218">
        <f ca="1"/>
        <v>46302</v>
      </c>
      <c r="C625" s="212" t="str">
        <f ca="1"/>
        <v>1,2,3,4</v>
      </c>
      <c r="D625" s="212" t="str">
        <f ca="1"/>
        <v>C39</v>
      </c>
      <c r="E625" s="212" t="str">
        <f ca="1"/>
        <v>Multigrain</v>
      </c>
      <c r="F625" s="219">
        <f ca="1"/>
        <v>13100</v>
      </c>
      <c r="G625" s="219">
        <f ca="1"/>
        <v>27</v>
      </c>
      <c r="H625" s="219">
        <f ca="1"/>
        <v>316</v>
      </c>
      <c r="I625" s="219">
        <f ca="1"/>
        <v>29</v>
      </c>
      <c r="J625" s="219">
        <f ca="1"/>
        <v>528</v>
      </c>
      <c r="K625" s="219">
        <f ca="1"/>
        <v>900</v>
      </c>
      <c r="L625" s="219">
        <f ca="1"/>
        <v>12200</v>
      </c>
      <c r="M625" s="219">
        <f ca="1"/>
        <v>7</v>
      </c>
      <c r="N625" s="212" t="str">
        <f ca="1"/>
        <v>Day</v>
      </c>
      <c r="O625" s="220">
        <f ca="1"/>
        <v>0.93129770992366412</v>
      </c>
      <c r="P625" s="221">
        <f ca="1"/>
        <v>13100</v>
      </c>
      <c r="Q625" s="221">
        <f ca="1"/>
        <v>0</v>
      </c>
    </row>
    <row r="626" spans="1:17">
      <c r="A626" t="str">
        <f ca="1"/>
        <v>C39 OCT</v>
      </c>
      <c r="B626">
        <f ca="1"/>
        <v>46303</v>
      </c>
      <c r="C626" t="str">
        <f ca="1"/>
        <v>1,2,3,4</v>
      </c>
      <c r="D626" t="str">
        <f ca="1"/>
        <v>C39</v>
      </c>
      <c r="E626" t="str">
        <f ca="1"/>
        <v>Multigrain</v>
      </c>
      <c r="F626">
        <f ca="1"/>
        <v>17650</v>
      </c>
      <c r="G626">
        <f ca="1"/>
        <v>32</v>
      </c>
      <c r="H626">
        <f ca="1"/>
        <v>375</v>
      </c>
      <c r="I626">
        <f ca="1"/>
        <v>34</v>
      </c>
      <c r="J626">
        <f ca="1"/>
        <v>719</v>
      </c>
      <c r="K626">
        <f ca="1"/>
        <v>1160</v>
      </c>
      <c r="L626">
        <f ca="1"/>
        <v>16490</v>
      </c>
      <c r="M626">
        <f ca="1"/>
        <v>7</v>
      </c>
      <c r="N626" t="str">
        <f ca="1"/>
        <v>Day</v>
      </c>
      <c r="O626">
        <f ca="1"/>
        <v>0.93427762039660056</v>
      </c>
      <c r="P626">
        <f ca="1"/>
        <v>17650</v>
      </c>
      <c r="Q626">
        <f ca="1"/>
        <v>0</v>
      </c>
    </row>
    <row r="627" spans="1:17">
      <c r="A627" t="str">
        <f ca="1"/>
        <v>C39 OCT</v>
      </c>
      <c r="B627">
        <f ca="1"/>
        <v>46304</v>
      </c>
      <c r="C627" t="str">
        <f ca="1"/>
        <v>1,2,3,4</v>
      </c>
      <c r="D627" t="str">
        <f ca="1"/>
        <v>C39</v>
      </c>
      <c r="E627" t="str">
        <f ca="1"/>
        <v>Multigrain</v>
      </c>
      <c r="F627">
        <f ca="1"/>
        <v>10200</v>
      </c>
      <c r="G627">
        <f ca="1"/>
        <v>38</v>
      </c>
      <c r="H627">
        <f ca="1"/>
        <v>332</v>
      </c>
      <c r="I627">
        <f ca="1"/>
        <v>39</v>
      </c>
      <c r="J627">
        <f ca="1"/>
        <v>291</v>
      </c>
      <c r="K627">
        <f ca="1"/>
        <v>700</v>
      </c>
      <c r="L627">
        <f ca="1"/>
        <v>9500</v>
      </c>
      <c r="M627">
        <f ca="1"/>
        <v>7</v>
      </c>
      <c r="N627" t="str">
        <f ca="1"/>
        <v>Day</v>
      </c>
      <c r="O627">
        <f ca="1"/>
        <v>0.93137254901960786</v>
      </c>
      <c r="P627">
        <f ca="1"/>
        <v>10200</v>
      </c>
      <c r="Q627">
        <f ca="1"/>
        <v>0</v>
      </c>
    </row>
  </sheetData>
  <autoFilter ref="A41:Q625" xr:uid="{61019DFD-C37E-4EE7-B381-5FCF88B5014A}"/>
  <mergeCells count="26">
    <mergeCell ref="A1:Q2"/>
    <mergeCell ref="A3:Q3"/>
    <mergeCell ref="A5:C5"/>
    <mergeCell ref="A6:C7"/>
    <mergeCell ref="D5:F5"/>
    <mergeCell ref="D6:F7"/>
    <mergeCell ref="G5:I5"/>
    <mergeCell ref="G6:I7"/>
    <mergeCell ref="J5:L5"/>
    <mergeCell ref="J6:L7"/>
    <mergeCell ref="M5:Q5"/>
    <mergeCell ref="M6:Q7"/>
    <mergeCell ref="A40:Q40"/>
    <mergeCell ref="A8:C8"/>
    <mergeCell ref="D8:F8"/>
    <mergeCell ref="G8:I8"/>
    <mergeCell ref="J8:L8"/>
    <mergeCell ref="A10:E10"/>
    <mergeCell ref="A25:E25"/>
    <mergeCell ref="A30:E30"/>
    <mergeCell ref="M8:Q8"/>
    <mergeCell ref="A9:C9"/>
    <mergeCell ref="D9:F9"/>
    <mergeCell ref="G9:I9"/>
    <mergeCell ref="J9:L9"/>
    <mergeCell ref="M9:Q9"/>
  </mergeCells>
  <conditionalFormatting sqref="L42:L6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{63BBF797-39C0-4D4F-9823-F4BBE509E8C8}</x14:id>
        </ext>
      </extLst>
    </cfRule>
  </conditionalFormatting>
  <conditionalFormatting sqref="O42:O625">
    <cfRule type="colorScale" priority="2">
      <colorScale>
        <cfvo type="min"/>
        <cfvo type="percentile" val="50"/>
        <cfvo type="max"/>
        <color rgb="FFFECACA"/>
        <color rgb="FFFEF3C7"/>
        <color rgb="FFBBF7D0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BBF797-39C0-4D4F-9823-F4BBE509E8C8}">
            <x14:dataBar minLength="0" maxLength="100" negativeBarColorSameAsPositive="1" axisPosition="none">
              <x14:cfvo type="min"/>
              <x14:cfvo type="max"/>
            </x14:dataBar>
          </x14:cfRule>
          <xm:sqref>L42:L625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11"/>
  <sheetViews>
    <sheetView workbookViewId="0">
      <pane ySplit="4" topLeftCell="A5" activePane="bottomLeft" state="frozen"/>
      <selection pane="bottomLeft" activeCell="A28" sqref="A28:A29"/>
    </sheetView>
  </sheetViews>
  <sheetFormatPr defaultColWidth="12.5703125" defaultRowHeight="15.75" customHeight="1"/>
  <cols>
    <col min="5" max="5" width="11.42578125" customWidth="1"/>
  </cols>
  <sheetData>
    <row r="1" spans="1:19" ht="13.15">
      <c r="A1" s="265"/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  <c r="O1" s="1"/>
      <c r="P1" s="1"/>
      <c r="Q1" s="1"/>
      <c r="R1" s="1"/>
      <c r="S1" s="2"/>
    </row>
    <row r="2" spans="1:19" ht="13.15">
      <c r="A2" s="266" t="s">
        <v>40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20"/>
      <c r="O2" s="1"/>
      <c r="P2" s="1"/>
      <c r="Q2" s="1"/>
      <c r="R2" s="1"/>
      <c r="S2" s="2"/>
    </row>
    <row r="3" spans="1:19" ht="36">
      <c r="A3" s="267" t="s">
        <v>25</v>
      </c>
      <c r="B3" s="267" t="s">
        <v>26</v>
      </c>
      <c r="C3" s="267" t="s">
        <v>27</v>
      </c>
      <c r="D3" s="267" t="s">
        <v>22</v>
      </c>
      <c r="E3" s="268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267" t="s">
        <v>33</v>
      </c>
      <c r="K3" s="267" t="s">
        <v>34</v>
      </c>
      <c r="L3" s="267" t="s">
        <v>35</v>
      </c>
      <c r="M3" s="264" t="s">
        <v>41</v>
      </c>
      <c r="N3" s="269" t="s">
        <v>37</v>
      </c>
      <c r="O3" s="1"/>
      <c r="P3" s="1"/>
      <c r="Q3" s="1"/>
      <c r="R3" s="1"/>
      <c r="S3" s="2"/>
    </row>
    <row r="4" spans="1:19" ht="37.5">
      <c r="A4" s="321"/>
      <c r="B4" s="321"/>
      <c r="C4" s="321"/>
      <c r="D4" s="321"/>
      <c r="E4" s="321"/>
      <c r="F4" s="5" t="s">
        <v>42</v>
      </c>
      <c r="G4" s="5" t="s">
        <v>43</v>
      </c>
      <c r="H4" s="5" t="s">
        <v>44</v>
      </c>
      <c r="I4" s="5" t="s">
        <v>32</v>
      </c>
      <c r="J4" s="321"/>
      <c r="K4" s="321"/>
      <c r="L4" s="321"/>
      <c r="M4" s="321"/>
      <c r="N4" s="321"/>
      <c r="O4" s="1"/>
      <c r="P4" s="1"/>
      <c r="Q4" s="1"/>
      <c r="R4" s="1"/>
      <c r="S4" s="2"/>
    </row>
    <row r="5" spans="1:19" ht="14.45" customHeight="1">
      <c r="A5" s="185">
        <v>46024</v>
      </c>
      <c r="B5" s="7" t="s">
        <v>45</v>
      </c>
      <c r="C5" s="7" t="s">
        <v>19</v>
      </c>
      <c r="D5" s="7" t="s">
        <v>46</v>
      </c>
      <c r="E5" s="7">
        <v>1900</v>
      </c>
      <c r="F5" s="7">
        <v>0</v>
      </c>
      <c r="G5" s="7">
        <v>18</v>
      </c>
      <c r="H5" s="7">
        <v>2</v>
      </c>
      <c r="I5" s="7">
        <v>132</v>
      </c>
      <c r="J5" s="7">
        <f t="shared" ref="J5:J42" si="0">F5+G5+H5+I5</f>
        <v>152</v>
      </c>
      <c r="K5" s="8">
        <v>1748</v>
      </c>
      <c r="L5" s="7"/>
      <c r="M5" s="7"/>
      <c r="N5" s="9">
        <f t="shared" ref="N5:N96" si="1">K5/E5*100</f>
        <v>92</v>
      </c>
      <c r="O5" s="7">
        <f t="shared" ref="O5:O96" si="2">K5+J5</f>
        <v>1900</v>
      </c>
      <c r="P5" s="7">
        <f>E5-O5</f>
        <v>0</v>
      </c>
      <c r="Q5" s="1"/>
      <c r="R5" s="1"/>
      <c r="S5" s="2"/>
    </row>
    <row r="6" spans="1:19" ht="14.45" customHeight="1">
      <c r="A6" s="186">
        <v>46024</v>
      </c>
      <c r="B6" s="7" t="s">
        <v>45</v>
      </c>
      <c r="C6" s="7" t="s">
        <v>19</v>
      </c>
      <c r="D6" s="7" t="s">
        <v>46</v>
      </c>
      <c r="E6" s="7">
        <v>2450</v>
      </c>
      <c r="F6" s="7">
        <v>0</v>
      </c>
      <c r="G6" s="7">
        <v>104</v>
      </c>
      <c r="H6" s="7">
        <v>3</v>
      </c>
      <c r="I6" s="7">
        <v>163</v>
      </c>
      <c r="J6" s="7">
        <f t="shared" si="0"/>
        <v>270</v>
      </c>
      <c r="K6" s="10">
        <v>2180</v>
      </c>
      <c r="L6" s="7"/>
      <c r="M6" s="7"/>
      <c r="N6" s="9">
        <f t="shared" si="1"/>
        <v>88.979591836734699</v>
      </c>
      <c r="O6" s="7">
        <f t="shared" si="2"/>
        <v>2450</v>
      </c>
      <c r="P6" s="7">
        <v>0</v>
      </c>
      <c r="Q6" s="11"/>
      <c r="R6" s="11"/>
      <c r="S6" s="2"/>
    </row>
    <row r="7" spans="1:19" ht="15">
      <c r="A7" s="187">
        <v>46025</v>
      </c>
      <c r="B7" s="7" t="s">
        <v>45</v>
      </c>
      <c r="C7" s="7" t="s">
        <v>19</v>
      </c>
      <c r="D7" s="7" t="s">
        <v>47</v>
      </c>
      <c r="E7" s="7">
        <v>2850</v>
      </c>
      <c r="F7" s="7">
        <v>0</v>
      </c>
      <c r="G7" s="7">
        <v>67</v>
      </c>
      <c r="H7" s="7">
        <v>2</v>
      </c>
      <c r="I7" s="7">
        <v>183</v>
      </c>
      <c r="J7" s="7">
        <f t="shared" si="0"/>
        <v>252</v>
      </c>
      <c r="K7" s="12">
        <f>2585+13</f>
        <v>2598</v>
      </c>
      <c r="L7" s="7"/>
      <c r="M7" s="7"/>
      <c r="N7" s="9">
        <f t="shared" si="1"/>
        <v>91.15789473684211</v>
      </c>
      <c r="O7" s="7">
        <f t="shared" si="2"/>
        <v>2850</v>
      </c>
      <c r="P7" s="7">
        <f t="shared" ref="P7:P96" si="3">E7-O7</f>
        <v>0</v>
      </c>
      <c r="Q7" s="1"/>
      <c r="R7" s="1"/>
      <c r="S7" s="2"/>
    </row>
    <row r="8" spans="1:19" ht="15">
      <c r="A8" s="187"/>
      <c r="B8" s="7" t="s">
        <v>45</v>
      </c>
      <c r="C8" s="7" t="s">
        <v>19</v>
      </c>
      <c r="D8" s="7" t="s">
        <v>46</v>
      </c>
      <c r="E8" s="7">
        <f>173.92+1138.7</f>
        <v>1312.6200000000001</v>
      </c>
      <c r="F8" s="7"/>
      <c r="G8" s="7"/>
      <c r="H8" s="7"/>
      <c r="I8" s="7">
        <v>13.92</v>
      </c>
      <c r="J8" s="7">
        <f t="shared" si="0"/>
        <v>13.92</v>
      </c>
      <c r="K8" s="13">
        <f>160+1047.6</f>
        <v>1207.5999999999999</v>
      </c>
      <c r="L8" s="7"/>
      <c r="M8" s="7"/>
      <c r="N8" s="9">
        <f t="shared" si="1"/>
        <v>91.999207691487243</v>
      </c>
      <c r="O8" s="7">
        <f t="shared" si="2"/>
        <v>1221.52</v>
      </c>
      <c r="P8" s="7">
        <f t="shared" si="3"/>
        <v>91.100000000000136</v>
      </c>
      <c r="Q8" s="1"/>
      <c r="R8" s="1"/>
      <c r="S8" s="2"/>
    </row>
    <row r="9" spans="1:19" ht="14.45" customHeight="1">
      <c r="A9" s="185">
        <v>46026</v>
      </c>
      <c r="B9" s="7" t="s">
        <v>45</v>
      </c>
      <c r="C9" s="7" t="s">
        <v>19</v>
      </c>
      <c r="D9" s="7" t="s">
        <v>48</v>
      </c>
      <c r="E9" s="7">
        <v>1450</v>
      </c>
      <c r="F9" s="7">
        <v>0</v>
      </c>
      <c r="G9" s="7">
        <v>18</v>
      </c>
      <c r="H9" s="7">
        <v>1</v>
      </c>
      <c r="I9" s="7">
        <v>121</v>
      </c>
      <c r="J9" s="7">
        <f t="shared" si="0"/>
        <v>140</v>
      </c>
      <c r="K9" s="14">
        <v>1310</v>
      </c>
      <c r="L9" s="7">
        <v>3</v>
      </c>
      <c r="M9" s="7" t="s">
        <v>49</v>
      </c>
      <c r="N9" s="9">
        <f t="shared" si="1"/>
        <v>90.344827586206904</v>
      </c>
      <c r="O9" s="7">
        <f t="shared" si="2"/>
        <v>1450</v>
      </c>
      <c r="P9" s="7">
        <f t="shared" si="3"/>
        <v>0</v>
      </c>
      <c r="Q9" s="1"/>
      <c r="R9" s="1"/>
      <c r="S9" s="2"/>
    </row>
    <row r="10" spans="1:19" ht="14.45" customHeight="1">
      <c r="A10" s="186">
        <v>46026</v>
      </c>
      <c r="B10" s="7" t="s">
        <v>45</v>
      </c>
      <c r="C10" s="7" t="s">
        <v>19</v>
      </c>
      <c r="D10" s="7" t="s">
        <v>48</v>
      </c>
      <c r="E10" s="7">
        <v>2250</v>
      </c>
      <c r="F10" s="7">
        <v>0</v>
      </c>
      <c r="G10" s="7">
        <v>21</v>
      </c>
      <c r="H10" s="7">
        <v>2</v>
      </c>
      <c r="I10" s="7">
        <v>162</v>
      </c>
      <c r="J10" s="7">
        <f t="shared" si="0"/>
        <v>185</v>
      </c>
      <c r="K10" s="8">
        <v>2065</v>
      </c>
      <c r="L10" s="7">
        <v>3</v>
      </c>
      <c r="M10" s="7" t="s">
        <v>50</v>
      </c>
      <c r="N10" s="9">
        <f t="shared" si="1"/>
        <v>91.777777777777786</v>
      </c>
      <c r="O10" s="7">
        <f t="shared" si="2"/>
        <v>2250</v>
      </c>
      <c r="P10" s="7">
        <f t="shared" si="3"/>
        <v>0</v>
      </c>
      <c r="Q10" s="1"/>
      <c r="R10" s="1"/>
      <c r="S10" s="2"/>
    </row>
    <row r="11" spans="1:19" ht="15">
      <c r="A11" s="185">
        <v>46027</v>
      </c>
      <c r="B11" s="7" t="s">
        <v>45</v>
      </c>
      <c r="C11" s="7" t="s">
        <v>19</v>
      </c>
      <c r="D11" s="7" t="s">
        <v>48</v>
      </c>
      <c r="E11" s="7">
        <v>1350</v>
      </c>
      <c r="F11" s="7">
        <v>0</v>
      </c>
      <c r="G11" s="7">
        <v>10</v>
      </c>
      <c r="H11" s="7">
        <v>3</v>
      </c>
      <c r="I11" s="7">
        <v>118</v>
      </c>
      <c r="J11" s="7">
        <f t="shared" si="0"/>
        <v>131</v>
      </c>
      <c r="K11" s="8">
        <v>1219</v>
      </c>
      <c r="L11" s="7">
        <v>3</v>
      </c>
      <c r="M11" s="7" t="s">
        <v>49</v>
      </c>
      <c r="N11" s="9">
        <f t="shared" si="1"/>
        <v>90.296296296296291</v>
      </c>
      <c r="O11" s="7">
        <f t="shared" si="2"/>
        <v>1350</v>
      </c>
      <c r="P11" s="7">
        <f t="shared" si="3"/>
        <v>0</v>
      </c>
      <c r="Q11" s="1"/>
      <c r="R11" s="1"/>
      <c r="S11" s="2"/>
    </row>
    <row r="12" spans="1:19" ht="14.45" customHeight="1">
      <c r="A12" s="186">
        <v>46027</v>
      </c>
      <c r="B12" s="7" t="s">
        <v>45</v>
      </c>
      <c r="C12" s="7" t="s">
        <v>19</v>
      </c>
      <c r="D12" s="7" t="s">
        <v>51</v>
      </c>
      <c r="E12" s="7">
        <v>3019.5</v>
      </c>
      <c r="F12" s="7">
        <v>1</v>
      </c>
      <c r="G12" s="7">
        <v>120</v>
      </c>
      <c r="H12" s="7">
        <v>1</v>
      </c>
      <c r="I12" s="7">
        <v>179.5</v>
      </c>
      <c r="J12" s="7">
        <f t="shared" si="0"/>
        <v>301.5</v>
      </c>
      <c r="K12" s="14">
        <v>2718</v>
      </c>
      <c r="L12" s="7">
        <v>3</v>
      </c>
      <c r="M12" s="7" t="s">
        <v>50</v>
      </c>
      <c r="N12" s="9">
        <f t="shared" si="1"/>
        <v>90.014903129657228</v>
      </c>
      <c r="O12" s="7">
        <f t="shared" si="2"/>
        <v>3019.5</v>
      </c>
      <c r="P12" s="7">
        <f t="shared" si="3"/>
        <v>0</v>
      </c>
      <c r="Q12" s="1"/>
      <c r="R12" s="1"/>
      <c r="S12" s="2"/>
    </row>
    <row r="13" spans="1:19" ht="15">
      <c r="A13" s="185">
        <v>46028</v>
      </c>
      <c r="B13" s="7" t="s">
        <v>45</v>
      </c>
      <c r="C13" s="7" t="s">
        <v>19</v>
      </c>
      <c r="D13" s="7" t="s">
        <v>51</v>
      </c>
      <c r="E13" s="7">
        <v>2178</v>
      </c>
      <c r="F13" s="7">
        <v>0</v>
      </c>
      <c r="G13" s="7">
        <v>85</v>
      </c>
      <c r="H13" s="7">
        <v>2</v>
      </c>
      <c r="I13" s="7">
        <v>35</v>
      </c>
      <c r="J13" s="7">
        <f t="shared" si="0"/>
        <v>122</v>
      </c>
      <c r="K13" s="14">
        <v>2056</v>
      </c>
      <c r="L13" s="7">
        <v>3</v>
      </c>
      <c r="M13" s="7" t="s">
        <v>49</v>
      </c>
      <c r="N13" s="9">
        <f t="shared" si="1"/>
        <v>94.398530762167127</v>
      </c>
      <c r="O13" s="7">
        <f t="shared" si="2"/>
        <v>2178</v>
      </c>
      <c r="P13" s="7">
        <f t="shared" si="3"/>
        <v>0</v>
      </c>
      <c r="Q13" s="1"/>
      <c r="R13" s="1"/>
      <c r="S13" s="2"/>
    </row>
    <row r="14" spans="1:19" ht="14.45" customHeight="1">
      <c r="A14" s="186">
        <v>46028</v>
      </c>
      <c r="B14" s="7" t="s">
        <v>45</v>
      </c>
      <c r="C14" s="7" t="s">
        <v>19</v>
      </c>
      <c r="D14" s="7" t="s">
        <v>48</v>
      </c>
      <c r="E14" s="7">
        <v>3700</v>
      </c>
      <c r="F14" s="7">
        <v>0</v>
      </c>
      <c r="G14" s="7">
        <v>90</v>
      </c>
      <c r="H14" s="7">
        <v>2</v>
      </c>
      <c r="I14" s="7">
        <v>246</v>
      </c>
      <c r="J14" s="7">
        <f t="shared" si="0"/>
        <v>338</v>
      </c>
      <c r="K14" s="15">
        <v>3362</v>
      </c>
      <c r="L14" s="7">
        <v>3</v>
      </c>
      <c r="M14" s="7" t="s">
        <v>50</v>
      </c>
      <c r="N14" s="9">
        <f t="shared" si="1"/>
        <v>90.86486486486487</v>
      </c>
      <c r="O14" s="7">
        <f t="shared" si="2"/>
        <v>3700</v>
      </c>
      <c r="P14" s="7">
        <f t="shared" si="3"/>
        <v>0</v>
      </c>
      <c r="Q14" s="1"/>
      <c r="R14" s="1"/>
      <c r="S14" s="2"/>
    </row>
    <row r="15" spans="1:19" ht="15">
      <c r="A15" s="185">
        <v>46029</v>
      </c>
      <c r="B15" s="7" t="s">
        <v>45</v>
      </c>
      <c r="C15" s="7" t="s">
        <v>19</v>
      </c>
      <c r="D15" s="7" t="s">
        <v>48</v>
      </c>
      <c r="E15" s="7">
        <v>2400</v>
      </c>
      <c r="F15" s="7">
        <v>0</v>
      </c>
      <c r="G15" s="7">
        <v>19</v>
      </c>
      <c r="H15" s="7">
        <v>3</v>
      </c>
      <c r="I15" s="7">
        <v>195</v>
      </c>
      <c r="J15" s="7">
        <f t="shared" si="0"/>
        <v>217</v>
      </c>
      <c r="K15" s="8">
        <v>2183</v>
      </c>
      <c r="L15" s="7">
        <v>3</v>
      </c>
      <c r="M15" s="7" t="s">
        <v>49</v>
      </c>
      <c r="N15" s="9">
        <f t="shared" si="1"/>
        <v>90.958333333333329</v>
      </c>
      <c r="O15" s="7">
        <f t="shared" si="2"/>
        <v>2400</v>
      </c>
      <c r="P15" s="7">
        <f t="shared" si="3"/>
        <v>0</v>
      </c>
      <c r="Q15" s="1"/>
      <c r="R15" s="1"/>
      <c r="S15" s="2"/>
    </row>
    <row r="16" spans="1:19" ht="15">
      <c r="A16" s="186">
        <v>46029</v>
      </c>
      <c r="B16" s="7" t="s">
        <v>45</v>
      </c>
      <c r="C16" s="7" t="s">
        <v>19</v>
      </c>
      <c r="D16" s="7" t="s">
        <v>48</v>
      </c>
      <c r="E16" s="7">
        <v>3750</v>
      </c>
      <c r="F16" s="7">
        <v>0</v>
      </c>
      <c r="G16" s="7">
        <v>110</v>
      </c>
      <c r="H16" s="7">
        <v>4</v>
      </c>
      <c r="I16" s="7">
        <v>214</v>
      </c>
      <c r="J16" s="7">
        <f t="shared" si="0"/>
        <v>328</v>
      </c>
      <c r="K16" s="8">
        <v>3422</v>
      </c>
      <c r="L16" s="7">
        <v>3</v>
      </c>
      <c r="M16" s="7" t="s">
        <v>50</v>
      </c>
      <c r="N16" s="9">
        <f t="shared" si="1"/>
        <v>91.25333333333333</v>
      </c>
      <c r="O16" s="7">
        <f t="shared" si="2"/>
        <v>3750</v>
      </c>
      <c r="P16" s="7">
        <f t="shared" si="3"/>
        <v>0</v>
      </c>
      <c r="Q16" s="1"/>
      <c r="R16" s="1"/>
      <c r="S16" s="2"/>
    </row>
    <row r="17" spans="1:19" ht="14.45" customHeight="1">
      <c r="A17" s="185">
        <v>46030</v>
      </c>
      <c r="B17" s="7" t="s">
        <v>52</v>
      </c>
      <c r="C17" s="7" t="s">
        <v>19</v>
      </c>
      <c r="D17" s="7" t="s">
        <v>48</v>
      </c>
      <c r="E17" s="7">
        <v>600</v>
      </c>
      <c r="F17" s="7">
        <v>0</v>
      </c>
      <c r="G17" s="7">
        <v>2</v>
      </c>
      <c r="H17" s="7">
        <v>1</v>
      </c>
      <c r="I17" s="7">
        <v>16</v>
      </c>
      <c r="J17" s="7">
        <f t="shared" si="0"/>
        <v>19</v>
      </c>
      <c r="K17" s="14">
        <v>581</v>
      </c>
      <c r="L17" s="7">
        <v>2</v>
      </c>
      <c r="M17" s="7" t="s">
        <v>49</v>
      </c>
      <c r="N17" s="9">
        <f t="shared" si="1"/>
        <v>96.833333333333343</v>
      </c>
      <c r="O17" s="7">
        <f t="shared" si="2"/>
        <v>600</v>
      </c>
      <c r="P17" s="7">
        <f t="shared" si="3"/>
        <v>0</v>
      </c>
      <c r="Q17" s="1"/>
      <c r="R17" s="1"/>
      <c r="S17" s="2"/>
    </row>
    <row r="18" spans="1:19" ht="14.45" customHeight="1">
      <c r="A18" s="186">
        <v>46030</v>
      </c>
      <c r="B18" s="7" t="s">
        <v>45</v>
      </c>
      <c r="C18" s="7" t="s">
        <v>19</v>
      </c>
      <c r="D18" s="7" t="s">
        <v>48</v>
      </c>
      <c r="E18" s="7">
        <v>1150</v>
      </c>
      <c r="F18" s="7">
        <v>0</v>
      </c>
      <c r="G18" s="7">
        <v>23</v>
      </c>
      <c r="H18" s="7">
        <v>2</v>
      </c>
      <c r="I18" s="7">
        <v>87</v>
      </c>
      <c r="J18" s="7">
        <f t="shared" si="0"/>
        <v>112</v>
      </c>
      <c r="K18" s="14">
        <v>1038</v>
      </c>
      <c r="L18" s="7">
        <v>4</v>
      </c>
      <c r="M18" s="7" t="s">
        <v>50</v>
      </c>
      <c r="N18" s="9">
        <f t="shared" si="1"/>
        <v>90.260869565217391</v>
      </c>
      <c r="O18" s="7">
        <f t="shared" si="2"/>
        <v>1150</v>
      </c>
      <c r="P18" s="7">
        <f t="shared" si="3"/>
        <v>0</v>
      </c>
      <c r="Q18" s="1"/>
      <c r="R18" s="1"/>
      <c r="S18" s="2"/>
    </row>
    <row r="19" spans="1:19" ht="15">
      <c r="A19" s="187">
        <v>46031</v>
      </c>
      <c r="B19" s="7" t="s">
        <v>52</v>
      </c>
      <c r="C19" s="7" t="s">
        <v>19</v>
      </c>
      <c r="D19" s="7" t="s">
        <v>48</v>
      </c>
      <c r="E19" s="7">
        <v>70</v>
      </c>
      <c r="F19" s="7"/>
      <c r="G19" s="7"/>
      <c r="H19" s="7"/>
      <c r="I19" s="7">
        <v>6</v>
      </c>
      <c r="J19" s="7">
        <f t="shared" si="0"/>
        <v>6</v>
      </c>
      <c r="K19" s="14">
        <v>64</v>
      </c>
      <c r="L19" s="7"/>
      <c r="M19" s="7" t="s">
        <v>49</v>
      </c>
      <c r="N19" s="9">
        <f t="shared" si="1"/>
        <v>91.428571428571431</v>
      </c>
      <c r="O19" s="7">
        <f t="shared" si="2"/>
        <v>70</v>
      </c>
      <c r="P19" s="7">
        <f t="shared" si="3"/>
        <v>0</v>
      </c>
      <c r="Q19" s="1"/>
      <c r="R19" s="1"/>
      <c r="S19" s="2"/>
    </row>
    <row r="20" spans="1:19" ht="15">
      <c r="A20" s="187">
        <v>46032</v>
      </c>
      <c r="B20" s="7" t="s">
        <v>45</v>
      </c>
      <c r="C20" s="7" t="s">
        <v>19</v>
      </c>
      <c r="D20" s="7" t="s">
        <v>48</v>
      </c>
      <c r="E20" s="7">
        <v>1000</v>
      </c>
      <c r="F20" s="7">
        <v>0</v>
      </c>
      <c r="G20" s="7">
        <v>8</v>
      </c>
      <c r="H20" s="7">
        <v>0</v>
      </c>
      <c r="I20" s="7">
        <v>31</v>
      </c>
      <c r="J20" s="7">
        <f t="shared" si="0"/>
        <v>39</v>
      </c>
      <c r="K20" s="8">
        <v>961</v>
      </c>
      <c r="L20" s="7">
        <v>2</v>
      </c>
      <c r="M20" s="7" t="s">
        <v>49</v>
      </c>
      <c r="N20" s="9">
        <f t="shared" si="1"/>
        <v>96.1</v>
      </c>
      <c r="O20" s="7">
        <f t="shared" si="2"/>
        <v>1000</v>
      </c>
      <c r="P20" s="7">
        <f t="shared" si="3"/>
        <v>0</v>
      </c>
      <c r="Q20" s="1"/>
      <c r="R20" s="1"/>
      <c r="S20" s="2"/>
    </row>
    <row r="21" spans="1:19" ht="15">
      <c r="A21" s="187">
        <v>46033</v>
      </c>
      <c r="B21" s="7" t="s">
        <v>45</v>
      </c>
      <c r="C21" s="7" t="s">
        <v>19</v>
      </c>
      <c r="D21" s="7" t="s">
        <v>48</v>
      </c>
      <c r="E21" s="7">
        <v>1600</v>
      </c>
      <c r="F21" s="7">
        <v>0</v>
      </c>
      <c r="G21" s="7">
        <v>12</v>
      </c>
      <c r="H21" s="7">
        <v>2</v>
      </c>
      <c r="I21" s="7">
        <v>46</v>
      </c>
      <c r="J21" s="7">
        <f t="shared" si="0"/>
        <v>60</v>
      </c>
      <c r="K21" s="8">
        <v>1540</v>
      </c>
      <c r="L21" s="7">
        <v>3</v>
      </c>
      <c r="M21" s="7" t="s">
        <v>49</v>
      </c>
      <c r="N21" s="9">
        <f t="shared" si="1"/>
        <v>96.25</v>
      </c>
      <c r="O21" s="7">
        <f t="shared" si="2"/>
        <v>1600</v>
      </c>
      <c r="P21" s="7">
        <f t="shared" si="3"/>
        <v>0</v>
      </c>
      <c r="Q21" s="1"/>
      <c r="R21" s="1"/>
      <c r="S21" s="2"/>
    </row>
    <row r="22" spans="1:19" ht="14.45" customHeight="1">
      <c r="A22" s="185">
        <v>46034</v>
      </c>
      <c r="B22" s="7" t="s">
        <v>45</v>
      </c>
      <c r="C22" s="7" t="s">
        <v>19</v>
      </c>
      <c r="D22" s="7" t="s">
        <v>48</v>
      </c>
      <c r="E22" s="7">
        <v>1650</v>
      </c>
      <c r="F22" s="7">
        <v>0</v>
      </c>
      <c r="G22" s="7">
        <v>16</v>
      </c>
      <c r="H22" s="7">
        <v>2</v>
      </c>
      <c r="I22" s="7">
        <v>71</v>
      </c>
      <c r="J22" s="7">
        <f t="shared" si="0"/>
        <v>89</v>
      </c>
      <c r="K22" s="8">
        <v>1561</v>
      </c>
      <c r="L22" s="7">
        <v>3</v>
      </c>
      <c r="M22" s="7" t="s">
        <v>49</v>
      </c>
      <c r="N22" s="9">
        <f t="shared" si="1"/>
        <v>94.606060606060609</v>
      </c>
      <c r="O22" s="7">
        <f t="shared" si="2"/>
        <v>1650</v>
      </c>
      <c r="P22" s="7">
        <f t="shared" si="3"/>
        <v>0</v>
      </c>
      <c r="Q22" s="1"/>
      <c r="R22" s="1"/>
      <c r="S22" s="2"/>
    </row>
    <row r="23" spans="1:19" ht="14.45" customHeight="1">
      <c r="A23" s="186">
        <v>46034</v>
      </c>
      <c r="B23" s="7" t="s">
        <v>45</v>
      </c>
      <c r="C23" s="7" t="s">
        <v>19</v>
      </c>
      <c r="D23" s="7" t="s">
        <v>48</v>
      </c>
      <c r="E23" s="7">
        <v>1500</v>
      </c>
      <c r="F23" s="7">
        <v>0</v>
      </c>
      <c r="G23" s="7">
        <v>13</v>
      </c>
      <c r="H23" s="7">
        <v>3</v>
      </c>
      <c r="I23" s="7">
        <v>149</v>
      </c>
      <c r="J23" s="7">
        <f t="shared" si="0"/>
        <v>165</v>
      </c>
      <c r="K23" s="8">
        <f>1335-2</f>
        <v>1333</v>
      </c>
      <c r="L23" s="7">
        <v>4</v>
      </c>
      <c r="M23" s="7" t="s">
        <v>50</v>
      </c>
      <c r="N23" s="9">
        <f t="shared" si="1"/>
        <v>88.866666666666674</v>
      </c>
      <c r="O23" s="7">
        <f t="shared" si="2"/>
        <v>1498</v>
      </c>
      <c r="P23" s="7">
        <f t="shared" si="3"/>
        <v>2</v>
      </c>
      <c r="Q23" s="1"/>
      <c r="R23" s="1"/>
      <c r="S23" s="2"/>
    </row>
    <row r="24" spans="1:19" ht="15">
      <c r="A24" s="185">
        <v>46035</v>
      </c>
      <c r="B24" s="7" t="s">
        <v>45</v>
      </c>
      <c r="C24" s="7" t="s">
        <v>19</v>
      </c>
      <c r="D24" s="7" t="s">
        <v>48</v>
      </c>
      <c r="E24" s="7">
        <v>2650</v>
      </c>
      <c r="F24" s="7">
        <v>0</v>
      </c>
      <c r="G24" s="7">
        <v>31</v>
      </c>
      <c r="H24" s="7">
        <v>4</v>
      </c>
      <c r="I24" s="7">
        <v>170</v>
      </c>
      <c r="J24" s="7">
        <f t="shared" si="0"/>
        <v>205</v>
      </c>
      <c r="K24" s="8">
        <v>2445</v>
      </c>
      <c r="L24" s="7">
        <v>3</v>
      </c>
      <c r="M24" s="7" t="s">
        <v>49</v>
      </c>
      <c r="N24" s="9">
        <f t="shared" si="1"/>
        <v>92.264150943396231</v>
      </c>
      <c r="O24" s="7">
        <f t="shared" si="2"/>
        <v>2650</v>
      </c>
      <c r="P24" s="7">
        <f t="shared" si="3"/>
        <v>0</v>
      </c>
      <c r="Q24" s="1"/>
      <c r="R24" s="1"/>
      <c r="S24" s="2"/>
    </row>
    <row r="25" spans="1:19" ht="14.45" customHeight="1">
      <c r="A25" s="186">
        <v>46035</v>
      </c>
      <c r="B25" s="7" t="s">
        <v>45</v>
      </c>
      <c r="C25" s="7" t="s">
        <v>19</v>
      </c>
      <c r="D25" s="7" t="s">
        <v>48</v>
      </c>
      <c r="E25" s="7">
        <v>2200</v>
      </c>
      <c r="F25" s="7">
        <v>0</v>
      </c>
      <c r="G25" s="7">
        <v>18</v>
      </c>
      <c r="H25" s="7">
        <v>1</v>
      </c>
      <c r="I25" s="7">
        <v>181</v>
      </c>
      <c r="J25" s="7">
        <f t="shared" si="0"/>
        <v>200</v>
      </c>
      <c r="K25" s="16">
        <v>2000</v>
      </c>
      <c r="L25" s="7">
        <v>4</v>
      </c>
      <c r="M25" s="7" t="s">
        <v>50</v>
      </c>
      <c r="N25" s="9">
        <f t="shared" si="1"/>
        <v>90.909090909090907</v>
      </c>
      <c r="O25" s="7">
        <f t="shared" si="2"/>
        <v>2200</v>
      </c>
      <c r="P25" s="7">
        <f t="shared" si="3"/>
        <v>0</v>
      </c>
      <c r="Q25" s="1"/>
      <c r="R25" s="1"/>
      <c r="S25" s="2"/>
    </row>
    <row r="26" spans="1:19" ht="15">
      <c r="A26" s="187">
        <v>46036</v>
      </c>
      <c r="B26" s="7" t="s">
        <v>45</v>
      </c>
      <c r="C26" s="7" t="s">
        <v>19</v>
      </c>
      <c r="D26" s="7" t="s">
        <v>48</v>
      </c>
      <c r="E26" s="7">
        <v>3000</v>
      </c>
      <c r="F26" s="7">
        <v>0</v>
      </c>
      <c r="G26" s="7">
        <v>51</v>
      </c>
      <c r="H26" s="7">
        <v>4</v>
      </c>
      <c r="I26" s="7">
        <v>255</v>
      </c>
      <c r="J26" s="7">
        <f t="shared" si="0"/>
        <v>310</v>
      </c>
      <c r="K26" s="15">
        <v>2690</v>
      </c>
      <c r="L26" s="7">
        <v>4</v>
      </c>
      <c r="M26" s="7" t="s">
        <v>50</v>
      </c>
      <c r="N26" s="9">
        <f t="shared" si="1"/>
        <v>89.666666666666657</v>
      </c>
      <c r="O26" s="7">
        <f t="shared" si="2"/>
        <v>3000</v>
      </c>
      <c r="P26" s="7">
        <f t="shared" si="3"/>
        <v>0</v>
      </c>
      <c r="Q26" s="1"/>
      <c r="R26" s="1"/>
      <c r="S26" s="2"/>
    </row>
    <row r="27" spans="1:19" ht="15">
      <c r="A27" s="187">
        <v>46037</v>
      </c>
      <c r="B27" s="7" t="s">
        <v>45</v>
      </c>
      <c r="C27" s="7" t="s">
        <v>19</v>
      </c>
      <c r="D27" s="7" t="s">
        <v>48</v>
      </c>
      <c r="E27" s="7">
        <v>2000</v>
      </c>
      <c r="F27" s="7">
        <v>0</v>
      </c>
      <c r="G27" s="7">
        <v>85</v>
      </c>
      <c r="H27" s="7">
        <v>2</v>
      </c>
      <c r="I27" s="7">
        <v>93</v>
      </c>
      <c r="J27" s="7">
        <f t="shared" si="0"/>
        <v>180</v>
      </c>
      <c r="K27" s="8">
        <v>1820</v>
      </c>
      <c r="L27" s="7">
        <v>4</v>
      </c>
      <c r="M27" s="7" t="s">
        <v>50</v>
      </c>
      <c r="N27" s="9">
        <f t="shared" si="1"/>
        <v>91</v>
      </c>
      <c r="O27" s="7">
        <f t="shared" si="2"/>
        <v>2000</v>
      </c>
      <c r="P27" s="7">
        <f t="shared" si="3"/>
        <v>0</v>
      </c>
      <c r="Q27" s="1"/>
      <c r="R27" s="1"/>
      <c r="S27" s="2"/>
    </row>
    <row r="28" spans="1:19" ht="14.45" customHeight="1">
      <c r="A28" s="185">
        <v>46038</v>
      </c>
      <c r="B28" s="7" t="s">
        <v>45</v>
      </c>
      <c r="C28" s="7" t="s">
        <v>19</v>
      </c>
      <c r="D28" s="7" t="s">
        <v>48</v>
      </c>
      <c r="E28" s="7">
        <v>2100</v>
      </c>
      <c r="F28" s="7">
        <v>0</v>
      </c>
      <c r="G28" s="7">
        <v>18</v>
      </c>
      <c r="H28" s="7">
        <v>1</v>
      </c>
      <c r="I28" s="7">
        <v>80</v>
      </c>
      <c r="J28" s="7">
        <f t="shared" si="0"/>
        <v>99</v>
      </c>
      <c r="K28" s="14">
        <v>2001</v>
      </c>
      <c r="L28" s="7">
        <v>3</v>
      </c>
      <c r="M28" s="7" t="s">
        <v>49</v>
      </c>
      <c r="N28" s="9">
        <f t="shared" si="1"/>
        <v>95.285714285714278</v>
      </c>
      <c r="O28" s="7">
        <f t="shared" si="2"/>
        <v>2100</v>
      </c>
      <c r="P28" s="7">
        <f t="shared" si="3"/>
        <v>0</v>
      </c>
      <c r="Q28" s="1"/>
      <c r="R28" s="1"/>
      <c r="S28" s="2"/>
    </row>
    <row r="29" spans="1:19" ht="14.45" customHeight="1">
      <c r="A29" s="186">
        <v>46038</v>
      </c>
      <c r="B29" s="7" t="s">
        <v>45</v>
      </c>
      <c r="C29" s="7" t="s">
        <v>19</v>
      </c>
      <c r="D29" s="7" t="s">
        <v>48</v>
      </c>
      <c r="E29" s="7">
        <v>700</v>
      </c>
      <c r="F29" s="7">
        <v>0</v>
      </c>
      <c r="G29" s="7">
        <v>8</v>
      </c>
      <c r="H29" s="7">
        <v>2</v>
      </c>
      <c r="I29" s="7">
        <v>49</v>
      </c>
      <c r="J29" s="7">
        <f t="shared" si="0"/>
        <v>59</v>
      </c>
      <c r="K29" s="14">
        <v>641</v>
      </c>
      <c r="L29" s="7">
        <v>4</v>
      </c>
      <c r="M29" s="7" t="s">
        <v>50</v>
      </c>
      <c r="N29" s="9">
        <f t="shared" si="1"/>
        <v>91.571428571428569</v>
      </c>
      <c r="O29" s="7">
        <f t="shared" si="2"/>
        <v>700</v>
      </c>
      <c r="P29" s="7">
        <f t="shared" si="3"/>
        <v>0</v>
      </c>
      <c r="Q29" s="1"/>
      <c r="R29" s="1"/>
      <c r="S29" s="2"/>
    </row>
    <row r="30" spans="1:19" ht="15">
      <c r="A30" s="187">
        <v>46039</v>
      </c>
      <c r="B30" s="7" t="s">
        <v>45</v>
      </c>
      <c r="C30" s="7" t="s">
        <v>19</v>
      </c>
      <c r="D30" s="7" t="s">
        <v>48</v>
      </c>
      <c r="E30" s="7">
        <v>2050</v>
      </c>
      <c r="F30" s="7">
        <v>0</v>
      </c>
      <c r="G30" s="7">
        <v>9</v>
      </c>
      <c r="H30" s="7">
        <v>2</v>
      </c>
      <c r="I30" s="7">
        <v>110</v>
      </c>
      <c r="J30" s="7">
        <f t="shared" si="0"/>
        <v>121</v>
      </c>
      <c r="K30" s="14">
        <v>1929</v>
      </c>
      <c r="L30" s="7">
        <v>3</v>
      </c>
      <c r="M30" s="7" t="s">
        <v>49</v>
      </c>
      <c r="N30" s="9">
        <f t="shared" si="1"/>
        <v>94.097560975609753</v>
      </c>
      <c r="O30" s="7">
        <f t="shared" si="2"/>
        <v>2050</v>
      </c>
      <c r="P30" s="7">
        <f t="shared" si="3"/>
        <v>0</v>
      </c>
      <c r="Q30" s="1"/>
      <c r="R30" s="1"/>
      <c r="S30" s="2"/>
    </row>
    <row r="31" spans="1:19" ht="14.45" customHeight="1">
      <c r="A31" s="185">
        <v>46040</v>
      </c>
      <c r="B31" s="7" t="s">
        <v>45</v>
      </c>
      <c r="C31" s="7" t="s">
        <v>19</v>
      </c>
      <c r="D31" s="7" t="s">
        <v>48</v>
      </c>
      <c r="E31" s="7">
        <v>1950</v>
      </c>
      <c r="F31" s="7">
        <v>0</v>
      </c>
      <c r="G31" s="7">
        <v>24</v>
      </c>
      <c r="H31" s="7">
        <v>2</v>
      </c>
      <c r="I31" s="7">
        <v>134</v>
      </c>
      <c r="J31" s="7">
        <f t="shared" si="0"/>
        <v>160</v>
      </c>
      <c r="K31" s="14">
        <v>1790</v>
      </c>
      <c r="L31" s="7">
        <v>4</v>
      </c>
      <c r="M31" s="7" t="s">
        <v>50</v>
      </c>
      <c r="N31" s="9">
        <f t="shared" si="1"/>
        <v>91.794871794871796</v>
      </c>
      <c r="O31" s="7">
        <f t="shared" si="2"/>
        <v>1950</v>
      </c>
      <c r="P31" s="7">
        <f t="shared" si="3"/>
        <v>0</v>
      </c>
      <c r="Q31" s="1"/>
      <c r="R31" s="1"/>
      <c r="S31" s="2"/>
    </row>
    <row r="32" spans="1:19" ht="15">
      <c r="A32" s="186">
        <v>46040</v>
      </c>
      <c r="B32" s="7" t="s">
        <v>45</v>
      </c>
      <c r="C32" s="7" t="s">
        <v>19</v>
      </c>
      <c r="D32" s="18" t="s">
        <v>48</v>
      </c>
      <c r="E32" s="7">
        <v>2400</v>
      </c>
      <c r="F32" s="7">
        <v>0</v>
      </c>
      <c r="G32" s="7">
        <v>23</v>
      </c>
      <c r="H32" s="7">
        <v>3</v>
      </c>
      <c r="I32" s="7">
        <v>74</v>
      </c>
      <c r="J32" s="7">
        <f t="shared" si="0"/>
        <v>100</v>
      </c>
      <c r="K32" s="8">
        <v>2300</v>
      </c>
      <c r="L32" s="7">
        <v>4</v>
      </c>
      <c r="M32" s="7" t="s">
        <v>49</v>
      </c>
      <c r="N32" s="9">
        <f t="shared" si="1"/>
        <v>95.833333333333343</v>
      </c>
      <c r="O32" s="7">
        <f t="shared" si="2"/>
        <v>2400</v>
      </c>
      <c r="P32" s="7">
        <f t="shared" si="3"/>
        <v>0</v>
      </c>
      <c r="Q32" s="1"/>
      <c r="R32" s="1"/>
      <c r="S32" s="2"/>
    </row>
    <row r="33" spans="1:19" ht="14.45" customHeight="1">
      <c r="A33" s="185">
        <v>46041</v>
      </c>
      <c r="B33" s="7" t="s">
        <v>45</v>
      </c>
      <c r="C33" s="7" t="s">
        <v>19</v>
      </c>
      <c r="D33" s="7" t="s">
        <v>48</v>
      </c>
      <c r="E33" s="7">
        <v>2400</v>
      </c>
      <c r="F33" s="7">
        <v>0</v>
      </c>
      <c r="G33" s="7">
        <v>18</v>
      </c>
      <c r="H33" s="7">
        <v>5</v>
      </c>
      <c r="I33" s="7">
        <v>127</v>
      </c>
      <c r="J33" s="7">
        <f t="shared" si="0"/>
        <v>150</v>
      </c>
      <c r="K33" s="8">
        <v>2250</v>
      </c>
      <c r="L33" s="7">
        <v>3</v>
      </c>
      <c r="M33" s="7" t="s">
        <v>53</v>
      </c>
      <c r="N33" s="9">
        <f t="shared" si="1"/>
        <v>93.75</v>
      </c>
      <c r="O33" s="7">
        <f t="shared" si="2"/>
        <v>2400</v>
      </c>
      <c r="P33" s="7">
        <f t="shared" si="3"/>
        <v>0</v>
      </c>
      <c r="Q33" s="1"/>
      <c r="R33" s="1"/>
      <c r="S33" s="2"/>
    </row>
    <row r="34" spans="1:19" ht="14.45" customHeight="1">
      <c r="A34" s="186">
        <v>46041</v>
      </c>
      <c r="B34" s="7" t="s">
        <v>45</v>
      </c>
      <c r="C34" s="7" t="s">
        <v>19</v>
      </c>
      <c r="D34" s="7" t="s">
        <v>48</v>
      </c>
      <c r="E34" s="7">
        <v>2300</v>
      </c>
      <c r="F34" s="7">
        <v>0</v>
      </c>
      <c r="G34" s="7">
        <v>28</v>
      </c>
      <c r="H34" s="7">
        <v>1</v>
      </c>
      <c r="I34" s="7">
        <v>114</v>
      </c>
      <c r="J34" s="7">
        <f t="shared" si="0"/>
        <v>143</v>
      </c>
      <c r="K34" s="8">
        <v>2157</v>
      </c>
      <c r="L34" s="7">
        <v>4</v>
      </c>
      <c r="M34" s="7" t="s">
        <v>54</v>
      </c>
      <c r="N34" s="9">
        <f t="shared" si="1"/>
        <v>93.782608695652172</v>
      </c>
      <c r="O34" s="7">
        <f t="shared" si="2"/>
        <v>2300</v>
      </c>
      <c r="P34" s="7">
        <f t="shared" si="3"/>
        <v>0</v>
      </c>
      <c r="Q34" s="1"/>
      <c r="R34" s="1"/>
      <c r="S34" s="2"/>
    </row>
    <row r="35" spans="1:19" ht="15">
      <c r="A35" s="185">
        <v>46042</v>
      </c>
      <c r="B35" s="7" t="s">
        <v>45</v>
      </c>
      <c r="C35" s="7" t="s">
        <v>19</v>
      </c>
      <c r="D35" s="7" t="s">
        <v>48</v>
      </c>
      <c r="E35" s="7">
        <v>2250</v>
      </c>
      <c r="F35" s="7">
        <v>0</v>
      </c>
      <c r="G35" s="7">
        <v>20</v>
      </c>
      <c r="H35" s="7">
        <v>5</v>
      </c>
      <c r="I35" s="7">
        <v>137</v>
      </c>
      <c r="J35" s="7">
        <f t="shared" si="0"/>
        <v>162</v>
      </c>
      <c r="K35" s="7">
        <v>2088</v>
      </c>
      <c r="L35" s="7">
        <v>3</v>
      </c>
      <c r="M35" s="7" t="s">
        <v>53</v>
      </c>
      <c r="N35" s="9">
        <f t="shared" si="1"/>
        <v>92.800000000000011</v>
      </c>
      <c r="O35" s="7">
        <f t="shared" si="2"/>
        <v>2250</v>
      </c>
      <c r="P35" s="7">
        <f t="shared" si="3"/>
        <v>0</v>
      </c>
      <c r="Q35" s="1"/>
      <c r="R35" s="1"/>
      <c r="S35" s="2"/>
    </row>
    <row r="36" spans="1:19" ht="14.45" customHeight="1">
      <c r="A36" s="186">
        <v>46042</v>
      </c>
      <c r="B36" s="7" t="s">
        <v>45</v>
      </c>
      <c r="C36" s="7" t="s">
        <v>19</v>
      </c>
      <c r="D36" s="7" t="s">
        <v>46</v>
      </c>
      <c r="E36" s="7">
        <v>3000</v>
      </c>
      <c r="F36" s="7">
        <v>0</v>
      </c>
      <c r="G36" s="7">
        <v>142</v>
      </c>
      <c r="H36" s="7">
        <v>1</v>
      </c>
      <c r="I36" s="7">
        <v>183</v>
      </c>
      <c r="J36" s="7">
        <f t="shared" si="0"/>
        <v>326</v>
      </c>
      <c r="K36" s="8">
        <v>2674</v>
      </c>
      <c r="L36" s="7">
        <v>4</v>
      </c>
      <c r="M36" s="7" t="s">
        <v>54</v>
      </c>
      <c r="N36" s="9">
        <f t="shared" si="1"/>
        <v>89.133333333333326</v>
      </c>
      <c r="O36" s="7">
        <f t="shared" si="2"/>
        <v>3000</v>
      </c>
      <c r="P36" s="7">
        <f t="shared" si="3"/>
        <v>0</v>
      </c>
      <c r="Q36" s="1"/>
      <c r="R36" s="1"/>
      <c r="S36" s="2"/>
    </row>
    <row r="37" spans="1:19" ht="15">
      <c r="A37" s="185">
        <v>46043</v>
      </c>
      <c r="B37" s="7" t="s">
        <v>45</v>
      </c>
      <c r="C37" s="7" t="s">
        <v>19</v>
      </c>
      <c r="D37" s="7" t="s">
        <v>48</v>
      </c>
      <c r="E37" s="7">
        <v>2400</v>
      </c>
      <c r="F37" s="7">
        <v>0</v>
      </c>
      <c r="G37" s="7">
        <v>16</v>
      </c>
      <c r="H37" s="7">
        <v>2</v>
      </c>
      <c r="I37" s="7">
        <v>153</v>
      </c>
      <c r="J37" s="7">
        <f t="shared" si="0"/>
        <v>171</v>
      </c>
      <c r="K37" s="8">
        <v>2229</v>
      </c>
      <c r="L37" s="7">
        <v>3</v>
      </c>
      <c r="M37" s="7" t="s">
        <v>53</v>
      </c>
      <c r="N37" s="9">
        <f t="shared" si="1"/>
        <v>92.875</v>
      </c>
      <c r="O37" s="7">
        <f t="shared" si="2"/>
        <v>2400</v>
      </c>
      <c r="P37" s="7">
        <f t="shared" si="3"/>
        <v>0</v>
      </c>
      <c r="Q37" s="1"/>
      <c r="R37" s="1"/>
      <c r="S37" s="2"/>
    </row>
    <row r="38" spans="1:19" ht="14.45" customHeight="1">
      <c r="A38" s="186">
        <v>46043</v>
      </c>
      <c r="B38" s="7" t="s">
        <v>45</v>
      </c>
      <c r="C38" s="7" t="s">
        <v>19</v>
      </c>
      <c r="D38" s="7" t="s">
        <v>48</v>
      </c>
      <c r="E38" s="7">
        <v>3300</v>
      </c>
      <c r="F38" s="7">
        <v>0</v>
      </c>
      <c r="G38" s="7">
        <v>67</v>
      </c>
      <c r="H38" s="7">
        <v>4</v>
      </c>
      <c r="I38" s="7">
        <v>169</v>
      </c>
      <c r="J38" s="7">
        <f t="shared" si="0"/>
        <v>240</v>
      </c>
      <c r="K38" s="8">
        <v>3060</v>
      </c>
      <c r="L38" s="7">
        <v>4</v>
      </c>
      <c r="M38" s="7" t="s">
        <v>54</v>
      </c>
      <c r="N38" s="9">
        <f t="shared" si="1"/>
        <v>92.72727272727272</v>
      </c>
      <c r="O38" s="7">
        <f t="shared" si="2"/>
        <v>3300</v>
      </c>
      <c r="P38" s="7">
        <f t="shared" si="3"/>
        <v>0</v>
      </c>
      <c r="Q38" s="1"/>
      <c r="R38" s="1"/>
      <c r="S38" s="2"/>
    </row>
    <row r="39" spans="1:19" ht="15">
      <c r="A39" s="185">
        <v>46044</v>
      </c>
      <c r="B39" s="7" t="s">
        <v>52</v>
      </c>
      <c r="C39" s="7" t="s">
        <v>19</v>
      </c>
      <c r="D39" s="7" t="s">
        <v>48</v>
      </c>
      <c r="E39" s="7">
        <v>1950</v>
      </c>
      <c r="F39" s="7">
        <v>0</v>
      </c>
      <c r="G39" s="7">
        <v>18</v>
      </c>
      <c r="H39" s="7">
        <v>2</v>
      </c>
      <c r="I39" s="7">
        <v>56</v>
      </c>
      <c r="J39" s="7">
        <f t="shared" si="0"/>
        <v>76</v>
      </c>
      <c r="K39" s="14">
        <v>1874</v>
      </c>
      <c r="L39" s="7">
        <v>4</v>
      </c>
      <c r="M39" s="7" t="s">
        <v>53</v>
      </c>
      <c r="N39" s="9">
        <f t="shared" si="1"/>
        <v>96.102564102564102</v>
      </c>
      <c r="O39" s="7">
        <f t="shared" si="2"/>
        <v>1950</v>
      </c>
      <c r="P39" s="7">
        <f t="shared" si="3"/>
        <v>0</v>
      </c>
      <c r="Q39" s="1"/>
      <c r="R39" s="1"/>
      <c r="S39" s="2"/>
    </row>
    <row r="40" spans="1:19" ht="14.45" customHeight="1">
      <c r="A40" s="186">
        <v>46044</v>
      </c>
      <c r="B40" s="7" t="s">
        <v>52</v>
      </c>
      <c r="C40" s="7" t="s">
        <v>19</v>
      </c>
      <c r="D40" s="7" t="s">
        <v>48</v>
      </c>
      <c r="E40" s="7">
        <v>3750</v>
      </c>
      <c r="F40" s="7">
        <v>0</v>
      </c>
      <c r="G40" s="7">
        <v>119</v>
      </c>
      <c r="H40" s="7">
        <v>5</v>
      </c>
      <c r="I40" s="7">
        <v>206</v>
      </c>
      <c r="J40" s="7">
        <f t="shared" si="0"/>
        <v>330</v>
      </c>
      <c r="K40" s="14">
        <v>3420</v>
      </c>
      <c r="L40" s="7">
        <v>4</v>
      </c>
      <c r="M40" s="7" t="s">
        <v>54</v>
      </c>
      <c r="N40" s="9">
        <f t="shared" si="1"/>
        <v>91.2</v>
      </c>
      <c r="O40" s="7">
        <f t="shared" si="2"/>
        <v>3750</v>
      </c>
      <c r="P40" s="7">
        <f t="shared" si="3"/>
        <v>0</v>
      </c>
      <c r="Q40" s="1"/>
      <c r="R40" s="1"/>
      <c r="S40" s="2"/>
    </row>
    <row r="41" spans="1:19" ht="15">
      <c r="A41" s="185">
        <v>46045</v>
      </c>
      <c r="B41" s="7" t="s">
        <v>52</v>
      </c>
      <c r="C41" s="7" t="s">
        <v>19</v>
      </c>
      <c r="D41" s="7" t="s">
        <v>48</v>
      </c>
      <c r="E41" s="7">
        <v>2550</v>
      </c>
      <c r="F41" s="7">
        <v>0</v>
      </c>
      <c r="G41" s="7">
        <v>25</v>
      </c>
      <c r="H41" s="7">
        <v>3</v>
      </c>
      <c r="I41" s="7">
        <v>116</v>
      </c>
      <c r="J41" s="7">
        <f t="shared" si="0"/>
        <v>144</v>
      </c>
      <c r="K41" s="7">
        <v>2406</v>
      </c>
      <c r="L41" s="7">
        <v>4</v>
      </c>
      <c r="M41" s="7" t="s">
        <v>53</v>
      </c>
      <c r="N41" s="9">
        <f t="shared" si="1"/>
        <v>94.35294117647058</v>
      </c>
      <c r="O41" s="7">
        <f t="shared" si="2"/>
        <v>2550</v>
      </c>
      <c r="P41" s="7">
        <f t="shared" si="3"/>
        <v>0</v>
      </c>
      <c r="Q41" s="1"/>
      <c r="R41" s="1"/>
      <c r="S41" s="2"/>
    </row>
    <row r="42" spans="1:19" ht="15">
      <c r="A42" s="186">
        <v>46045</v>
      </c>
      <c r="B42" s="7" t="s">
        <v>52</v>
      </c>
      <c r="C42" s="7" t="s">
        <v>19</v>
      </c>
      <c r="D42" s="7" t="s">
        <v>48</v>
      </c>
      <c r="E42" s="7">
        <v>3050</v>
      </c>
      <c r="F42" s="7">
        <v>0</v>
      </c>
      <c r="G42" s="7">
        <v>31</v>
      </c>
      <c r="H42" s="7">
        <v>5</v>
      </c>
      <c r="I42" s="7">
        <v>146</v>
      </c>
      <c r="J42" s="7">
        <f t="shared" si="0"/>
        <v>182</v>
      </c>
      <c r="K42" s="7">
        <v>2868</v>
      </c>
      <c r="L42" s="7">
        <v>4</v>
      </c>
      <c r="M42" s="7" t="s">
        <v>54</v>
      </c>
      <c r="N42" s="9">
        <f t="shared" si="1"/>
        <v>94.032786885245898</v>
      </c>
      <c r="O42" s="7">
        <f t="shared" si="2"/>
        <v>3050</v>
      </c>
      <c r="P42" s="7">
        <f t="shared" si="3"/>
        <v>0</v>
      </c>
      <c r="Q42" s="1"/>
      <c r="R42" s="1"/>
      <c r="S42" s="2"/>
    </row>
    <row r="43" spans="1:19" ht="14.45" customHeight="1">
      <c r="A43" s="185">
        <v>46046</v>
      </c>
      <c r="B43" s="7" t="s">
        <v>52</v>
      </c>
      <c r="C43" s="7" t="s">
        <v>19</v>
      </c>
      <c r="D43" s="7" t="s">
        <v>48</v>
      </c>
      <c r="E43" s="7">
        <v>1450</v>
      </c>
      <c r="F43" s="7">
        <v>0</v>
      </c>
      <c r="G43" s="7">
        <v>14</v>
      </c>
      <c r="H43" s="7">
        <v>4</v>
      </c>
      <c r="I43" s="7"/>
      <c r="J43" s="7">
        <v>115</v>
      </c>
      <c r="K43" s="7">
        <v>1335</v>
      </c>
      <c r="L43" s="7">
        <v>4</v>
      </c>
      <c r="M43" s="7" t="s">
        <v>53</v>
      </c>
      <c r="N43" s="9">
        <f t="shared" si="1"/>
        <v>92.068965517241381</v>
      </c>
      <c r="O43" s="7">
        <f t="shared" si="2"/>
        <v>1450</v>
      </c>
      <c r="P43" s="7">
        <f t="shared" si="3"/>
        <v>0</v>
      </c>
      <c r="Q43" s="1"/>
      <c r="R43" s="1"/>
      <c r="S43" s="2"/>
    </row>
    <row r="44" spans="1:19" ht="14.45" customHeight="1">
      <c r="A44" s="186">
        <v>46046</v>
      </c>
      <c r="B44" s="7" t="s">
        <v>52</v>
      </c>
      <c r="C44" s="7" t="s">
        <v>19</v>
      </c>
      <c r="D44" s="7" t="s">
        <v>48</v>
      </c>
      <c r="E44" s="7">
        <v>3250</v>
      </c>
      <c r="F44" s="7">
        <v>0</v>
      </c>
      <c r="G44" s="7">
        <v>80</v>
      </c>
      <c r="H44" s="7">
        <v>2</v>
      </c>
      <c r="I44" s="7">
        <v>117</v>
      </c>
      <c r="J44" s="7">
        <f t="shared" ref="J44:J85" si="4">F44+G44+H44+I44</f>
        <v>199</v>
      </c>
      <c r="K44" s="7">
        <v>3051</v>
      </c>
      <c r="L44" s="7">
        <v>4</v>
      </c>
      <c r="M44" s="7" t="s">
        <v>54</v>
      </c>
      <c r="N44" s="9">
        <f t="shared" si="1"/>
        <v>93.876923076923077</v>
      </c>
      <c r="O44" s="7">
        <f t="shared" si="2"/>
        <v>3250</v>
      </c>
      <c r="P44" s="7">
        <f t="shared" si="3"/>
        <v>0</v>
      </c>
      <c r="Q44" s="1"/>
      <c r="R44" s="1"/>
      <c r="S44" s="2"/>
    </row>
    <row r="45" spans="1:19" ht="15">
      <c r="A45" s="187">
        <v>46047</v>
      </c>
      <c r="B45" s="7" t="s">
        <v>52</v>
      </c>
      <c r="C45" s="7" t="s">
        <v>19</v>
      </c>
      <c r="D45" s="7" t="s">
        <v>48</v>
      </c>
      <c r="E45" s="7">
        <v>1850</v>
      </c>
      <c r="F45" s="7">
        <v>0</v>
      </c>
      <c r="G45" s="7">
        <v>37</v>
      </c>
      <c r="H45" s="7">
        <v>3</v>
      </c>
      <c r="I45" s="7">
        <v>105</v>
      </c>
      <c r="J45" s="7">
        <f t="shared" si="4"/>
        <v>145</v>
      </c>
      <c r="K45" s="8">
        <v>1722</v>
      </c>
      <c r="L45" s="7">
        <v>3</v>
      </c>
      <c r="M45" s="7" t="s">
        <v>53</v>
      </c>
      <c r="N45" s="9">
        <f t="shared" si="1"/>
        <v>93.081081081081081</v>
      </c>
      <c r="O45" s="7">
        <f t="shared" si="2"/>
        <v>1867</v>
      </c>
      <c r="P45" s="7">
        <f t="shared" si="3"/>
        <v>-17</v>
      </c>
      <c r="Q45" s="1"/>
      <c r="R45" s="1"/>
      <c r="S45" s="2"/>
    </row>
    <row r="46" spans="1:19" ht="14.45" customHeight="1">
      <c r="A46" s="185">
        <v>46049</v>
      </c>
      <c r="B46" s="7" t="s">
        <v>52</v>
      </c>
      <c r="C46" s="7" t="s">
        <v>19</v>
      </c>
      <c r="D46" s="7" t="s">
        <v>48</v>
      </c>
      <c r="E46" s="7">
        <v>2050</v>
      </c>
      <c r="F46" s="7">
        <v>0</v>
      </c>
      <c r="G46" s="7">
        <v>45</v>
      </c>
      <c r="H46" s="7">
        <v>4</v>
      </c>
      <c r="I46" s="7">
        <v>122</v>
      </c>
      <c r="J46" s="7">
        <f t="shared" si="4"/>
        <v>171</v>
      </c>
      <c r="K46" s="8">
        <v>1910</v>
      </c>
      <c r="L46" s="7">
        <v>3</v>
      </c>
      <c r="M46" s="7" t="s">
        <v>53</v>
      </c>
      <c r="N46" s="9">
        <f t="shared" si="1"/>
        <v>93.170731707317074</v>
      </c>
      <c r="O46" s="7">
        <f t="shared" si="2"/>
        <v>2081</v>
      </c>
      <c r="P46" s="7">
        <f t="shared" si="3"/>
        <v>-31</v>
      </c>
      <c r="Q46" s="1"/>
      <c r="R46" s="1"/>
      <c r="S46" s="2"/>
    </row>
    <row r="47" spans="1:19" ht="14.45" customHeight="1">
      <c r="A47" s="188">
        <v>46049</v>
      </c>
      <c r="B47" s="7" t="s">
        <v>52</v>
      </c>
      <c r="C47" s="7" t="s">
        <v>19</v>
      </c>
      <c r="D47" s="7" t="s">
        <v>46</v>
      </c>
      <c r="E47" s="7">
        <v>550</v>
      </c>
      <c r="F47" s="7">
        <v>0</v>
      </c>
      <c r="G47" s="7">
        <v>42</v>
      </c>
      <c r="H47" s="7">
        <v>3</v>
      </c>
      <c r="I47" s="7">
        <v>42</v>
      </c>
      <c r="J47" s="7">
        <f t="shared" si="4"/>
        <v>87</v>
      </c>
      <c r="K47" s="19">
        <f>401+42+20</f>
        <v>463</v>
      </c>
      <c r="L47" s="7">
        <v>4</v>
      </c>
      <c r="M47" s="7" t="s">
        <v>54</v>
      </c>
      <c r="N47" s="9">
        <f t="shared" si="1"/>
        <v>84.181818181818187</v>
      </c>
      <c r="O47" s="7">
        <f t="shared" si="2"/>
        <v>550</v>
      </c>
      <c r="P47" s="7">
        <f t="shared" si="3"/>
        <v>0</v>
      </c>
      <c r="Q47" s="1"/>
      <c r="R47" s="1"/>
      <c r="S47" s="2"/>
    </row>
    <row r="48" spans="1:19" ht="14.45" customHeight="1">
      <c r="A48" s="186">
        <v>46049</v>
      </c>
      <c r="B48" s="7" t="s">
        <v>52</v>
      </c>
      <c r="C48" s="7" t="s">
        <v>19</v>
      </c>
      <c r="D48" s="7" t="s">
        <v>48</v>
      </c>
      <c r="E48" s="7">
        <v>1150</v>
      </c>
      <c r="F48" s="7">
        <v>0</v>
      </c>
      <c r="G48" s="7">
        <v>27</v>
      </c>
      <c r="H48" s="7">
        <v>2</v>
      </c>
      <c r="I48" s="7">
        <v>69</v>
      </c>
      <c r="J48" s="7">
        <f t="shared" si="4"/>
        <v>98</v>
      </c>
      <c r="K48" s="7">
        <v>1052</v>
      </c>
      <c r="L48" s="7">
        <v>4</v>
      </c>
      <c r="M48" s="7" t="s">
        <v>54</v>
      </c>
      <c r="N48" s="9">
        <f t="shared" si="1"/>
        <v>91.478260869565219</v>
      </c>
      <c r="O48" s="7">
        <f t="shared" si="2"/>
        <v>1150</v>
      </c>
      <c r="P48" s="7">
        <f t="shared" si="3"/>
        <v>0</v>
      </c>
      <c r="Q48" s="1"/>
      <c r="R48" s="1"/>
      <c r="S48" s="2"/>
    </row>
    <row r="49" spans="1:19" ht="15">
      <c r="A49" s="185">
        <v>46050</v>
      </c>
      <c r="B49" s="7" t="s">
        <v>45</v>
      </c>
      <c r="C49" s="7" t="s">
        <v>19</v>
      </c>
      <c r="D49" s="7" t="s">
        <v>46</v>
      </c>
      <c r="E49" s="7">
        <v>1400</v>
      </c>
      <c r="F49" s="7">
        <v>0</v>
      </c>
      <c r="G49" s="7">
        <v>34</v>
      </c>
      <c r="H49" s="7">
        <v>3</v>
      </c>
      <c r="I49" s="7">
        <v>83</v>
      </c>
      <c r="J49" s="7">
        <f t="shared" si="4"/>
        <v>120</v>
      </c>
      <c r="K49" s="8">
        <v>1280</v>
      </c>
      <c r="L49" s="7">
        <v>3</v>
      </c>
      <c r="M49" s="7" t="s">
        <v>53</v>
      </c>
      <c r="N49" s="9">
        <f t="shared" si="1"/>
        <v>91.428571428571431</v>
      </c>
      <c r="O49" s="7">
        <f t="shared" si="2"/>
        <v>1400</v>
      </c>
      <c r="P49" s="7">
        <f t="shared" si="3"/>
        <v>0</v>
      </c>
      <c r="Q49" s="1"/>
      <c r="R49" s="1"/>
      <c r="S49" s="2"/>
    </row>
    <row r="50" spans="1:19" ht="14.45" customHeight="1">
      <c r="A50" s="186">
        <v>46050</v>
      </c>
      <c r="B50" s="7" t="s">
        <v>45</v>
      </c>
      <c r="C50" s="7" t="s">
        <v>19</v>
      </c>
      <c r="D50" s="7" t="s">
        <v>46</v>
      </c>
      <c r="E50" s="7">
        <v>2050</v>
      </c>
      <c r="F50" s="7">
        <v>0</v>
      </c>
      <c r="G50" s="7">
        <v>50</v>
      </c>
      <c r="H50" s="7">
        <v>1</v>
      </c>
      <c r="I50" s="7">
        <v>89</v>
      </c>
      <c r="J50" s="7">
        <f t="shared" si="4"/>
        <v>140</v>
      </c>
      <c r="K50" s="14">
        <v>1910</v>
      </c>
      <c r="L50" s="7">
        <v>4</v>
      </c>
      <c r="M50" s="7" t="s">
        <v>54</v>
      </c>
      <c r="N50" s="9">
        <f t="shared" si="1"/>
        <v>93.170731707317074</v>
      </c>
      <c r="O50" s="7">
        <f t="shared" si="2"/>
        <v>2050</v>
      </c>
      <c r="P50" s="7">
        <f t="shared" si="3"/>
        <v>0</v>
      </c>
      <c r="Q50" s="1"/>
      <c r="R50" s="1"/>
      <c r="S50" s="2"/>
    </row>
    <row r="51" spans="1:19" ht="15">
      <c r="A51" s="187">
        <v>46052</v>
      </c>
      <c r="B51" s="7" t="s">
        <v>45</v>
      </c>
      <c r="C51" s="7" t="s">
        <v>19</v>
      </c>
      <c r="D51" s="7" t="s">
        <v>46</v>
      </c>
      <c r="E51" s="7">
        <f>2000+22</f>
        <v>2022</v>
      </c>
      <c r="F51" s="7">
        <v>0</v>
      </c>
      <c r="G51" s="7">
        <v>61</v>
      </c>
      <c r="H51" s="7">
        <v>1</v>
      </c>
      <c r="I51" s="7">
        <v>98</v>
      </c>
      <c r="J51" s="7">
        <f t="shared" si="4"/>
        <v>160</v>
      </c>
      <c r="K51" s="10">
        <f>1840+20</f>
        <v>1860</v>
      </c>
      <c r="L51" s="7">
        <v>4</v>
      </c>
      <c r="M51" s="7" t="s">
        <v>54</v>
      </c>
      <c r="N51" s="9">
        <f t="shared" si="1"/>
        <v>91.988130563798222</v>
      </c>
      <c r="O51" s="7">
        <f t="shared" si="2"/>
        <v>2020</v>
      </c>
      <c r="P51" s="7">
        <f t="shared" si="3"/>
        <v>2</v>
      </c>
      <c r="Q51" s="1"/>
      <c r="R51" s="1"/>
      <c r="S51" s="2"/>
    </row>
    <row r="52" spans="1:19" ht="14.45" customHeight="1">
      <c r="A52" s="185">
        <v>46053</v>
      </c>
      <c r="B52" s="7" t="s">
        <v>45</v>
      </c>
      <c r="C52" s="7" t="s">
        <v>19</v>
      </c>
      <c r="D52" s="7" t="s">
        <v>48</v>
      </c>
      <c r="E52" s="7">
        <v>1600</v>
      </c>
      <c r="F52" s="7">
        <v>0</v>
      </c>
      <c r="G52" s="7">
        <v>8</v>
      </c>
      <c r="H52" s="7">
        <v>3</v>
      </c>
      <c r="I52" s="7">
        <v>121</v>
      </c>
      <c r="J52" s="7">
        <f t="shared" si="4"/>
        <v>132</v>
      </c>
      <c r="K52" s="8">
        <v>1468</v>
      </c>
      <c r="L52" s="7">
        <v>3</v>
      </c>
      <c r="M52" s="7" t="s">
        <v>53</v>
      </c>
      <c r="N52" s="9">
        <f t="shared" si="1"/>
        <v>91.75</v>
      </c>
      <c r="O52" s="7">
        <f t="shared" si="2"/>
        <v>1600</v>
      </c>
      <c r="P52" s="7">
        <f t="shared" si="3"/>
        <v>0</v>
      </c>
      <c r="Q52" s="1"/>
      <c r="R52" s="1"/>
      <c r="S52" s="2"/>
    </row>
    <row r="53" spans="1:19" ht="14.45" customHeight="1">
      <c r="A53" s="186">
        <v>46053</v>
      </c>
      <c r="B53" s="7" t="s">
        <v>45</v>
      </c>
      <c r="C53" s="7" t="s">
        <v>19</v>
      </c>
      <c r="D53" s="7" t="s">
        <v>48</v>
      </c>
      <c r="E53" s="7">
        <v>3237</v>
      </c>
      <c r="F53" s="7">
        <v>0</v>
      </c>
      <c r="G53" s="7">
        <v>54</v>
      </c>
      <c r="H53" s="7">
        <v>2</v>
      </c>
      <c r="I53" s="7">
        <v>87</v>
      </c>
      <c r="J53" s="7">
        <f t="shared" si="4"/>
        <v>143</v>
      </c>
      <c r="K53" s="8">
        <v>3094</v>
      </c>
      <c r="L53" s="7">
        <v>4</v>
      </c>
      <c r="M53" s="7" t="s">
        <v>54</v>
      </c>
      <c r="N53" s="9">
        <f t="shared" si="1"/>
        <v>95.582329317269071</v>
      </c>
      <c r="O53" s="7">
        <f t="shared" si="2"/>
        <v>3237</v>
      </c>
      <c r="P53" s="7">
        <f t="shared" si="3"/>
        <v>0</v>
      </c>
      <c r="Q53" s="1"/>
      <c r="R53" s="1"/>
      <c r="S53" s="2"/>
    </row>
    <row r="54" spans="1:19" ht="15">
      <c r="A54" s="187">
        <v>46054</v>
      </c>
      <c r="B54" s="7" t="s">
        <v>45</v>
      </c>
      <c r="C54" s="7" t="s">
        <v>19</v>
      </c>
      <c r="D54" s="7" t="s">
        <v>48</v>
      </c>
      <c r="E54" s="7">
        <v>1650</v>
      </c>
      <c r="F54" s="7">
        <v>0</v>
      </c>
      <c r="G54" s="7">
        <v>30</v>
      </c>
      <c r="H54" s="7">
        <v>2</v>
      </c>
      <c r="I54" s="7">
        <v>75</v>
      </c>
      <c r="J54" s="7">
        <f t="shared" si="4"/>
        <v>107</v>
      </c>
      <c r="K54" s="14">
        <v>1543</v>
      </c>
      <c r="L54" s="7">
        <v>4</v>
      </c>
      <c r="M54" s="7" t="s">
        <v>53</v>
      </c>
      <c r="N54" s="9">
        <f t="shared" si="1"/>
        <v>93.515151515151516</v>
      </c>
      <c r="O54" s="7">
        <f t="shared" si="2"/>
        <v>1650</v>
      </c>
      <c r="P54" s="7">
        <f t="shared" si="3"/>
        <v>0</v>
      </c>
      <c r="Q54" s="1">
        <f>1.2+1.5</f>
        <v>2.7</v>
      </c>
      <c r="R54" s="20">
        <v>3280</v>
      </c>
      <c r="S54" s="21">
        <f t="shared" ref="S54:S62" si="5">Q54/R54</f>
        <v>8.2317073170731715E-4</v>
      </c>
    </row>
    <row r="55" spans="1:19" ht="14.45" customHeight="1">
      <c r="A55" s="185">
        <v>46055</v>
      </c>
      <c r="B55" s="7" t="s">
        <v>45</v>
      </c>
      <c r="C55" s="7" t="s">
        <v>19</v>
      </c>
      <c r="D55" s="7" t="s">
        <v>48</v>
      </c>
      <c r="E55" s="7">
        <v>1850</v>
      </c>
      <c r="F55" s="7">
        <v>0</v>
      </c>
      <c r="G55" s="7">
        <v>63</v>
      </c>
      <c r="H55" s="7">
        <v>4</v>
      </c>
      <c r="I55" s="7">
        <v>73</v>
      </c>
      <c r="J55" s="7">
        <f t="shared" si="4"/>
        <v>140</v>
      </c>
      <c r="K55" s="8">
        <v>1710</v>
      </c>
      <c r="L55" s="7">
        <v>4</v>
      </c>
      <c r="M55" s="7" t="s">
        <v>53</v>
      </c>
      <c r="N55" s="9">
        <f t="shared" si="1"/>
        <v>92.432432432432435</v>
      </c>
      <c r="O55" s="7">
        <f t="shared" si="2"/>
        <v>1850</v>
      </c>
      <c r="P55" s="7">
        <f t="shared" si="3"/>
        <v>0</v>
      </c>
      <c r="Q55" s="1">
        <v>4</v>
      </c>
      <c r="R55" s="1">
        <v>2300</v>
      </c>
      <c r="S55" s="21">
        <f t="shared" si="5"/>
        <v>1.7391304347826088E-3</v>
      </c>
    </row>
    <row r="56" spans="1:19" ht="14.45" customHeight="1">
      <c r="A56" s="188">
        <v>46055</v>
      </c>
      <c r="B56" s="7"/>
      <c r="C56" s="7" t="s">
        <v>19</v>
      </c>
      <c r="D56" s="7" t="s">
        <v>48</v>
      </c>
      <c r="E56" s="7">
        <v>150</v>
      </c>
      <c r="F56" s="7">
        <v>0</v>
      </c>
      <c r="G56" s="7"/>
      <c r="H56" s="7"/>
      <c r="I56" s="7">
        <v>35</v>
      </c>
      <c r="J56" s="7">
        <f t="shared" si="4"/>
        <v>35</v>
      </c>
      <c r="K56" s="14">
        <v>115</v>
      </c>
      <c r="L56" s="7">
        <v>4</v>
      </c>
      <c r="M56" s="7" t="s">
        <v>53</v>
      </c>
      <c r="N56" s="9">
        <f t="shared" si="1"/>
        <v>76.666666666666671</v>
      </c>
      <c r="O56" s="7">
        <f t="shared" si="2"/>
        <v>150</v>
      </c>
      <c r="P56" s="7">
        <f t="shared" si="3"/>
        <v>0</v>
      </c>
      <c r="Q56" s="1">
        <v>11.7</v>
      </c>
      <c r="R56" s="1">
        <v>3600</v>
      </c>
      <c r="S56" s="21">
        <f t="shared" si="5"/>
        <v>3.2499999999999999E-3</v>
      </c>
    </row>
    <row r="57" spans="1:19" ht="14.45" customHeight="1">
      <c r="A57" s="186">
        <v>46055</v>
      </c>
      <c r="B57" s="7" t="s">
        <v>45</v>
      </c>
      <c r="C57" s="7" t="s">
        <v>19</v>
      </c>
      <c r="D57" s="7" t="s">
        <v>48</v>
      </c>
      <c r="E57" s="7">
        <v>2700</v>
      </c>
      <c r="F57" s="7">
        <v>0</v>
      </c>
      <c r="G57" s="7">
        <v>55</v>
      </c>
      <c r="H57" s="7">
        <v>2</v>
      </c>
      <c r="I57" s="7">
        <v>54</v>
      </c>
      <c r="J57" s="7">
        <f t="shared" si="4"/>
        <v>111</v>
      </c>
      <c r="K57" s="14">
        <v>2589</v>
      </c>
      <c r="L57" s="7">
        <v>4</v>
      </c>
      <c r="M57" s="7" t="s">
        <v>54</v>
      </c>
      <c r="N57" s="9">
        <f t="shared" si="1"/>
        <v>95.888888888888886</v>
      </c>
      <c r="O57" s="7">
        <f t="shared" si="2"/>
        <v>2700</v>
      </c>
      <c r="P57" s="7">
        <f t="shared" si="3"/>
        <v>0</v>
      </c>
      <c r="Q57" s="1">
        <v>5.0999999999999996</v>
      </c>
      <c r="R57" s="1">
        <v>2460</v>
      </c>
      <c r="S57" s="21">
        <f t="shared" si="5"/>
        <v>2.0731707317073167E-3</v>
      </c>
    </row>
    <row r="58" spans="1:19" ht="15">
      <c r="A58" s="185">
        <v>46056</v>
      </c>
      <c r="B58" s="7" t="s">
        <v>45</v>
      </c>
      <c r="C58" s="7" t="s">
        <v>19</v>
      </c>
      <c r="D58" s="7" t="s">
        <v>48</v>
      </c>
      <c r="E58" s="7">
        <v>800</v>
      </c>
      <c r="F58" s="7">
        <v>0</v>
      </c>
      <c r="G58" s="7">
        <v>19</v>
      </c>
      <c r="H58" s="7">
        <v>1</v>
      </c>
      <c r="I58" s="7">
        <v>26</v>
      </c>
      <c r="J58" s="7">
        <f t="shared" si="4"/>
        <v>46</v>
      </c>
      <c r="K58" s="14">
        <v>754</v>
      </c>
      <c r="L58" s="7">
        <v>4</v>
      </c>
      <c r="M58" s="7" t="s">
        <v>54</v>
      </c>
      <c r="N58" s="9">
        <f t="shared" si="1"/>
        <v>94.25</v>
      </c>
      <c r="O58" s="7">
        <f t="shared" si="2"/>
        <v>800</v>
      </c>
      <c r="P58" s="7">
        <f t="shared" si="3"/>
        <v>0</v>
      </c>
      <c r="Q58" s="1">
        <v>0</v>
      </c>
      <c r="R58" s="1">
        <v>0</v>
      </c>
      <c r="S58" s="21" t="e">
        <f t="shared" si="5"/>
        <v>#DIV/0!</v>
      </c>
    </row>
    <row r="59" spans="1:19" ht="14.45" customHeight="1">
      <c r="A59" s="186">
        <v>46056</v>
      </c>
      <c r="B59" s="7" t="s">
        <v>45</v>
      </c>
      <c r="C59" s="7" t="s">
        <v>19</v>
      </c>
      <c r="D59" s="7" t="s">
        <v>46</v>
      </c>
      <c r="E59" s="7">
        <v>500</v>
      </c>
      <c r="F59" s="7">
        <v>0</v>
      </c>
      <c r="G59" s="7">
        <v>6</v>
      </c>
      <c r="H59" s="7">
        <v>2</v>
      </c>
      <c r="I59" s="7">
        <v>17</v>
      </c>
      <c r="J59" s="7">
        <f t="shared" si="4"/>
        <v>25</v>
      </c>
      <c r="K59" s="8">
        <v>475</v>
      </c>
      <c r="L59" s="7">
        <v>4</v>
      </c>
      <c r="M59" s="7" t="s">
        <v>54</v>
      </c>
      <c r="N59" s="9">
        <f t="shared" si="1"/>
        <v>95</v>
      </c>
      <c r="O59" s="7">
        <f t="shared" si="2"/>
        <v>500</v>
      </c>
      <c r="P59" s="7">
        <f t="shared" si="3"/>
        <v>0</v>
      </c>
      <c r="Q59" s="1">
        <v>0</v>
      </c>
      <c r="R59" s="1">
        <v>0</v>
      </c>
      <c r="S59" s="21" t="e">
        <f t="shared" si="5"/>
        <v>#DIV/0!</v>
      </c>
    </row>
    <row r="60" spans="1:19" ht="15">
      <c r="A60" s="187">
        <v>46057</v>
      </c>
      <c r="B60" s="7" t="s">
        <v>45</v>
      </c>
      <c r="C60" s="7" t="s">
        <v>19</v>
      </c>
      <c r="D60" s="7" t="s">
        <v>47</v>
      </c>
      <c r="E60" s="7">
        <v>490</v>
      </c>
      <c r="F60" s="7">
        <v>0</v>
      </c>
      <c r="G60" s="7">
        <v>5</v>
      </c>
      <c r="H60" s="7">
        <v>1</v>
      </c>
      <c r="I60" s="7">
        <v>11</v>
      </c>
      <c r="J60" s="7">
        <f t="shared" si="4"/>
        <v>17</v>
      </c>
      <c r="K60" s="14">
        <v>473</v>
      </c>
      <c r="L60" s="7">
        <v>4</v>
      </c>
      <c r="M60" s="7" t="s">
        <v>54</v>
      </c>
      <c r="N60" s="9">
        <f t="shared" si="1"/>
        <v>96.530612244897966</v>
      </c>
      <c r="O60" s="7">
        <f t="shared" si="2"/>
        <v>490</v>
      </c>
      <c r="P60" s="7">
        <f t="shared" si="3"/>
        <v>0</v>
      </c>
      <c r="Q60" s="1">
        <v>0</v>
      </c>
      <c r="R60" s="1">
        <v>0</v>
      </c>
      <c r="S60" s="21" t="e">
        <f t="shared" si="5"/>
        <v>#DIV/0!</v>
      </c>
    </row>
    <row r="61" spans="1:19" ht="14.45" customHeight="1">
      <c r="A61" s="185">
        <v>46058</v>
      </c>
      <c r="B61" s="7" t="s">
        <v>45</v>
      </c>
      <c r="C61" s="7" t="s">
        <v>19</v>
      </c>
      <c r="D61" s="7" t="s">
        <v>48</v>
      </c>
      <c r="E61" s="7">
        <v>1100</v>
      </c>
      <c r="F61" s="7">
        <v>0</v>
      </c>
      <c r="G61" s="7">
        <v>13</v>
      </c>
      <c r="H61" s="7">
        <v>1</v>
      </c>
      <c r="I61" s="7">
        <v>36</v>
      </c>
      <c r="J61" s="7">
        <f t="shared" si="4"/>
        <v>50</v>
      </c>
      <c r="K61" s="10">
        <v>1050</v>
      </c>
      <c r="L61" s="7">
        <v>4</v>
      </c>
      <c r="M61" s="7" t="s">
        <v>54</v>
      </c>
      <c r="N61" s="9">
        <f t="shared" si="1"/>
        <v>95.454545454545453</v>
      </c>
      <c r="O61" s="7">
        <f t="shared" si="2"/>
        <v>1100</v>
      </c>
      <c r="P61" s="7">
        <f t="shared" si="3"/>
        <v>0</v>
      </c>
      <c r="Q61" s="1">
        <v>0</v>
      </c>
      <c r="R61" s="1">
        <v>0</v>
      </c>
      <c r="S61" s="21" t="e">
        <f t="shared" si="5"/>
        <v>#DIV/0!</v>
      </c>
    </row>
    <row r="62" spans="1:19" ht="14.45" customHeight="1">
      <c r="A62" s="186">
        <v>46058</v>
      </c>
      <c r="B62" s="7" t="s">
        <v>45</v>
      </c>
      <c r="C62" s="7" t="s">
        <v>19</v>
      </c>
      <c r="D62" s="7" t="s">
        <v>47</v>
      </c>
      <c r="E62" s="7">
        <v>1000</v>
      </c>
      <c r="F62" s="7">
        <v>0</v>
      </c>
      <c r="G62" s="7">
        <v>18</v>
      </c>
      <c r="H62" s="7">
        <v>3</v>
      </c>
      <c r="I62" s="7">
        <v>42</v>
      </c>
      <c r="J62" s="7">
        <f t="shared" si="4"/>
        <v>63</v>
      </c>
      <c r="K62" s="8">
        <v>937</v>
      </c>
      <c r="L62" s="7">
        <v>4</v>
      </c>
      <c r="M62" s="7" t="s">
        <v>54</v>
      </c>
      <c r="N62" s="9">
        <f t="shared" si="1"/>
        <v>93.7</v>
      </c>
      <c r="O62" s="7">
        <f t="shared" si="2"/>
        <v>1000</v>
      </c>
      <c r="P62" s="7">
        <f t="shared" si="3"/>
        <v>0</v>
      </c>
      <c r="Q62" s="1">
        <v>0</v>
      </c>
      <c r="R62" s="1">
        <v>0</v>
      </c>
      <c r="S62" s="21" t="e">
        <f t="shared" si="5"/>
        <v>#DIV/0!</v>
      </c>
    </row>
    <row r="63" spans="1:19" ht="15">
      <c r="A63" s="187">
        <v>46059</v>
      </c>
      <c r="B63" s="7" t="s">
        <v>45</v>
      </c>
      <c r="C63" s="7" t="s">
        <v>19</v>
      </c>
      <c r="D63" s="7" t="s">
        <v>48</v>
      </c>
      <c r="E63" s="7">
        <v>1200</v>
      </c>
      <c r="F63" s="7">
        <v>0</v>
      </c>
      <c r="G63" s="7">
        <v>19</v>
      </c>
      <c r="H63" s="7">
        <v>1</v>
      </c>
      <c r="I63" s="7">
        <v>78</v>
      </c>
      <c r="J63" s="7">
        <f t="shared" si="4"/>
        <v>98</v>
      </c>
      <c r="K63" s="7">
        <v>1102</v>
      </c>
      <c r="L63" s="7">
        <v>4</v>
      </c>
      <c r="M63" s="7" t="s">
        <v>54</v>
      </c>
      <c r="N63" s="9">
        <f t="shared" si="1"/>
        <v>91.833333333333329</v>
      </c>
      <c r="O63" s="7">
        <f t="shared" si="2"/>
        <v>1200</v>
      </c>
      <c r="P63" s="7">
        <f t="shared" si="3"/>
        <v>0</v>
      </c>
      <c r="Q63" s="1"/>
      <c r="R63" s="1"/>
      <c r="S63" s="2"/>
    </row>
    <row r="64" spans="1:19" ht="14.45" customHeight="1">
      <c r="A64" s="185">
        <v>46062</v>
      </c>
      <c r="B64" s="7" t="s">
        <v>45</v>
      </c>
      <c r="C64" s="7" t="s">
        <v>19</v>
      </c>
      <c r="D64" s="7" t="s">
        <v>48</v>
      </c>
      <c r="E64" s="7">
        <v>2500</v>
      </c>
      <c r="F64" s="7">
        <v>0</v>
      </c>
      <c r="G64" s="7">
        <v>17</v>
      </c>
      <c r="H64" s="7">
        <v>3</v>
      </c>
      <c r="I64" s="7">
        <v>87</v>
      </c>
      <c r="J64" s="7">
        <f t="shared" si="4"/>
        <v>107</v>
      </c>
      <c r="K64" s="8">
        <v>2393</v>
      </c>
      <c r="L64" s="7">
        <v>4</v>
      </c>
      <c r="M64" s="7" t="s">
        <v>53</v>
      </c>
      <c r="N64" s="9">
        <f t="shared" si="1"/>
        <v>95.72</v>
      </c>
      <c r="O64" s="7">
        <f t="shared" si="2"/>
        <v>2500</v>
      </c>
      <c r="P64" s="7">
        <f t="shared" si="3"/>
        <v>0</v>
      </c>
      <c r="Q64" s="1"/>
      <c r="R64" s="1"/>
      <c r="S64" s="2"/>
    </row>
    <row r="65" spans="1:19" ht="14.45" customHeight="1">
      <c r="A65" s="186">
        <v>46062</v>
      </c>
      <c r="B65" s="7" t="s">
        <v>45</v>
      </c>
      <c r="C65" s="7" t="s">
        <v>19</v>
      </c>
      <c r="D65" s="7" t="s">
        <v>48</v>
      </c>
      <c r="E65" s="7">
        <v>2300</v>
      </c>
      <c r="F65" s="7">
        <v>0</v>
      </c>
      <c r="G65" s="7">
        <v>28</v>
      </c>
      <c r="H65" s="7">
        <v>4</v>
      </c>
      <c r="I65" s="7">
        <v>141</v>
      </c>
      <c r="J65" s="7">
        <f t="shared" si="4"/>
        <v>173</v>
      </c>
      <c r="K65" s="8">
        <v>2127</v>
      </c>
      <c r="L65" s="7">
        <v>4</v>
      </c>
      <c r="M65" s="7" t="s">
        <v>54</v>
      </c>
      <c r="N65" s="9">
        <f t="shared" si="1"/>
        <v>92.478260869565219</v>
      </c>
      <c r="O65" s="7">
        <f t="shared" si="2"/>
        <v>2300</v>
      </c>
      <c r="P65" s="7">
        <f t="shared" si="3"/>
        <v>0</v>
      </c>
      <c r="Q65" s="1"/>
      <c r="R65" s="1"/>
      <c r="S65" s="2"/>
    </row>
    <row r="66" spans="1:19" ht="15">
      <c r="A66" s="187">
        <v>46063</v>
      </c>
      <c r="B66" s="7" t="s">
        <v>45</v>
      </c>
      <c r="C66" s="7" t="s">
        <v>19</v>
      </c>
      <c r="D66" s="7" t="s">
        <v>47</v>
      </c>
      <c r="E66" s="7">
        <v>2550</v>
      </c>
      <c r="F66" s="7">
        <v>0</v>
      </c>
      <c r="G66" s="7">
        <v>35</v>
      </c>
      <c r="H66" s="7">
        <v>2</v>
      </c>
      <c r="I66" s="7">
        <v>105</v>
      </c>
      <c r="J66" s="7">
        <f t="shared" si="4"/>
        <v>142</v>
      </c>
      <c r="K66" s="8">
        <v>2408</v>
      </c>
      <c r="L66" s="7">
        <v>4</v>
      </c>
      <c r="M66" s="7" t="s">
        <v>53</v>
      </c>
      <c r="N66" s="9">
        <f t="shared" si="1"/>
        <v>94.431372549019613</v>
      </c>
      <c r="O66" s="7">
        <f t="shared" si="2"/>
        <v>2550</v>
      </c>
      <c r="P66" s="7">
        <f t="shared" si="3"/>
        <v>0</v>
      </c>
      <c r="Q66" s="1"/>
      <c r="R66" s="1"/>
      <c r="S66" s="2"/>
    </row>
    <row r="67" spans="1:19" ht="14.45" customHeight="1">
      <c r="A67" s="185">
        <v>46064</v>
      </c>
      <c r="B67" s="7" t="s">
        <v>45</v>
      </c>
      <c r="C67" s="7" t="s">
        <v>19</v>
      </c>
      <c r="D67" s="7" t="s">
        <v>48</v>
      </c>
      <c r="E67" s="7">
        <v>1900</v>
      </c>
      <c r="F67" s="7">
        <v>0</v>
      </c>
      <c r="G67" s="7">
        <v>36</v>
      </c>
      <c r="H67" s="7">
        <v>4</v>
      </c>
      <c r="I67" s="7">
        <v>110</v>
      </c>
      <c r="J67" s="7">
        <f t="shared" si="4"/>
        <v>150</v>
      </c>
      <c r="K67" s="8">
        <v>1750</v>
      </c>
      <c r="L67" s="7">
        <v>4</v>
      </c>
      <c r="M67" s="7" t="s">
        <v>53</v>
      </c>
      <c r="N67" s="9">
        <f t="shared" si="1"/>
        <v>92.10526315789474</v>
      </c>
      <c r="O67" s="7">
        <f t="shared" si="2"/>
        <v>1900</v>
      </c>
      <c r="P67" s="7">
        <f t="shared" si="3"/>
        <v>0</v>
      </c>
      <c r="Q67" s="1"/>
      <c r="R67" s="1"/>
      <c r="S67" s="2"/>
    </row>
    <row r="68" spans="1:19" ht="15">
      <c r="A68" s="186">
        <v>46064</v>
      </c>
      <c r="B68" s="7" t="s">
        <v>45</v>
      </c>
      <c r="C68" s="7" t="s">
        <v>19</v>
      </c>
      <c r="D68" s="7" t="s">
        <v>48</v>
      </c>
      <c r="E68" s="7">
        <v>2600</v>
      </c>
      <c r="F68" s="7">
        <v>0</v>
      </c>
      <c r="G68" s="7">
        <v>74</v>
      </c>
      <c r="H68" s="7">
        <v>2</v>
      </c>
      <c r="I68" s="7">
        <v>185</v>
      </c>
      <c r="J68" s="7">
        <f t="shared" si="4"/>
        <v>261</v>
      </c>
      <c r="K68" s="14">
        <v>2339</v>
      </c>
      <c r="L68" s="7">
        <v>4</v>
      </c>
      <c r="M68" s="7" t="s">
        <v>54</v>
      </c>
      <c r="N68" s="9">
        <f t="shared" si="1"/>
        <v>89.961538461538453</v>
      </c>
      <c r="O68" s="7">
        <f t="shared" si="2"/>
        <v>2600</v>
      </c>
      <c r="P68" s="7">
        <f t="shared" si="3"/>
        <v>0</v>
      </c>
      <c r="Q68" s="1"/>
      <c r="R68" s="1"/>
      <c r="S68" s="2"/>
    </row>
    <row r="69" spans="1:19" ht="14.45" customHeight="1">
      <c r="A69" s="185">
        <v>46065</v>
      </c>
      <c r="B69" s="6" t="s">
        <v>45</v>
      </c>
      <c r="C69" s="7" t="s">
        <v>19</v>
      </c>
      <c r="D69" s="7" t="s">
        <v>48</v>
      </c>
      <c r="E69" s="7">
        <v>550</v>
      </c>
      <c r="F69" s="7">
        <v>0</v>
      </c>
      <c r="G69" s="7">
        <v>5</v>
      </c>
      <c r="H69" s="7">
        <v>1</v>
      </c>
      <c r="I69" s="7">
        <v>49</v>
      </c>
      <c r="J69" s="7">
        <f t="shared" si="4"/>
        <v>55</v>
      </c>
      <c r="K69" s="8">
        <v>495</v>
      </c>
      <c r="L69" s="7">
        <v>4</v>
      </c>
      <c r="M69" s="7" t="s">
        <v>53</v>
      </c>
      <c r="N69" s="9">
        <f t="shared" si="1"/>
        <v>90</v>
      </c>
      <c r="O69" s="7">
        <f t="shared" si="2"/>
        <v>550</v>
      </c>
      <c r="P69" s="7">
        <f t="shared" si="3"/>
        <v>0</v>
      </c>
      <c r="Q69" s="1"/>
      <c r="R69" s="1"/>
      <c r="S69" s="2"/>
    </row>
    <row r="70" spans="1:19" ht="14.45" customHeight="1">
      <c r="A70" s="186">
        <v>46065</v>
      </c>
      <c r="B70" s="180" t="s">
        <v>45</v>
      </c>
      <c r="C70" s="7" t="s">
        <v>19</v>
      </c>
      <c r="D70" s="7" t="s">
        <v>48</v>
      </c>
      <c r="E70" s="7">
        <v>3650</v>
      </c>
      <c r="F70" s="7">
        <v>0</v>
      </c>
      <c r="G70" s="7">
        <v>60</v>
      </c>
      <c r="H70" s="7">
        <v>3</v>
      </c>
      <c r="I70" s="7">
        <v>286</v>
      </c>
      <c r="J70" s="7">
        <f t="shared" si="4"/>
        <v>349</v>
      </c>
      <c r="K70" s="8">
        <v>3301</v>
      </c>
      <c r="L70" s="7">
        <v>4</v>
      </c>
      <c r="M70" s="7" t="s">
        <v>54</v>
      </c>
      <c r="N70" s="9">
        <f t="shared" si="1"/>
        <v>90.438356164383563</v>
      </c>
      <c r="O70" s="7">
        <f t="shared" si="2"/>
        <v>3650</v>
      </c>
      <c r="P70" s="7">
        <f t="shared" si="3"/>
        <v>0</v>
      </c>
      <c r="Q70" s="1"/>
      <c r="R70" s="1"/>
      <c r="S70" s="2"/>
    </row>
    <row r="71" spans="1:19" ht="15">
      <c r="A71" s="185">
        <v>46066</v>
      </c>
      <c r="B71" s="6" t="s">
        <v>45</v>
      </c>
      <c r="C71" s="7" t="s">
        <v>19</v>
      </c>
      <c r="D71" s="7" t="s">
        <v>48</v>
      </c>
      <c r="E71" s="7">
        <v>2100</v>
      </c>
      <c r="F71" s="7">
        <v>0</v>
      </c>
      <c r="G71" s="7">
        <v>15</v>
      </c>
      <c r="H71" s="7">
        <v>3</v>
      </c>
      <c r="I71" s="7">
        <v>69</v>
      </c>
      <c r="J71" s="7">
        <f t="shared" si="4"/>
        <v>87</v>
      </c>
      <c r="K71" s="14">
        <v>2013</v>
      </c>
      <c r="L71" s="7">
        <v>4</v>
      </c>
      <c r="M71" s="7" t="s">
        <v>53</v>
      </c>
      <c r="N71" s="9">
        <f t="shared" si="1"/>
        <v>95.857142857142847</v>
      </c>
      <c r="O71" s="7">
        <f t="shared" si="2"/>
        <v>2100</v>
      </c>
      <c r="P71" s="7">
        <f t="shared" si="3"/>
        <v>0</v>
      </c>
      <c r="Q71" s="1"/>
      <c r="R71" s="1"/>
      <c r="S71" s="2"/>
    </row>
    <row r="72" spans="1:19" ht="15">
      <c r="A72" s="186">
        <v>46066</v>
      </c>
      <c r="B72" s="180" t="s">
        <v>45</v>
      </c>
      <c r="C72" s="7" t="s">
        <v>19</v>
      </c>
      <c r="D72" s="7" t="s">
        <v>48</v>
      </c>
      <c r="E72" s="7">
        <v>4700</v>
      </c>
      <c r="F72" s="7">
        <v>0</v>
      </c>
      <c r="G72" s="7">
        <v>115</v>
      </c>
      <c r="H72" s="7">
        <v>3</v>
      </c>
      <c r="I72" s="7">
        <v>236.7</v>
      </c>
      <c r="J72" s="7">
        <f t="shared" si="4"/>
        <v>354.7</v>
      </c>
      <c r="K72" s="14">
        <v>4345.3</v>
      </c>
      <c r="L72" s="7">
        <v>4</v>
      </c>
      <c r="M72" s="7" t="s">
        <v>54</v>
      </c>
      <c r="N72" s="9">
        <f t="shared" si="1"/>
        <v>92.453191489361714</v>
      </c>
      <c r="O72" s="7">
        <f t="shared" si="2"/>
        <v>4700</v>
      </c>
      <c r="P72" s="7">
        <f t="shared" si="3"/>
        <v>0</v>
      </c>
      <c r="Q72" s="1"/>
      <c r="R72" s="1"/>
      <c r="S72" s="2"/>
    </row>
    <row r="73" spans="1:19" ht="14.45" customHeight="1">
      <c r="A73" s="189">
        <v>46067</v>
      </c>
      <c r="B73" s="6" t="s">
        <v>45</v>
      </c>
      <c r="C73" s="7" t="s">
        <v>19</v>
      </c>
      <c r="D73" s="7" t="s">
        <v>48</v>
      </c>
      <c r="E73" s="7">
        <v>2700</v>
      </c>
      <c r="F73" s="7">
        <v>0</v>
      </c>
      <c r="G73" s="7">
        <v>68</v>
      </c>
      <c r="H73" s="7">
        <v>3</v>
      </c>
      <c r="I73" s="7">
        <v>139</v>
      </c>
      <c r="J73" s="7">
        <f t="shared" si="4"/>
        <v>210</v>
      </c>
      <c r="K73" s="8">
        <v>2490</v>
      </c>
      <c r="L73" s="7">
        <v>4</v>
      </c>
      <c r="M73" s="7" t="s">
        <v>53</v>
      </c>
      <c r="N73" s="9">
        <f t="shared" si="1"/>
        <v>92.222222222222229</v>
      </c>
      <c r="O73" s="7">
        <f t="shared" si="2"/>
        <v>2700</v>
      </c>
      <c r="P73" s="7">
        <f t="shared" si="3"/>
        <v>0</v>
      </c>
      <c r="Q73" s="1"/>
      <c r="R73" s="1"/>
      <c r="S73" s="2"/>
    </row>
    <row r="74" spans="1:19" ht="14.45" customHeight="1">
      <c r="A74" s="186">
        <v>46067</v>
      </c>
      <c r="B74" s="180" t="s">
        <v>45</v>
      </c>
      <c r="C74" s="7" t="s">
        <v>19</v>
      </c>
      <c r="D74" s="7" t="s">
        <v>48</v>
      </c>
      <c r="E74" s="7">
        <v>3150</v>
      </c>
      <c r="F74" s="7">
        <v>0</v>
      </c>
      <c r="G74" s="7">
        <v>78</v>
      </c>
      <c r="H74" s="7">
        <v>5</v>
      </c>
      <c r="I74" s="7">
        <v>172</v>
      </c>
      <c r="J74" s="7">
        <f t="shared" si="4"/>
        <v>255</v>
      </c>
      <c r="K74" s="14">
        <v>2895</v>
      </c>
      <c r="L74" s="7">
        <v>4</v>
      </c>
      <c r="M74" s="7" t="s">
        <v>54</v>
      </c>
      <c r="N74" s="9">
        <f t="shared" si="1"/>
        <v>91.904761904761898</v>
      </c>
      <c r="O74" s="7">
        <f t="shared" si="2"/>
        <v>3150</v>
      </c>
      <c r="P74" s="7">
        <f t="shared" si="3"/>
        <v>0</v>
      </c>
      <c r="Q74" s="1"/>
      <c r="R74" s="1"/>
      <c r="S74" s="2"/>
    </row>
    <row r="75" spans="1:19" ht="15">
      <c r="A75" s="187">
        <v>46068</v>
      </c>
      <c r="B75" s="7" t="s">
        <v>45</v>
      </c>
      <c r="C75" s="7" t="s">
        <v>19</v>
      </c>
      <c r="D75" s="7" t="s">
        <v>48</v>
      </c>
      <c r="E75" s="7">
        <v>2250</v>
      </c>
      <c r="F75" s="7">
        <v>0</v>
      </c>
      <c r="G75" s="7">
        <v>25</v>
      </c>
      <c r="H75" s="7">
        <v>3</v>
      </c>
      <c r="I75" s="7">
        <v>149</v>
      </c>
      <c r="J75" s="7">
        <f t="shared" si="4"/>
        <v>177</v>
      </c>
      <c r="K75" s="8">
        <f>2165-92</f>
        <v>2073</v>
      </c>
      <c r="L75" s="7">
        <v>4</v>
      </c>
      <c r="M75" s="7" t="s">
        <v>53</v>
      </c>
      <c r="N75" s="9">
        <f t="shared" si="1"/>
        <v>92.13333333333334</v>
      </c>
      <c r="O75" s="7">
        <f t="shared" si="2"/>
        <v>2250</v>
      </c>
      <c r="P75" s="7">
        <f t="shared" si="3"/>
        <v>0</v>
      </c>
      <c r="Q75" s="1"/>
      <c r="R75" s="1"/>
      <c r="S75" s="2"/>
    </row>
    <row r="76" spans="1:19" ht="14.45" customHeight="1">
      <c r="A76" s="190">
        <v>46069</v>
      </c>
      <c r="B76" s="22" t="s">
        <v>45</v>
      </c>
      <c r="C76" s="7" t="s">
        <v>19</v>
      </c>
      <c r="D76" s="23" t="s">
        <v>48</v>
      </c>
      <c r="E76" s="23">
        <v>2500</v>
      </c>
      <c r="F76" s="23">
        <v>15</v>
      </c>
      <c r="G76" s="23">
        <v>25</v>
      </c>
      <c r="H76" s="23">
        <v>3</v>
      </c>
      <c r="I76" s="23">
        <v>177</v>
      </c>
      <c r="J76" s="7">
        <f t="shared" si="4"/>
        <v>220</v>
      </c>
      <c r="K76" s="24">
        <v>2280</v>
      </c>
      <c r="L76" s="23">
        <v>4</v>
      </c>
      <c r="M76" s="7" t="s">
        <v>53</v>
      </c>
      <c r="N76" s="9">
        <f t="shared" si="1"/>
        <v>91.2</v>
      </c>
      <c r="O76" s="7">
        <f t="shared" si="2"/>
        <v>2500</v>
      </c>
      <c r="P76" s="7">
        <f t="shared" si="3"/>
        <v>0</v>
      </c>
      <c r="Q76" s="1"/>
      <c r="R76" s="1"/>
      <c r="S76" s="2"/>
    </row>
    <row r="77" spans="1:19" ht="15">
      <c r="A77" s="186">
        <v>46069</v>
      </c>
      <c r="B77" s="182" t="s">
        <v>45</v>
      </c>
      <c r="C77" s="7" t="s">
        <v>19</v>
      </c>
      <c r="D77" s="23" t="s">
        <v>48</v>
      </c>
      <c r="E77" s="23">
        <v>4350</v>
      </c>
      <c r="F77" s="23">
        <v>45</v>
      </c>
      <c r="G77" s="23">
        <v>73</v>
      </c>
      <c r="H77" s="23">
        <v>5</v>
      </c>
      <c r="I77" s="23">
        <v>217</v>
      </c>
      <c r="J77" s="7">
        <f t="shared" si="4"/>
        <v>340</v>
      </c>
      <c r="K77" s="24">
        <v>4010</v>
      </c>
      <c r="L77" s="23">
        <v>4</v>
      </c>
      <c r="M77" s="7" t="s">
        <v>54</v>
      </c>
      <c r="N77" s="9">
        <f t="shared" si="1"/>
        <v>92.18390804597702</v>
      </c>
      <c r="O77" s="7">
        <f t="shared" si="2"/>
        <v>4350</v>
      </c>
      <c r="P77" s="7">
        <f t="shared" si="3"/>
        <v>0</v>
      </c>
      <c r="Q77" s="1"/>
      <c r="R77" s="1"/>
      <c r="S77" s="2"/>
    </row>
    <row r="78" spans="1:19" ht="14.45" customHeight="1">
      <c r="A78" s="190">
        <v>46070</v>
      </c>
      <c r="B78" s="22" t="s">
        <v>55</v>
      </c>
      <c r="C78" s="7" t="s">
        <v>19</v>
      </c>
      <c r="D78" s="23" t="s">
        <v>48</v>
      </c>
      <c r="E78" s="23">
        <v>2350</v>
      </c>
      <c r="F78" s="23">
        <v>18</v>
      </c>
      <c r="G78" s="23">
        <v>19</v>
      </c>
      <c r="H78" s="23">
        <v>2</v>
      </c>
      <c r="I78" s="23">
        <v>171</v>
      </c>
      <c r="J78" s="7">
        <f t="shared" si="4"/>
        <v>210</v>
      </c>
      <c r="K78" s="25">
        <v>2140</v>
      </c>
      <c r="L78" s="23">
        <v>4</v>
      </c>
      <c r="M78" s="7" t="s">
        <v>53</v>
      </c>
      <c r="N78" s="9">
        <f t="shared" si="1"/>
        <v>91.063829787234042</v>
      </c>
      <c r="O78" s="7">
        <f t="shared" si="2"/>
        <v>2350</v>
      </c>
      <c r="P78" s="7">
        <f t="shared" si="3"/>
        <v>0</v>
      </c>
      <c r="Q78" s="1"/>
      <c r="R78" s="1"/>
      <c r="S78" s="2"/>
    </row>
    <row r="79" spans="1:19" ht="14.45" customHeight="1">
      <c r="A79" s="186">
        <v>46070</v>
      </c>
      <c r="B79" s="182" t="s">
        <v>55</v>
      </c>
      <c r="C79" s="7" t="s">
        <v>19</v>
      </c>
      <c r="D79" s="23" t="s">
        <v>48</v>
      </c>
      <c r="E79" s="23">
        <v>3350</v>
      </c>
      <c r="F79" s="23">
        <v>28</v>
      </c>
      <c r="G79" s="23">
        <v>78</v>
      </c>
      <c r="H79" s="23">
        <v>3</v>
      </c>
      <c r="I79" s="23">
        <v>146</v>
      </c>
      <c r="J79" s="7">
        <f t="shared" si="4"/>
        <v>255</v>
      </c>
      <c r="K79" s="25">
        <v>3095</v>
      </c>
      <c r="L79" s="23">
        <v>4</v>
      </c>
      <c r="M79" s="7" t="s">
        <v>54</v>
      </c>
      <c r="N79" s="9">
        <f t="shared" si="1"/>
        <v>92.388059701492537</v>
      </c>
      <c r="O79" s="7">
        <f t="shared" si="2"/>
        <v>3350</v>
      </c>
      <c r="P79" s="7">
        <f t="shared" si="3"/>
        <v>0</v>
      </c>
      <c r="Q79" s="1"/>
      <c r="R79" s="1"/>
      <c r="S79" s="2"/>
    </row>
    <row r="80" spans="1:19" ht="15">
      <c r="A80" s="191">
        <v>46071</v>
      </c>
      <c r="B80" s="23" t="s">
        <v>55</v>
      </c>
      <c r="C80" s="7" t="s">
        <v>19</v>
      </c>
      <c r="D80" s="7" t="s">
        <v>48</v>
      </c>
      <c r="E80" s="7">
        <v>2500</v>
      </c>
      <c r="F80" s="7">
        <v>22</v>
      </c>
      <c r="G80" s="7">
        <v>45</v>
      </c>
      <c r="H80" s="7">
        <v>2</v>
      </c>
      <c r="I80" s="7">
        <v>151</v>
      </c>
      <c r="J80" s="7">
        <f t="shared" si="4"/>
        <v>220</v>
      </c>
      <c r="K80" s="14">
        <v>2280</v>
      </c>
      <c r="L80" s="7">
        <v>4</v>
      </c>
      <c r="M80" s="7" t="s">
        <v>53</v>
      </c>
      <c r="N80" s="9">
        <f t="shared" si="1"/>
        <v>91.2</v>
      </c>
      <c r="O80" s="7">
        <f t="shared" si="2"/>
        <v>2500</v>
      </c>
      <c r="P80" s="7">
        <f t="shared" si="3"/>
        <v>0</v>
      </c>
      <c r="Q80" s="1"/>
      <c r="R80" s="1"/>
      <c r="S80" s="2"/>
    </row>
    <row r="81" spans="1:19" ht="15">
      <c r="A81" s="191">
        <v>46071</v>
      </c>
      <c r="B81" s="23" t="s">
        <v>55</v>
      </c>
      <c r="C81" s="7" t="s">
        <v>19</v>
      </c>
      <c r="D81" s="7" t="s">
        <v>48</v>
      </c>
      <c r="E81" s="23">
        <v>1800</v>
      </c>
      <c r="F81" s="23">
        <v>19</v>
      </c>
      <c r="G81" s="23">
        <v>38</v>
      </c>
      <c r="H81" s="23">
        <v>3</v>
      </c>
      <c r="I81" s="23">
        <v>109</v>
      </c>
      <c r="J81" s="7">
        <f t="shared" si="4"/>
        <v>169</v>
      </c>
      <c r="K81" s="24">
        <v>1631</v>
      </c>
      <c r="L81" s="23">
        <v>4</v>
      </c>
      <c r="M81" s="7" t="s">
        <v>54</v>
      </c>
      <c r="N81" s="9">
        <f t="shared" si="1"/>
        <v>90.611111111111114</v>
      </c>
      <c r="O81" s="7">
        <f t="shared" si="2"/>
        <v>1800</v>
      </c>
      <c r="P81" s="7">
        <f t="shared" si="3"/>
        <v>0</v>
      </c>
      <c r="Q81" s="1"/>
      <c r="R81" s="1"/>
      <c r="S81" s="2"/>
    </row>
    <row r="82" spans="1:19" ht="14.45" customHeight="1">
      <c r="A82" s="190">
        <v>46073</v>
      </c>
      <c r="B82" s="23" t="s">
        <v>55</v>
      </c>
      <c r="C82" s="7" t="s">
        <v>19</v>
      </c>
      <c r="D82" s="23" t="s">
        <v>48</v>
      </c>
      <c r="E82" s="23">
        <v>2200</v>
      </c>
      <c r="F82" s="23">
        <v>15</v>
      </c>
      <c r="G82" s="23">
        <v>19</v>
      </c>
      <c r="H82" s="23">
        <v>2</v>
      </c>
      <c r="I82" s="23">
        <v>159</v>
      </c>
      <c r="J82" s="7">
        <f t="shared" si="4"/>
        <v>195</v>
      </c>
      <c r="K82" s="25">
        <v>2005</v>
      </c>
      <c r="L82" s="23">
        <v>3</v>
      </c>
      <c r="M82" s="7" t="s">
        <v>53</v>
      </c>
      <c r="N82" s="27">
        <f t="shared" si="1"/>
        <v>91.13636363636364</v>
      </c>
      <c r="O82" s="7">
        <f t="shared" si="2"/>
        <v>2200</v>
      </c>
      <c r="P82" s="7">
        <f t="shared" si="3"/>
        <v>0</v>
      </c>
      <c r="Q82" s="1"/>
      <c r="R82" s="1"/>
      <c r="S82" s="2"/>
    </row>
    <row r="83" spans="1:19" ht="14.45" customHeight="1">
      <c r="A83" s="186">
        <v>46073</v>
      </c>
      <c r="B83" s="23" t="s">
        <v>55</v>
      </c>
      <c r="C83" s="7" t="s">
        <v>19</v>
      </c>
      <c r="D83" s="23" t="s">
        <v>48</v>
      </c>
      <c r="E83" s="23">
        <v>3100</v>
      </c>
      <c r="F83" s="23">
        <v>24</v>
      </c>
      <c r="G83" s="23">
        <v>26</v>
      </c>
      <c r="H83" s="23">
        <v>4</v>
      </c>
      <c r="I83" s="23">
        <v>216</v>
      </c>
      <c r="J83" s="7">
        <f t="shared" si="4"/>
        <v>270</v>
      </c>
      <c r="K83" s="25">
        <v>2830</v>
      </c>
      <c r="L83" s="23">
        <v>3</v>
      </c>
      <c r="M83" s="7" t="s">
        <v>54</v>
      </c>
      <c r="N83" s="27">
        <f t="shared" si="1"/>
        <v>91.290322580645167</v>
      </c>
      <c r="O83" s="7">
        <f t="shared" si="2"/>
        <v>3100</v>
      </c>
      <c r="P83" s="7">
        <f t="shared" si="3"/>
        <v>0</v>
      </c>
      <c r="Q83" s="1"/>
      <c r="R83" s="1"/>
      <c r="S83" s="2"/>
    </row>
    <row r="84" spans="1:19" ht="15">
      <c r="A84" s="191">
        <v>46074</v>
      </c>
      <c r="B84" s="23" t="s">
        <v>55</v>
      </c>
      <c r="C84" s="7" t="s">
        <v>19</v>
      </c>
      <c r="D84" s="23" t="s">
        <v>48</v>
      </c>
      <c r="E84" s="23">
        <v>3300</v>
      </c>
      <c r="F84" s="23">
        <v>28</v>
      </c>
      <c r="G84" s="23">
        <v>47</v>
      </c>
      <c r="H84" s="23">
        <v>5</v>
      </c>
      <c r="I84" s="23">
        <v>247</v>
      </c>
      <c r="J84" s="7">
        <f t="shared" si="4"/>
        <v>327</v>
      </c>
      <c r="K84" s="24">
        <v>2973</v>
      </c>
      <c r="L84" s="23">
        <v>3</v>
      </c>
      <c r="M84" s="7" t="s">
        <v>53</v>
      </c>
      <c r="N84" s="27">
        <f t="shared" si="1"/>
        <v>90.090909090909093</v>
      </c>
      <c r="O84" s="7">
        <f t="shared" si="2"/>
        <v>3300</v>
      </c>
      <c r="P84" s="7">
        <f t="shared" si="3"/>
        <v>0</v>
      </c>
      <c r="Q84" s="1"/>
      <c r="R84" s="1"/>
      <c r="S84" s="2"/>
    </row>
    <row r="85" spans="1:19" ht="15">
      <c r="A85" s="191">
        <v>46075</v>
      </c>
      <c r="B85" s="23" t="s">
        <v>55</v>
      </c>
      <c r="C85" s="7" t="s">
        <v>19</v>
      </c>
      <c r="D85" s="23" t="s">
        <v>48</v>
      </c>
      <c r="E85" s="23">
        <v>2100</v>
      </c>
      <c r="F85" s="23">
        <v>18</v>
      </c>
      <c r="G85" s="23">
        <v>32</v>
      </c>
      <c r="H85" s="28">
        <v>2</v>
      </c>
      <c r="I85" s="28">
        <v>143</v>
      </c>
      <c r="J85" s="29">
        <f t="shared" si="4"/>
        <v>195</v>
      </c>
      <c r="K85" s="25">
        <v>1905</v>
      </c>
      <c r="L85" s="23">
        <v>2</v>
      </c>
      <c r="M85" s="7" t="s">
        <v>53</v>
      </c>
      <c r="N85" s="27">
        <f t="shared" si="1"/>
        <v>90.714285714285708</v>
      </c>
      <c r="O85" s="29">
        <f t="shared" si="2"/>
        <v>2100</v>
      </c>
      <c r="P85" s="29">
        <f t="shared" si="3"/>
        <v>0</v>
      </c>
      <c r="Q85" s="1"/>
      <c r="R85" s="1"/>
      <c r="S85" s="2"/>
    </row>
    <row r="86" spans="1:19" ht="14.45" customHeight="1">
      <c r="A86" s="185">
        <v>46076</v>
      </c>
      <c r="B86" s="6" t="s">
        <v>55</v>
      </c>
      <c r="C86" s="7" t="s">
        <v>19</v>
      </c>
      <c r="D86" s="7" t="s">
        <v>48</v>
      </c>
      <c r="E86" s="7">
        <v>3000</v>
      </c>
      <c r="F86" s="7">
        <v>31</v>
      </c>
      <c r="G86" s="7">
        <v>40</v>
      </c>
      <c r="H86" s="7">
        <v>4</v>
      </c>
      <c r="I86" s="7">
        <v>206</v>
      </c>
      <c r="J86" s="7">
        <f t="shared" ref="J86:J92" si="6">I86+H86+G86</f>
        <v>250</v>
      </c>
      <c r="K86" s="14">
        <v>2750</v>
      </c>
      <c r="L86" s="7">
        <v>3</v>
      </c>
      <c r="M86" s="7" t="s">
        <v>53</v>
      </c>
      <c r="N86" s="9">
        <f t="shared" si="1"/>
        <v>91.666666666666657</v>
      </c>
      <c r="O86" s="7">
        <f t="shared" si="2"/>
        <v>3000</v>
      </c>
      <c r="P86" s="7">
        <f t="shared" si="3"/>
        <v>0</v>
      </c>
      <c r="Q86" s="1"/>
      <c r="R86" s="1"/>
      <c r="S86" s="2"/>
    </row>
    <row r="87" spans="1:19" ht="15">
      <c r="A87" s="186">
        <v>46076</v>
      </c>
      <c r="B87" s="180" t="s">
        <v>55</v>
      </c>
      <c r="C87" s="7" t="s">
        <v>19</v>
      </c>
      <c r="D87" s="7" t="s">
        <v>48</v>
      </c>
      <c r="E87" s="7">
        <v>4000</v>
      </c>
      <c r="F87" s="7">
        <v>35</v>
      </c>
      <c r="G87" s="7">
        <v>53</v>
      </c>
      <c r="H87" s="7">
        <v>3</v>
      </c>
      <c r="I87" s="7">
        <v>274</v>
      </c>
      <c r="J87" s="7">
        <f t="shared" si="6"/>
        <v>330</v>
      </c>
      <c r="K87" s="8">
        <v>3670</v>
      </c>
      <c r="L87" s="7">
        <v>4</v>
      </c>
      <c r="M87" s="7" t="s">
        <v>54</v>
      </c>
      <c r="N87" s="9">
        <f t="shared" si="1"/>
        <v>91.75</v>
      </c>
      <c r="O87" s="7">
        <f t="shared" si="2"/>
        <v>4000</v>
      </c>
      <c r="P87" s="7">
        <f t="shared" si="3"/>
        <v>0</v>
      </c>
      <c r="Q87" s="1"/>
      <c r="R87" s="1"/>
      <c r="S87" s="2"/>
    </row>
    <row r="88" spans="1:19" ht="28.9" customHeight="1">
      <c r="A88" s="185">
        <v>46077</v>
      </c>
      <c r="B88" s="22" t="s">
        <v>56</v>
      </c>
      <c r="C88" s="7" t="s">
        <v>19</v>
      </c>
      <c r="D88" s="23" t="s">
        <v>48</v>
      </c>
      <c r="E88" s="23">
        <v>3150</v>
      </c>
      <c r="F88" s="23">
        <v>33</v>
      </c>
      <c r="G88" s="23">
        <v>38</v>
      </c>
      <c r="H88" s="23">
        <v>4</v>
      </c>
      <c r="I88" s="23">
        <v>238</v>
      </c>
      <c r="J88" s="23">
        <f t="shared" si="6"/>
        <v>280</v>
      </c>
      <c r="K88" s="30">
        <v>2870</v>
      </c>
      <c r="L88" s="23">
        <v>3</v>
      </c>
      <c r="M88" s="7" t="s">
        <v>53</v>
      </c>
      <c r="N88" s="27">
        <f t="shared" si="1"/>
        <v>91.111111111111114</v>
      </c>
      <c r="O88" s="7">
        <f t="shared" si="2"/>
        <v>3150</v>
      </c>
      <c r="P88" s="7">
        <f t="shared" si="3"/>
        <v>0</v>
      </c>
      <c r="Q88" s="31"/>
      <c r="R88" s="31"/>
      <c r="S88" s="32"/>
    </row>
    <row r="89" spans="1:19" ht="28.9" customHeight="1">
      <c r="A89" s="186">
        <v>46077</v>
      </c>
      <c r="B89" s="183" t="s">
        <v>56</v>
      </c>
      <c r="C89" s="7" t="s">
        <v>19</v>
      </c>
      <c r="D89" s="23" t="s">
        <v>48</v>
      </c>
      <c r="E89" s="23">
        <v>4000</v>
      </c>
      <c r="F89" s="23">
        <v>45</v>
      </c>
      <c r="G89" s="23">
        <v>51</v>
      </c>
      <c r="H89" s="23">
        <v>3</v>
      </c>
      <c r="I89" s="23">
        <v>296</v>
      </c>
      <c r="J89" s="23">
        <f t="shared" si="6"/>
        <v>350</v>
      </c>
      <c r="K89" s="30">
        <v>3650</v>
      </c>
      <c r="L89" s="23">
        <v>4</v>
      </c>
      <c r="M89" s="7" t="s">
        <v>54</v>
      </c>
      <c r="N89" s="27">
        <f t="shared" si="1"/>
        <v>91.25</v>
      </c>
      <c r="O89" s="7">
        <f t="shared" si="2"/>
        <v>4000</v>
      </c>
      <c r="P89" s="7">
        <f t="shared" si="3"/>
        <v>0</v>
      </c>
      <c r="Q89" s="31"/>
      <c r="R89" s="31"/>
      <c r="S89" s="32"/>
    </row>
    <row r="90" spans="1:19" ht="15" customHeight="1">
      <c r="A90" s="185">
        <v>46078</v>
      </c>
      <c r="B90" s="6" t="s">
        <v>55</v>
      </c>
      <c r="C90" s="7" t="s">
        <v>19</v>
      </c>
      <c r="D90" s="23" t="s">
        <v>48</v>
      </c>
      <c r="E90" s="23">
        <v>2850</v>
      </c>
      <c r="F90" s="23">
        <v>35</v>
      </c>
      <c r="G90" s="23">
        <v>32</v>
      </c>
      <c r="H90" s="23">
        <v>5</v>
      </c>
      <c r="I90" s="23">
        <v>243</v>
      </c>
      <c r="J90" s="23">
        <f t="shared" si="6"/>
        <v>280</v>
      </c>
      <c r="K90" s="33">
        <v>2570</v>
      </c>
      <c r="L90" s="23">
        <v>4</v>
      </c>
      <c r="M90" s="7" t="s">
        <v>53</v>
      </c>
      <c r="N90" s="27">
        <f t="shared" si="1"/>
        <v>90.175438596491233</v>
      </c>
      <c r="O90" s="7">
        <f t="shared" si="2"/>
        <v>2850</v>
      </c>
      <c r="P90" s="7">
        <f t="shared" si="3"/>
        <v>0</v>
      </c>
      <c r="Q90" s="31"/>
      <c r="R90" s="31"/>
      <c r="S90" s="32"/>
    </row>
    <row r="91" spans="1:19" ht="15" customHeight="1">
      <c r="A91" s="186">
        <v>46078</v>
      </c>
      <c r="B91" s="180" t="s">
        <v>55</v>
      </c>
      <c r="C91" s="7" t="s">
        <v>19</v>
      </c>
      <c r="D91" s="23" t="s">
        <v>48</v>
      </c>
      <c r="E91" s="23">
        <v>4000</v>
      </c>
      <c r="F91" s="23">
        <v>51</v>
      </c>
      <c r="G91" s="23">
        <v>48</v>
      </c>
      <c r="H91" s="7">
        <v>3</v>
      </c>
      <c r="I91" s="23">
        <v>319</v>
      </c>
      <c r="J91" s="23">
        <f t="shared" si="6"/>
        <v>370</v>
      </c>
      <c r="K91" s="34">
        <v>3630</v>
      </c>
      <c r="L91" s="23">
        <v>4</v>
      </c>
      <c r="M91" s="7" t="s">
        <v>54</v>
      </c>
      <c r="N91" s="27">
        <f t="shared" si="1"/>
        <v>90.75</v>
      </c>
      <c r="O91" s="7">
        <f t="shared" si="2"/>
        <v>4000</v>
      </c>
      <c r="P91" s="7">
        <f t="shared" si="3"/>
        <v>0</v>
      </c>
      <c r="Q91" s="31"/>
      <c r="R91" s="31"/>
      <c r="S91" s="32"/>
    </row>
    <row r="92" spans="1:19" ht="15" customHeight="1">
      <c r="A92" s="187">
        <v>46079</v>
      </c>
      <c r="B92" s="7" t="s">
        <v>55</v>
      </c>
      <c r="C92" s="7" t="s">
        <v>19</v>
      </c>
      <c r="D92" s="7" t="s">
        <v>48</v>
      </c>
      <c r="E92" s="7">
        <v>3250</v>
      </c>
      <c r="F92" s="7">
        <v>43</v>
      </c>
      <c r="G92" s="7">
        <v>27</v>
      </c>
      <c r="H92" s="7">
        <v>4</v>
      </c>
      <c r="I92" s="7">
        <v>259</v>
      </c>
      <c r="J92" s="23">
        <f t="shared" si="6"/>
        <v>290</v>
      </c>
      <c r="K92" s="33">
        <v>2960</v>
      </c>
      <c r="L92" s="7">
        <v>4</v>
      </c>
      <c r="M92" s="7" t="s">
        <v>54</v>
      </c>
      <c r="N92" s="9">
        <f t="shared" si="1"/>
        <v>91.07692307692308</v>
      </c>
      <c r="O92" s="7">
        <f t="shared" si="2"/>
        <v>3250</v>
      </c>
      <c r="P92" s="7">
        <f t="shared" si="3"/>
        <v>0</v>
      </c>
      <c r="Q92" s="31"/>
      <c r="R92" s="31"/>
      <c r="S92" s="32"/>
    </row>
    <row r="93" spans="1:19" ht="15" customHeight="1">
      <c r="A93" s="185">
        <v>46080</v>
      </c>
      <c r="B93" s="6" t="s">
        <v>55</v>
      </c>
      <c r="C93" s="7" t="s">
        <v>19</v>
      </c>
      <c r="D93" s="7" t="s">
        <v>48</v>
      </c>
      <c r="E93" s="7">
        <v>1850</v>
      </c>
      <c r="F93" s="7">
        <v>17</v>
      </c>
      <c r="G93" s="7">
        <v>20</v>
      </c>
      <c r="H93" s="7">
        <v>5</v>
      </c>
      <c r="I93" s="7">
        <v>128</v>
      </c>
      <c r="J93" s="23">
        <f t="shared" ref="J93:J96" si="7">I93+H93+G93+F93</f>
        <v>170</v>
      </c>
      <c r="K93" s="34">
        <v>1680</v>
      </c>
      <c r="L93" s="7">
        <v>4</v>
      </c>
      <c r="M93" s="7" t="s">
        <v>53</v>
      </c>
      <c r="N93" s="9">
        <f t="shared" si="1"/>
        <v>90.810810810810821</v>
      </c>
      <c r="O93" s="7">
        <f t="shared" si="2"/>
        <v>1850</v>
      </c>
      <c r="P93" s="7">
        <f t="shared" si="3"/>
        <v>0</v>
      </c>
      <c r="Q93" s="31"/>
      <c r="R93" s="31"/>
      <c r="S93" s="32"/>
    </row>
    <row r="94" spans="1:19" ht="15" customHeight="1">
      <c r="A94" s="186">
        <v>46080</v>
      </c>
      <c r="B94" s="180" t="s">
        <v>55</v>
      </c>
      <c r="C94" s="7" t="s">
        <v>19</v>
      </c>
      <c r="D94" s="35" t="s">
        <v>48</v>
      </c>
      <c r="E94" s="23">
        <v>3500</v>
      </c>
      <c r="F94" s="36">
        <v>42</v>
      </c>
      <c r="G94" s="36">
        <v>35</v>
      </c>
      <c r="H94" s="36">
        <v>4</v>
      </c>
      <c r="I94" s="36">
        <v>229</v>
      </c>
      <c r="J94" s="23">
        <f t="shared" si="7"/>
        <v>310</v>
      </c>
      <c r="K94" s="34">
        <v>3190</v>
      </c>
      <c r="L94" s="37">
        <v>4</v>
      </c>
      <c r="M94" s="7" t="s">
        <v>54</v>
      </c>
      <c r="N94" s="9">
        <f t="shared" si="1"/>
        <v>91.142857142857153</v>
      </c>
      <c r="O94" s="7">
        <f t="shared" si="2"/>
        <v>3500</v>
      </c>
      <c r="P94" s="7">
        <f t="shared" si="3"/>
        <v>0</v>
      </c>
      <c r="Q94" s="31"/>
      <c r="R94" s="31"/>
      <c r="S94" s="32"/>
    </row>
    <row r="95" spans="1:19" ht="15" customHeight="1">
      <c r="A95" s="185">
        <v>46081</v>
      </c>
      <c r="B95" s="6" t="s">
        <v>55</v>
      </c>
      <c r="C95" s="7" t="s">
        <v>19</v>
      </c>
      <c r="D95" s="7" t="s">
        <v>48</v>
      </c>
      <c r="E95" s="23">
        <v>2100</v>
      </c>
      <c r="F95" s="7">
        <v>37</v>
      </c>
      <c r="G95" s="7">
        <v>23</v>
      </c>
      <c r="H95" s="7">
        <v>2</v>
      </c>
      <c r="I95" s="7">
        <v>133</v>
      </c>
      <c r="J95" s="23">
        <f t="shared" si="7"/>
        <v>195</v>
      </c>
      <c r="K95" s="8">
        <v>1905</v>
      </c>
      <c r="L95" s="37">
        <v>4</v>
      </c>
      <c r="M95" s="7" t="s">
        <v>53</v>
      </c>
      <c r="N95" s="9">
        <f t="shared" si="1"/>
        <v>90.714285714285708</v>
      </c>
      <c r="O95" s="7">
        <f t="shared" si="2"/>
        <v>2100</v>
      </c>
      <c r="P95" s="7">
        <f t="shared" si="3"/>
        <v>0</v>
      </c>
      <c r="Q95" s="31"/>
      <c r="R95" s="31"/>
      <c r="S95" s="32"/>
    </row>
    <row r="96" spans="1:19" ht="28.9" customHeight="1">
      <c r="A96" s="186">
        <v>46081</v>
      </c>
      <c r="B96" s="180" t="s">
        <v>55</v>
      </c>
      <c r="C96" s="7" t="s">
        <v>19</v>
      </c>
      <c r="D96" s="7" t="s">
        <v>48</v>
      </c>
      <c r="E96" s="23">
        <v>3600</v>
      </c>
      <c r="F96" s="7">
        <v>38</v>
      </c>
      <c r="G96" s="7">
        <v>43</v>
      </c>
      <c r="H96" s="7">
        <v>3</v>
      </c>
      <c r="I96" s="7">
        <v>236</v>
      </c>
      <c r="J96" s="23">
        <f t="shared" si="7"/>
        <v>320</v>
      </c>
      <c r="K96" s="14">
        <v>3280</v>
      </c>
      <c r="L96" s="23">
        <v>4</v>
      </c>
      <c r="M96" s="7" t="s">
        <v>54</v>
      </c>
      <c r="N96" s="27">
        <f t="shared" si="1"/>
        <v>91.111111111111114</v>
      </c>
      <c r="O96" s="7">
        <f t="shared" si="2"/>
        <v>3600</v>
      </c>
      <c r="P96" s="7">
        <f t="shared" si="3"/>
        <v>0</v>
      </c>
      <c r="Q96" s="31"/>
      <c r="R96" s="31"/>
      <c r="S96" s="32"/>
    </row>
    <row r="108" spans="9:14" ht="14.45">
      <c r="I108" s="42"/>
      <c r="J108" s="41"/>
      <c r="K108" s="41"/>
      <c r="L108" s="41"/>
      <c r="M108" s="43"/>
      <c r="N108" s="44">
        <f>AVERAGE(N5:N107)</f>
        <v>92.08438041569039</v>
      </c>
    </row>
    <row r="109" spans="9:14" ht="14.45">
      <c r="I109" s="47" t="s">
        <v>57</v>
      </c>
      <c r="J109" s="48"/>
      <c r="K109" s="48"/>
      <c r="L109" s="48"/>
      <c r="M109" s="49"/>
      <c r="N109" s="44" t="s">
        <v>58</v>
      </c>
    </row>
    <row r="110" spans="9:14" ht="13.9">
      <c r="I110" s="272" t="s">
        <v>59</v>
      </c>
      <c r="J110" s="320"/>
      <c r="K110" s="273"/>
      <c r="L110" s="320"/>
      <c r="M110" s="50"/>
      <c r="N110" s="51"/>
    </row>
    <row r="111" spans="9:14" ht="13.9">
      <c r="I111" s="270" t="s">
        <v>60</v>
      </c>
      <c r="J111" s="322"/>
      <c r="K111" s="271"/>
      <c r="L111" s="322"/>
      <c r="M111" s="50"/>
      <c r="N111" s="51"/>
    </row>
  </sheetData>
  <autoFilter ref="A2:AA85" xr:uid="{00000000-0009-0000-0000-000000000000}"/>
  <mergeCells count="16">
    <mergeCell ref="I111:J111"/>
    <mergeCell ref="K111:L111"/>
    <mergeCell ref="I110:J110"/>
    <mergeCell ref="K110:L110"/>
    <mergeCell ref="J3:J4"/>
    <mergeCell ref="K3:K4"/>
    <mergeCell ref="L3:L4"/>
    <mergeCell ref="M3:M4"/>
    <mergeCell ref="A1:N1"/>
    <mergeCell ref="A2:N2"/>
    <mergeCell ref="B3:B4"/>
    <mergeCell ref="C3:C4"/>
    <mergeCell ref="D3:D4"/>
    <mergeCell ref="E3:E4"/>
    <mergeCell ref="N3:N4"/>
    <mergeCell ref="A3:A4"/>
  </mergeCells>
  <pageMargins left="0" right="0" top="0" bottom="0" header="0" footer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59"/>
  <sheetViews>
    <sheetView workbookViewId="0">
      <pane ySplit="4" topLeftCell="A5" activePane="bottomLeft" state="frozen"/>
      <selection pane="bottomLeft" activeCell="A3" sqref="A3:A4"/>
    </sheetView>
  </sheetViews>
  <sheetFormatPr defaultColWidth="12.5703125" defaultRowHeight="15.75" customHeight="1"/>
  <sheetData>
    <row r="1" spans="1:17" ht="13.15">
      <c r="A1" s="265"/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  <c r="O1" s="1"/>
      <c r="P1" s="1"/>
      <c r="Q1" s="1"/>
    </row>
    <row r="2" spans="1:17" ht="13.15">
      <c r="A2" s="266" t="s">
        <v>40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20"/>
      <c r="O2" s="1"/>
      <c r="P2" s="1"/>
      <c r="Q2" s="1"/>
    </row>
    <row r="3" spans="1:17" ht="36">
      <c r="A3" s="267" t="s">
        <v>25</v>
      </c>
      <c r="B3" s="267" t="s">
        <v>26</v>
      </c>
      <c r="C3" s="267" t="s">
        <v>27</v>
      </c>
      <c r="D3" s="267" t="s">
        <v>22</v>
      </c>
      <c r="E3" s="268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267" t="s">
        <v>33</v>
      </c>
      <c r="K3" s="267" t="s">
        <v>34</v>
      </c>
      <c r="L3" s="267" t="s">
        <v>35</v>
      </c>
      <c r="M3" s="267" t="s">
        <v>36</v>
      </c>
      <c r="N3" s="269" t="s">
        <v>37</v>
      </c>
      <c r="O3" s="1"/>
      <c r="P3" s="1"/>
      <c r="Q3" s="1"/>
    </row>
    <row r="4" spans="1:17" ht="36">
      <c r="A4" s="321"/>
      <c r="B4" s="321"/>
      <c r="C4" s="321"/>
      <c r="D4" s="321"/>
      <c r="E4" s="321"/>
      <c r="F4" s="5" t="s">
        <v>42</v>
      </c>
      <c r="G4" s="5" t="s">
        <v>43</v>
      </c>
      <c r="H4" s="5" t="s">
        <v>44</v>
      </c>
      <c r="I4" s="5" t="s">
        <v>32</v>
      </c>
      <c r="J4" s="321"/>
      <c r="K4" s="321"/>
      <c r="L4" s="321"/>
      <c r="M4" s="321"/>
      <c r="N4" s="321"/>
      <c r="O4" s="1"/>
      <c r="P4" s="1"/>
      <c r="Q4" s="1" t="s">
        <v>61</v>
      </c>
    </row>
    <row r="5" spans="1:17" ht="15">
      <c r="A5" s="187">
        <v>46026</v>
      </c>
      <c r="B5" s="7" t="s">
        <v>62</v>
      </c>
      <c r="C5" s="7" t="s">
        <v>20</v>
      </c>
      <c r="D5" s="7" t="s">
        <v>51</v>
      </c>
      <c r="E5" s="7">
        <v>5000</v>
      </c>
      <c r="F5" s="7">
        <v>130</v>
      </c>
      <c r="G5" s="7">
        <v>92</v>
      </c>
      <c r="H5" s="7">
        <v>6</v>
      </c>
      <c r="I5" s="7">
        <v>240</v>
      </c>
      <c r="J5" s="7">
        <f t="shared" ref="J5:J53" si="0">F5+G5+H5+I5</f>
        <v>468</v>
      </c>
      <c r="K5" s="8">
        <v>4532</v>
      </c>
      <c r="L5" s="53">
        <v>9</v>
      </c>
      <c r="M5" s="53" t="s">
        <v>49</v>
      </c>
      <c r="N5" s="9">
        <f t="shared" ref="N5:N53" si="1">K5/E5*100</f>
        <v>90.64</v>
      </c>
      <c r="O5" s="7">
        <f t="shared" ref="O5:O53" si="2">K5+J5</f>
        <v>5000</v>
      </c>
      <c r="P5" s="7">
        <f t="shared" ref="P5:P53" si="3">E5-O5</f>
        <v>0</v>
      </c>
      <c r="Q5" s="1"/>
    </row>
    <row r="6" spans="1:17" ht="15">
      <c r="A6" s="187">
        <v>46027</v>
      </c>
      <c r="B6" s="7" t="s">
        <v>62</v>
      </c>
      <c r="C6" s="7" t="s">
        <v>20</v>
      </c>
      <c r="D6" s="7" t="s">
        <v>51</v>
      </c>
      <c r="E6" s="7">
        <v>4450</v>
      </c>
      <c r="F6" s="7">
        <v>85</v>
      </c>
      <c r="G6" s="7">
        <v>72</v>
      </c>
      <c r="H6" s="7">
        <v>5.4</v>
      </c>
      <c r="I6" s="7">
        <v>156.6</v>
      </c>
      <c r="J6" s="7">
        <f t="shared" si="0"/>
        <v>319</v>
      </c>
      <c r="K6" s="8">
        <v>4131</v>
      </c>
      <c r="L6" s="53">
        <v>9</v>
      </c>
      <c r="M6" s="53" t="s">
        <v>49</v>
      </c>
      <c r="N6" s="9">
        <f t="shared" si="1"/>
        <v>92.831460674157313</v>
      </c>
      <c r="O6" s="7">
        <f t="shared" si="2"/>
        <v>4450</v>
      </c>
      <c r="P6" s="7">
        <f t="shared" si="3"/>
        <v>0</v>
      </c>
      <c r="Q6" s="1"/>
    </row>
    <row r="7" spans="1:17" ht="15">
      <c r="A7" s="187">
        <v>46028</v>
      </c>
      <c r="B7" s="7" t="s">
        <v>62</v>
      </c>
      <c r="C7" s="7" t="s">
        <v>20</v>
      </c>
      <c r="D7" s="7" t="s">
        <v>51</v>
      </c>
      <c r="E7" s="7">
        <v>5550</v>
      </c>
      <c r="F7" s="7">
        <v>184</v>
      </c>
      <c r="G7" s="7">
        <v>152</v>
      </c>
      <c r="H7" s="7">
        <v>6</v>
      </c>
      <c r="I7" s="7">
        <v>202</v>
      </c>
      <c r="J7" s="7">
        <f t="shared" si="0"/>
        <v>544</v>
      </c>
      <c r="K7" s="8">
        <v>5006</v>
      </c>
      <c r="L7" s="53">
        <v>9</v>
      </c>
      <c r="M7" s="53" t="s">
        <v>49</v>
      </c>
      <c r="N7" s="9">
        <f t="shared" si="1"/>
        <v>90.198198198198199</v>
      </c>
      <c r="O7" s="7">
        <f t="shared" si="2"/>
        <v>5550</v>
      </c>
      <c r="P7" s="7">
        <f t="shared" si="3"/>
        <v>0</v>
      </c>
      <c r="Q7" s="1"/>
    </row>
    <row r="8" spans="1:17" ht="15">
      <c r="A8" s="187">
        <v>46029</v>
      </c>
      <c r="B8" s="7" t="s">
        <v>62</v>
      </c>
      <c r="C8" s="7" t="s">
        <v>20</v>
      </c>
      <c r="D8" s="7" t="s">
        <v>51</v>
      </c>
      <c r="E8" s="7">
        <v>5700</v>
      </c>
      <c r="F8" s="7">
        <v>127</v>
      </c>
      <c r="G8" s="7">
        <v>85</v>
      </c>
      <c r="H8" s="7">
        <v>7</v>
      </c>
      <c r="I8" s="7">
        <v>156</v>
      </c>
      <c r="J8" s="7">
        <f t="shared" si="0"/>
        <v>375</v>
      </c>
      <c r="K8" s="8">
        <v>5325</v>
      </c>
      <c r="L8" s="53">
        <v>9</v>
      </c>
      <c r="M8" s="53" t="s">
        <v>49</v>
      </c>
      <c r="N8" s="9">
        <f t="shared" si="1"/>
        <v>93.421052631578945</v>
      </c>
      <c r="O8" s="7">
        <f t="shared" si="2"/>
        <v>5700</v>
      </c>
      <c r="P8" s="7">
        <f t="shared" si="3"/>
        <v>0</v>
      </c>
      <c r="Q8" s="1"/>
    </row>
    <row r="9" spans="1:17" ht="15">
      <c r="A9" s="187">
        <v>46030</v>
      </c>
      <c r="B9" s="7" t="s">
        <v>62</v>
      </c>
      <c r="C9" s="7" t="s">
        <v>20</v>
      </c>
      <c r="D9" s="7" t="s">
        <v>51</v>
      </c>
      <c r="E9" s="7">
        <v>5000</v>
      </c>
      <c r="F9" s="7">
        <v>127</v>
      </c>
      <c r="G9" s="7">
        <v>78</v>
      </c>
      <c r="H9" s="7">
        <v>6</v>
      </c>
      <c r="I9" s="7">
        <v>169</v>
      </c>
      <c r="J9" s="7">
        <f t="shared" si="0"/>
        <v>380</v>
      </c>
      <c r="K9" s="8">
        <v>4620</v>
      </c>
      <c r="L9" s="53">
        <v>9</v>
      </c>
      <c r="M9" s="53" t="s">
        <v>49</v>
      </c>
      <c r="N9" s="9">
        <f t="shared" si="1"/>
        <v>92.4</v>
      </c>
      <c r="O9" s="7">
        <f t="shared" si="2"/>
        <v>5000</v>
      </c>
      <c r="P9" s="7">
        <f t="shared" si="3"/>
        <v>0</v>
      </c>
      <c r="Q9" s="1"/>
    </row>
    <row r="10" spans="1:17" ht="15">
      <c r="A10" s="187">
        <v>46031</v>
      </c>
      <c r="B10" s="7" t="s">
        <v>62</v>
      </c>
      <c r="C10" s="7" t="s">
        <v>20</v>
      </c>
      <c r="D10" s="7" t="s">
        <v>51</v>
      </c>
      <c r="E10" s="7">
        <v>5000</v>
      </c>
      <c r="F10" s="7">
        <v>133</v>
      </c>
      <c r="G10" s="7">
        <v>81</v>
      </c>
      <c r="H10" s="7">
        <v>6.6</v>
      </c>
      <c r="I10" s="7">
        <v>140.4</v>
      </c>
      <c r="J10" s="7">
        <f t="shared" si="0"/>
        <v>361</v>
      </c>
      <c r="K10" s="8">
        <v>4639</v>
      </c>
      <c r="L10" s="53">
        <v>9</v>
      </c>
      <c r="M10" s="53" t="s">
        <v>49</v>
      </c>
      <c r="N10" s="9">
        <f t="shared" si="1"/>
        <v>92.78</v>
      </c>
      <c r="O10" s="7">
        <f t="shared" si="2"/>
        <v>5000</v>
      </c>
      <c r="P10" s="7">
        <f t="shared" si="3"/>
        <v>0</v>
      </c>
      <c r="Q10" s="1"/>
    </row>
    <row r="11" spans="1:17" ht="15">
      <c r="A11" s="187">
        <v>46032</v>
      </c>
      <c r="B11" s="7" t="s">
        <v>62</v>
      </c>
      <c r="C11" s="7" t="s">
        <v>20</v>
      </c>
      <c r="D11" s="7" t="s">
        <v>51</v>
      </c>
      <c r="E11" s="7">
        <v>4500</v>
      </c>
      <c r="F11" s="7">
        <v>112</v>
      </c>
      <c r="G11" s="7">
        <v>65</v>
      </c>
      <c r="H11" s="7">
        <v>4</v>
      </c>
      <c r="I11" s="7">
        <v>129</v>
      </c>
      <c r="J11" s="7">
        <f t="shared" si="0"/>
        <v>310</v>
      </c>
      <c r="K11" s="8">
        <v>4190</v>
      </c>
      <c r="L11" s="53">
        <v>9</v>
      </c>
      <c r="M11" s="53" t="s">
        <v>49</v>
      </c>
      <c r="N11" s="9">
        <f t="shared" si="1"/>
        <v>93.111111111111114</v>
      </c>
      <c r="O11" s="7">
        <f t="shared" si="2"/>
        <v>4500</v>
      </c>
      <c r="P11" s="7">
        <f t="shared" si="3"/>
        <v>0</v>
      </c>
      <c r="Q11" s="1"/>
    </row>
    <row r="12" spans="1:17" ht="15">
      <c r="A12" s="187">
        <v>46033</v>
      </c>
      <c r="B12" s="7" t="s">
        <v>62</v>
      </c>
      <c r="C12" s="7" t="s">
        <v>20</v>
      </c>
      <c r="D12" s="7" t="s">
        <v>51</v>
      </c>
      <c r="E12" s="7">
        <v>3150</v>
      </c>
      <c r="F12" s="7">
        <v>90</v>
      </c>
      <c r="G12" s="7">
        <v>46</v>
      </c>
      <c r="H12" s="7">
        <v>4</v>
      </c>
      <c r="I12" s="7">
        <v>100</v>
      </c>
      <c r="J12" s="7">
        <f t="shared" si="0"/>
        <v>240</v>
      </c>
      <c r="K12" s="8">
        <v>2910</v>
      </c>
      <c r="L12" s="53">
        <v>9</v>
      </c>
      <c r="M12" s="53" t="s">
        <v>49</v>
      </c>
      <c r="N12" s="9">
        <f t="shared" si="1"/>
        <v>92.38095238095238</v>
      </c>
      <c r="O12" s="7">
        <f t="shared" si="2"/>
        <v>3150</v>
      </c>
      <c r="P12" s="7">
        <f t="shared" si="3"/>
        <v>0</v>
      </c>
      <c r="Q12" s="1"/>
    </row>
    <row r="13" spans="1:17" ht="15">
      <c r="A13" s="187">
        <v>46034</v>
      </c>
      <c r="B13" s="7" t="s">
        <v>62</v>
      </c>
      <c r="C13" s="7" t="s">
        <v>20</v>
      </c>
      <c r="D13" s="7" t="s">
        <v>51</v>
      </c>
      <c r="E13" s="7">
        <v>4500</v>
      </c>
      <c r="F13" s="7">
        <v>106</v>
      </c>
      <c r="G13" s="7">
        <v>50</v>
      </c>
      <c r="H13" s="7">
        <v>4.5999999999999996</v>
      </c>
      <c r="I13" s="7">
        <v>118.4</v>
      </c>
      <c r="J13" s="7">
        <f t="shared" si="0"/>
        <v>279</v>
      </c>
      <c r="K13" s="8">
        <v>4221</v>
      </c>
      <c r="L13" s="53">
        <v>9</v>
      </c>
      <c r="M13" s="53" t="s">
        <v>49</v>
      </c>
      <c r="N13" s="9">
        <f t="shared" si="1"/>
        <v>93.8</v>
      </c>
      <c r="O13" s="7">
        <f t="shared" si="2"/>
        <v>4500</v>
      </c>
      <c r="P13" s="7">
        <f t="shared" si="3"/>
        <v>0</v>
      </c>
      <c r="Q13" s="1"/>
    </row>
    <row r="14" spans="1:17" ht="15">
      <c r="A14" s="187">
        <v>46035</v>
      </c>
      <c r="B14" s="7" t="s">
        <v>62</v>
      </c>
      <c r="C14" s="7" t="s">
        <v>20</v>
      </c>
      <c r="D14" s="7" t="s">
        <v>51</v>
      </c>
      <c r="E14" s="7">
        <v>5000</v>
      </c>
      <c r="F14" s="7">
        <v>111</v>
      </c>
      <c r="G14" s="7">
        <v>84</v>
      </c>
      <c r="H14" s="7">
        <v>6</v>
      </c>
      <c r="I14" s="7">
        <v>132</v>
      </c>
      <c r="J14" s="7">
        <f t="shared" si="0"/>
        <v>333</v>
      </c>
      <c r="K14" s="8">
        <v>4667</v>
      </c>
      <c r="L14" s="53">
        <v>9</v>
      </c>
      <c r="M14" s="53" t="s">
        <v>49</v>
      </c>
      <c r="N14" s="9">
        <f t="shared" si="1"/>
        <v>93.34</v>
      </c>
      <c r="O14" s="7">
        <f t="shared" si="2"/>
        <v>5000</v>
      </c>
      <c r="P14" s="7">
        <f t="shared" si="3"/>
        <v>0</v>
      </c>
      <c r="Q14" s="1"/>
    </row>
    <row r="15" spans="1:17" ht="15">
      <c r="A15" s="187">
        <v>46038</v>
      </c>
      <c r="B15" s="7" t="s">
        <v>62</v>
      </c>
      <c r="C15" s="7" t="s">
        <v>20</v>
      </c>
      <c r="D15" s="7" t="s">
        <v>51</v>
      </c>
      <c r="E15" s="7">
        <v>5000</v>
      </c>
      <c r="F15" s="7">
        <v>94</v>
      </c>
      <c r="G15" s="7">
        <v>62</v>
      </c>
      <c r="H15" s="7">
        <v>0</v>
      </c>
      <c r="I15" s="7">
        <v>129</v>
      </c>
      <c r="J15" s="7">
        <f t="shared" si="0"/>
        <v>285</v>
      </c>
      <c r="K15" s="8">
        <v>4715</v>
      </c>
      <c r="L15" s="53">
        <v>9</v>
      </c>
      <c r="M15" s="53" t="s">
        <v>53</v>
      </c>
      <c r="N15" s="9">
        <f t="shared" si="1"/>
        <v>94.3</v>
      </c>
      <c r="O15" s="7">
        <f t="shared" si="2"/>
        <v>5000</v>
      </c>
      <c r="P15" s="7">
        <f t="shared" si="3"/>
        <v>0</v>
      </c>
      <c r="Q15" s="1"/>
    </row>
    <row r="16" spans="1:17" ht="15">
      <c r="A16" s="187">
        <v>46039</v>
      </c>
      <c r="B16" s="7" t="s">
        <v>62</v>
      </c>
      <c r="C16" s="7" t="s">
        <v>20</v>
      </c>
      <c r="D16" s="7" t="s">
        <v>51</v>
      </c>
      <c r="E16" s="7">
        <v>5000</v>
      </c>
      <c r="F16" s="7">
        <v>111</v>
      </c>
      <c r="G16" s="7">
        <v>71</v>
      </c>
      <c r="H16" s="7">
        <v>7</v>
      </c>
      <c r="I16" s="7">
        <v>140</v>
      </c>
      <c r="J16" s="7">
        <f t="shared" si="0"/>
        <v>329</v>
      </c>
      <c r="K16" s="8">
        <v>4671</v>
      </c>
      <c r="L16" s="53">
        <v>9</v>
      </c>
      <c r="M16" s="53" t="s">
        <v>63</v>
      </c>
      <c r="N16" s="9">
        <f t="shared" si="1"/>
        <v>93.42</v>
      </c>
      <c r="O16" s="7">
        <f t="shared" si="2"/>
        <v>5000</v>
      </c>
      <c r="P16" s="7">
        <f t="shared" si="3"/>
        <v>0</v>
      </c>
      <c r="Q16" s="1"/>
    </row>
    <row r="17" spans="1:17" ht="15">
      <c r="A17" s="187">
        <v>46040</v>
      </c>
      <c r="B17" s="7" t="s">
        <v>62</v>
      </c>
      <c r="C17" s="7" t="s">
        <v>20</v>
      </c>
      <c r="D17" s="7" t="s">
        <v>51</v>
      </c>
      <c r="E17" s="7">
        <v>9000</v>
      </c>
      <c r="F17" s="7">
        <v>190</v>
      </c>
      <c r="G17" s="7">
        <v>140</v>
      </c>
      <c r="H17" s="7">
        <v>20</v>
      </c>
      <c r="I17" s="7">
        <v>214</v>
      </c>
      <c r="J17" s="7">
        <f t="shared" si="0"/>
        <v>564</v>
      </c>
      <c r="K17" s="8">
        <v>8436</v>
      </c>
      <c r="L17" s="53">
        <v>9</v>
      </c>
      <c r="M17" s="53" t="s">
        <v>63</v>
      </c>
      <c r="N17" s="9">
        <f t="shared" si="1"/>
        <v>93.733333333333334</v>
      </c>
      <c r="O17" s="7">
        <f t="shared" si="2"/>
        <v>9000</v>
      </c>
      <c r="P17" s="7">
        <f t="shared" si="3"/>
        <v>0</v>
      </c>
      <c r="Q17" s="1"/>
    </row>
    <row r="18" spans="1:17" ht="15">
      <c r="A18" s="187">
        <v>46041</v>
      </c>
      <c r="B18" s="7" t="s">
        <v>62</v>
      </c>
      <c r="C18" s="7" t="s">
        <v>20</v>
      </c>
      <c r="D18" s="7" t="s">
        <v>51</v>
      </c>
      <c r="E18" s="7">
        <v>3000</v>
      </c>
      <c r="F18" s="7">
        <v>93</v>
      </c>
      <c r="G18" s="7">
        <v>37</v>
      </c>
      <c r="H18" s="7">
        <v>14</v>
      </c>
      <c r="I18" s="7">
        <v>96</v>
      </c>
      <c r="J18" s="7">
        <f t="shared" si="0"/>
        <v>240</v>
      </c>
      <c r="K18" s="54">
        <v>2760</v>
      </c>
      <c r="L18" s="53">
        <v>9</v>
      </c>
      <c r="M18" s="53" t="s">
        <v>53</v>
      </c>
      <c r="N18" s="9">
        <f t="shared" si="1"/>
        <v>92</v>
      </c>
      <c r="O18" s="7">
        <f t="shared" si="2"/>
        <v>3000</v>
      </c>
      <c r="P18" s="7">
        <f t="shared" si="3"/>
        <v>0</v>
      </c>
      <c r="Q18" s="1"/>
    </row>
    <row r="19" spans="1:17" ht="15">
      <c r="A19" s="187">
        <v>46029</v>
      </c>
      <c r="B19" s="7" t="s">
        <v>64</v>
      </c>
      <c r="C19" s="7" t="s">
        <v>20</v>
      </c>
      <c r="D19" s="7" t="s">
        <v>65</v>
      </c>
      <c r="E19" s="7">
        <v>455.44</v>
      </c>
      <c r="F19" s="7">
        <v>0</v>
      </c>
      <c r="G19" s="7">
        <v>0</v>
      </c>
      <c r="H19" s="7">
        <v>0</v>
      </c>
      <c r="I19" s="7">
        <v>36.44</v>
      </c>
      <c r="J19" s="7">
        <f t="shared" si="0"/>
        <v>36.44</v>
      </c>
      <c r="K19" s="55">
        <v>419</v>
      </c>
      <c r="L19" s="53">
        <v>2</v>
      </c>
      <c r="M19" s="53" t="s">
        <v>53</v>
      </c>
      <c r="N19" s="9">
        <f t="shared" si="1"/>
        <v>91.998946074126124</v>
      </c>
      <c r="O19" s="7">
        <f t="shared" si="2"/>
        <v>455.44</v>
      </c>
      <c r="P19" s="7">
        <f t="shared" si="3"/>
        <v>0</v>
      </c>
      <c r="Q19" s="1"/>
    </row>
    <row r="20" spans="1:17" ht="15">
      <c r="A20" s="187">
        <v>46044</v>
      </c>
      <c r="B20" s="7" t="s">
        <v>62</v>
      </c>
      <c r="C20" s="7" t="s">
        <v>20</v>
      </c>
      <c r="D20" s="7" t="s">
        <v>51</v>
      </c>
      <c r="E20" s="7">
        <v>5000</v>
      </c>
      <c r="F20" s="7">
        <v>91</v>
      </c>
      <c r="G20" s="7">
        <v>66</v>
      </c>
      <c r="H20" s="7">
        <v>9</v>
      </c>
      <c r="I20" s="7">
        <v>116</v>
      </c>
      <c r="J20" s="7">
        <f t="shared" si="0"/>
        <v>282</v>
      </c>
      <c r="K20" s="8">
        <v>4718</v>
      </c>
      <c r="L20" s="53">
        <v>9</v>
      </c>
      <c r="M20" s="53" t="s">
        <v>49</v>
      </c>
      <c r="N20" s="9">
        <f t="shared" si="1"/>
        <v>94.36</v>
      </c>
      <c r="O20" s="7">
        <f t="shared" si="2"/>
        <v>5000</v>
      </c>
      <c r="P20" s="7">
        <f t="shared" si="3"/>
        <v>0</v>
      </c>
      <c r="Q20" s="1"/>
    </row>
    <row r="21" spans="1:17" ht="15">
      <c r="A21" s="187">
        <v>46044</v>
      </c>
      <c r="B21" s="7" t="s">
        <v>62</v>
      </c>
      <c r="C21" s="7" t="s">
        <v>20</v>
      </c>
      <c r="D21" s="7" t="s">
        <v>51</v>
      </c>
      <c r="E21" s="7">
        <v>6150</v>
      </c>
      <c r="F21" s="7">
        <v>87</v>
      </c>
      <c r="G21" s="7">
        <v>75</v>
      </c>
      <c r="H21" s="7">
        <v>18</v>
      </c>
      <c r="I21" s="7">
        <v>190</v>
      </c>
      <c r="J21" s="7">
        <f t="shared" si="0"/>
        <v>370</v>
      </c>
      <c r="K21" s="8">
        <v>5780</v>
      </c>
      <c r="L21" s="53">
        <v>9</v>
      </c>
      <c r="M21" s="53" t="s">
        <v>66</v>
      </c>
      <c r="N21" s="9">
        <f t="shared" si="1"/>
        <v>93.983739837398375</v>
      </c>
      <c r="O21" s="7">
        <f t="shared" si="2"/>
        <v>6150</v>
      </c>
      <c r="P21" s="7">
        <f t="shared" si="3"/>
        <v>0</v>
      </c>
      <c r="Q21" s="1"/>
    </row>
    <row r="22" spans="1:17" ht="15">
      <c r="A22" s="187">
        <v>46045</v>
      </c>
      <c r="B22" s="7" t="s">
        <v>62</v>
      </c>
      <c r="C22" s="7" t="s">
        <v>20</v>
      </c>
      <c r="D22" s="7" t="s">
        <v>51</v>
      </c>
      <c r="E22" s="7">
        <v>6000</v>
      </c>
      <c r="F22" s="7">
        <v>103</v>
      </c>
      <c r="G22" s="7">
        <v>79</v>
      </c>
      <c r="H22" s="7">
        <v>23</v>
      </c>
      <c r="I22" s="7">
        <v>164</v>
      </c>
      <c r="J22" s="7">
        <f t="shared" si="0"/>
        <v>369</v>
      </c>
      <c r="K22" s="8">
        <v>5631</v>
      </c>
      <c r="L22" s="53">
        <v>9</v>
      </c>
      <c r="M22" s="53" t="s">
        <v>63</v>
      </c>
      <c r="N22" s="9">
        <f t="shared" si="1"/>
        <v>93.85</v>
      </c>
      <c r="O22" s="7">
        <f t="shared" si="2"/>
        <v>6000</v>
      </c>
      <c r="P22" s="7">
        <f t="shared" si="3"/>
        <v>0</v>
      </c>
      <c r="Q22" s="1"/>
    </row>
    <row r="23" spans="1:17" ht="15">
      <c r="A23" s="187">
        <v>46046</v>
      </c>
      <c r="B23" s="7" t="s">
        <v>62</v>
      </c>
      <c r="C23" s="7" t="s">
        <v>20</v>
      </c>
      <c r="D23" s="7" t="s">
        <v>51</v>
      </c>
      <c r="E23" s="7">
        <v>2600</v>
      </c>
      <c r="F23" s="7">
        <v>64</v>
      </c>
      <c r="G23" s="7">
        <v>21</v>
      </c>
      <c r="H23" s="7">
        <v>9</v>
      </c>
      <c r="I23" s="7">
        <v>66</v>
      </c>
      <c r="J23" s="7">
        <f t="shared" si="0"/>
        <v>160</v>
      </c>
      <c r="K23" s="8">
        <v>2440</v>
      </c>
      <c r="L23" s="53">
        <v>9</v>
      </c>
      <c r="M23" s="53" t="s">
        <v>66</v>
      </c>
      <c r="N23" s="9">
        <f t="shared" si="1"/>
        <v>93.84615384615384</v>
      </c>
      <c r="O23" s="7">
        <f t="shared" si="2"/>
        <v>2600</v>
      </c>
      <c r="P23" s="7">
        <f t="shared" si="3"/>
        <v>0</v>
      </c>
      <c r="Q23" s="1"/>
    </row>
    <row r="24" spans="1:17" ht="15">
      <c r="A24" s="187">
        <v>46046</v>
      </c>
      <c r="B24" s="7" t="s">
        <v>62</v>
      </c>
      <c r="C24" s="7" t="s">
        <v>20</v>
      </c>
      <c r="D24" s="7" t="s">
        <v>51</v>
      </c>
      <c r="E24" s="7">
        <v>5600</v>
      </c>
      <c r="F24" s="7">
        <v>123</v>
      </c>
      <c r="G24" s="7">
        <v>89</v>
      </c>
      <c r="H24" s="7">
        <v>17</v>
      </c>
      <c r="I24" s="7">
        <v>127</v>
      </c>
      <c r="J24" s="7">
        <f t="shared" si="0"/>
        <v>356</v>
      </c>
      <c r="K24" s="8">
        <v>5244</v>
      </c>
      <c r="L24" s="53">
        <v>9</v>
      </c>
      <c r="M24" s="53" t="s">
        <v>49</v>
      </c>
      <c r="N24" s="9">
        <f t="shared" si="1"/>
        <v>93.642857142857139</v>
      </c>
      <c r="O24" s="7">
        <f t="shared" si="2"/>
        <v>5600</v>
      </c>
      <c r="P24" s="7">
        <f t="shared" si="3"/>
        <v>0</v>
      </c>
      <c r="Q24" s="1"/>
    </row>
    <row r="25" spans="1:17" ht="15">
      <c r="A25" s="187">
        <v>46046</v>
      </c>
      <c r="B25" s="7" t="s">
        <v>62</v>
      </c>
      <c r="C25" s="7" t="s">
        <v>20</v>
      </c>
      <c r="D25" s="7" t="s">
        <v>51</v>
      </c>
      <c r="E25" s="7">
        <v>5000</v>
      </c>
      <c r="F25" s="7">
        <v>102</v>
      </c>
      <c r="G25" s="7">
        <v>69</v>
      </c>
      <c r="H25" s="7">
        <v>14</v>
      </c>
      <c r="I25" s="7">
        <v>120</v>
      </c>
      <c r="J25" s="7">
        <f t="shared" si="0"/>
        <v>305</v>
      </c>
      <c r="K25" s="8">
        <v>4695</v>
      </c>
      <c r="L25" s="53">
        <v>9</v>
      </c>
      <c r="M25" s="53" t="s">
        <v>66</v>
      </c>
      <c r="N25" s="9">
        <f t="shared" si="1"/>
        <v>93.899999999999991</v>
      </c>
      <c r="O25" s="7">
        <f t="shared" si="2"/>
        <v>5000</v>
      </c>
      <c r="P25" s="7">
        <f t="shared" si="3"/>
        <v>0</v>
      </c>
      <c r="Q25" s="1"/>
    </row>
    <row r="26" spans="1:17" ht="15">
      <c r="A26" s="187">
        <v>46047</v>
      </c>
      <c r="B26" s="7" t="s">
        <v>62</v>
      </c>
      <c r="C26" s="7" t="s">
        <v>20</v>
      </c>
      <c r="D26" s="7" t="s">
        <v>51</v>
      </c>
      <c r="E26" s="7">
        <v>3000</v>
      </c>
      <c r="F26" s="7">
        <v>79</v>
      </c>
      <c r="G26" s="7">
        <v>33</v>
      </c>
      <c r="H26" s="7">
        <v>7</v>
      </c>
      <c r="I26" s="7">
        <v>68</v>
      </c>
      <c r="J26" s="7">
        <f t="shared" si="0"/>
        <v>187</v>
      </c>
      <c r="K26" s="8">
        <v>2813</v>
      </c>
      <c r="L26" s="53">
        <v>9</v>
      </c>
      <c r="M26" s="53" t="s">
        <v>63</v>
      </c>
      <c r="N26" s="9">
        <f t="shared" si="1"/>
        <v>93.766666666666666</v>
      </c>
      <c r="O26" s="7">
        <f t="shared" si="2"/>
        <v>3000</v>
      </c>
      <c r="P26" s="7">
        <f t="shared" si="3"/>
        <v>0</v>
      </c>
      <c r="Q26" s="1"/>
    </row>
    <row r="27" spans="1:17" ht="15">
      <c r="A27" s="187">
        <v>46049</v>
      </c>
      <c r="B27" s="7" t="s">
        <v>62</v>
      </c>
      <c r="C27" s="7" t="s">
        <v>20</v>
      </c>
      <c r="D27" s="7" t="s">
        <v>51</v>
      </c>
      <c r="E27" s="7">
        <v>4600</v>
      </c>
      <c r="F27" s="7">
        <v>97</v>
      </c>
      <c r="G27" s="7">
        <v>63</v>
      </c>
      <c r="H27" s="7">
        <v>14</v>
      </c>
      <c r="I27" s="7">
        <v>138</v>
      </c>
      <c r="J27" s="7">
        <f t="shared" si="0"/>
        <v>312</v>
      </c>
      <c r="K27" s="8">
        <v>4288</v>
      </c>
      <c r="L27" s="53">
        <v>9</v>
      </c>
      <c r="M27" s="53" t="s">
        <v>63</v>
      </c>
      <c r="N27" s="9">
        <f t="shared" si="1"/>
        <v>93.217391304347828</v>
      </c>
      <c r="O27" s="7">
        <f t="shared" si="2"/>
        <v>4600</v>
      </c>
      <c r="P27" s="7">
        <f t="shared" si="3"/>
        <v>0</v>
      </c>
      <c r="Q27" s="1"/>
    </row>
    <row r="28" spans="1:17" ht="15">
      <c r="A28" s="187">
        <v>46049</v>
      </c>
      <c r="B28" s="7" t="s">
        <v>62</v>
      </c>
      <c r="C28" s="7" t="s">
        <v>20</v>
      </c>
      <c r="D28" s="7" t="s">
        <v>51</v>
      </c>
      <c r="E28" s="7">
        <v>3000</v>
      </c>
      <c r="F28" s="7">
        <v>67</v>
      </c>
      <c r="G28" s="7">
        <v>45</v>
      </c>
      <c r="H28" s="7">
        <v>8</v>
      </c>
      <c r="I28" s="7">
        <v>120</v>
      </c>
      <c r="J28" s="7">
        <f t="shared" si="0"/>
        <v>240</v>
      </c>
      <c r="K28" s="8">
        <v>2760</v>
      </c>
      <c r="L28" s="53">
        <v>9</v>
      </c>
      <c r="M28" s="53" t="s">
        <v>54</v>
      </c>
      <c r="N28" s="9">
        <f t="shared" si="1"/>
        <v>92</v>
      </c>
      <c r="O28" s="7">
        <f t="shared" si="2"/>
        <v>3000</v>
      </c>
      <c r="P28" s="7">
        <f t="shared" si="3"/>
        <v>0</v>
      </c>
      <c r="Q28" s="1"/>
    </row>
    <row r="29" spans="1:17" ht="15">
      <c r="A29" s="187">
        <v>46024</v>
      </c>
      <c r="B29" s="7" t="s">
        <v>62</v>
      </c>
      <c r="C29" s="7" t="s">
        <v>20</v>
      </c>
      <c r="D29" s="7" t="s">
        <v>51</v>
      </c>
      <c r="E29" s="7">
        <v>3500</v>
      </c>
      <c r="F29" s="7">
        <v>90</v>
      </c>
      <c r="G29" s="7">
        <v>43</v>
      </c>
      <c r="H29" s="7">
        <v>4</v>
      </c>
      <c r="I29" s="7">
        <v>103</v>
      </c>
      <c r="J29" s="7">
        <f t="shared" si="0"/>
        <v>240</v>
      </c>
      <c r="K29" s="8">
        <v>3260</v>
      </c>
      <c r="L29" s="53">
        <v>9</v>
      </c>
      <c r="M29" s="53" t="s">
        <v>53</v>
      </c>
      <c r="N29" s="9">
        <f t="shared" si="1"/>
        <v>93.142857142857139</v>
      </c>
      <c r="O29" s="7">
        <f t="shared" si="2"/>
        <v>3500</v>
      </c>
      <c r="P29" s="7">
        <f t="shared" si="3"/>
        <v>0</v>
      </c>
      <c r="Q29" s="1"/>
    </row>
    <row r="30" spans="1:17" ht="15">
      <c r="A30" s="187">
        <v>46024</v>
      </c>
      <c r="B30" s="7" t="s">
        <v>62</v>
      </c>
      <c r="C30" s="7" t="s">
        <v>20</v>
      </c>
      <c r="D30" s="7" t="s">
        <v>51</v>
      </c>
      <c r="E30" s="7">
        <v>1500</v>
      </c>
      <c r="F30" s="7">
        <v>29</v>
      </c>
      <c r="G30" s="7">
        <v>15</v>
      </c>
      <c r="H30" s="7">
        <v>2</v>
      </c>
      <c r="I30" s="7">
        <v>45</v>
      </c>
      <c r="J30" s="7">
        <f t="shared" si="0"/>
        <v>91</v>
      </c>
      <c r="K30" s="8">
        <v>1409</v>
      </c>
      <c r="L30" s="53">
        <v>3</v>
      </c>
      <c r="M30" s="53" t="s">
        <v>50</v>
      </c>
      <c r="N30" s="9">
        <f t="shared" si="1"/>
        <v>93.933333333333337</v>
      </c>
      <c r="O30" s="7">
        <f t="shared" si="2"/>
        <v>1500</v>
      </c>
      <c r="P30" s="7">
        <f t="shared" si="3"/>
        <v>0</v>
      </c>
      <c r="Q30" s="1"/>
    </row>
    <row r="31" spans="1:17" ht="14.45" customHeight="1">
      <c r="A31" s="185">
        <v>46055</v>
      </c>
      <c r="B31" s="6" t="s">
        <v>62</v>
      </c>
      <c r="C31" s="7" t="s">
        <v>20</v>
      </c>
      <c r="D31" s="6" t="s">
        <v>67</v>
      </c>
      <c r="E31" s="7">
        <v>6000</v>
      </c>
      <c r="F31" s="7">
        <v>138</v>
      </c>
      <c r="G31" s="7">
        <v>83</v>
      </c>
      <c r="H31" s="7">
        <v>16</v>
      </c>
      <c r="I31" s="7">
        <v>172</v>
      </c>
      <c r="J31" s="7">
        <f t="shared" si="0"/>
        <v>409</v>
      </c>
      <c r="K31" s="8">
        <v>5591</v>
      </c>
      <c r="L31" s="53">
        <v>9</v>
      </c>
      <c r="M31" s="53" t="s">
        <v>49</v>
      </c>
      <c r="N31" s="9">
        <f t="shared" si="1"/>
        <v>93.183333333333323</v>
      </c>
      <c r="O31" s="7">
        <f t="shared" si="2"/>
        <v>6000</v>
      </c>
      <c r="P31" s="7">
        <f t="shared" si="3"/>
        <v>0</v>
      </c>
      <c r="Q31" s="1"/>
    </row>
    <row r="32" spans="1:17" ht="14.45" customHeight="1">
      <c r="A32" s="186">
        <v>46055</v>
      </c>
      <c r="B32" s="180" t="s">
        <v>62</v>
      </c>
      <c r="C32" s="7" t="s">
        <v>20</v>
      </c>
      <c r="D32" s="180" t="s">
        <v>67</v>
      </c>
      <c r="E32" s="7">
        <v>5000</v>
      </c>
      <c r="F32" s="7">
        <v>96</v>
      </c>
      <c r="G32" s="7">
        <v>79</v>
      </c>
      <c r="H32" s="7">
        <v>15</v>
      </c>
      <c r="I32" s="7">
        <v>124</v>
      </c>
      <c r="J32" s="7">
        <f t="shared" si="0"/>
        <v>314</v>
      </c>
      <c r="K32" s="8">
        <v>4686</v>
      </c>
      <c r="L32" s="53">
        <v>9</v>
      </c>
      <c r="M32" s="7" t="s">
        <v>50</v>
      </c>
      <c r="N32" s="9">
        <f t="shared" si="1"/>
        <v>93.72</v>
      </c>
      <c r="O32" s="7">
        <f t="shared" si="2"/>
        <v>5000</v>
      </c>
      <c r="P32" s="7">
        <f t="shared" si="3"/>
        <v>0</v>
      </c>
      <c r="Q32" s="1"/>
    </row>
    <row r="33" spans="1:17" ht="15">
      <c r="A33" s="185">
        <v>46057</v>
      </c>
      <c r="B33" s="6" t="s">
        <v>62</v>
      </c>
      <c r="C33" s="7" t="s">
        <v>20</v>
      </c>
      <c r="D33" s="6" t="s">
        <v>67</v>
      </c>
      <c r="E33" s="7">
        <v>3850</v>
      </c>
      <c r="F33" s="7">
        <v>85</v>
      </c>
      <c r="G33" s="7">
        <v>53</v>
      </c>
      <c r="H33" s="7">
        <v>7</v>
      </c>
      <c r="I33" s="7">
        <v>96</v>
      </c>
      <c r="J33" s="7">
        <f t="shared" si="0"/>
        <v>241</v>
      </c>
      <c r="K33" s="8">
        <v>3609</v>
      </c>
      <c r="L33" s="53">
        <v>9</v>
      </c>
      <c r="M33" s="7" t="s">
        <v>49</v>
      </c>
      <c r="N33" s="9">
        <f t="shared" si="1"/>
        <v>93.740259740259731</v>
      </c>
      <c r="O33" s="7">
        <f t="shared" si="2"/>
        <v>3850</v>
      </c>
      <c r="P33" s="7">
        <f t="shared" si="3"/>
        <v>0</v>
      </c>
      <c r="Q33" s="1"/>
    </row>
    <row r="34" spans="1:17" ht="14.45" customHeight="1">
      <c r="A34" s="186">
        <v>46057</v>
      </c>
      <c r="B34" s="180" t="s">
        <v>62</v>
      </c>
      <c r="C34" s="7" t="s">
        <v>20</v>
      </c>
      <c r="D34" s="180" t="s">
        <v>67</v>
      </c>
      <c r="E34" s="7">
        <v>6400</v>
      </c>
      <c r="F34" s="7">
        <v>105</v>
      </c>
      <c r="G34" s="7">
        <v>89</v>
      </c>
      <c r="H34" s="7">
        <v>24</v>
      </c>
      <c r="I34" s="7">
        <v>222</v>
      </c>
      <c r="J34" s="7">
        <f t="shared" si="0"/>
        <v>440</v>
      </c>
      <c r="K34" s="8">
        <v>5960</v>
      </c>
      <c r="L34" s="53">
        <v>9</v>
      </c>
      <c r="M34" s="7" t="s">
        <v>50</v>
      </c>
      <c r="N34" s="9">
        <f t="shared" si="1"/>
        <v>93.125</v>
      </c>
      <c r="O34" s="7">
        <f t="shared" si="2"/>
        <v>6400</v>
      </c>
      <c r="P34" s="7">
        <f t="shared" si="3"/>
        <v>0</v>
      </c>
      <c r="Q34" s="1"/>
    </row>
    <row r="35" spans="1:17" ht="15">
      <c r="A35" s="187">
        <v>46058</v>
      </c>
      <c r="B35" s="7" t="s">
        <v>62</v>
      </c>
      <c r="C35" s="7" t="s">
        <v>20</v>
      </c>
      <c r="D35" s="7" t="s">
        <v>68</v>
      </c>
      <c r="E35" s="7">
        <v>2650</v>
      </c>
      <c r="F35" s="7">
        <v>56</v>
      </c>
      <c r="G35" s="7">
        <v>42</v>
      </c>
      <c r="H35" s="7">
        <v>6</v>
      </c>
      <c r="I35" s="7">
        <v>96</v>
      </c>
      <c r="J35" s="7">
        <f t="shared" si="0"/>
        <v>200</v>
      </c>
      <c r="K35" s="8">
        <v>2450</v>
      </c>
      <c r="L35" s="53">
        <v>5</v>
      </c>
      <c r="M35" s="7" t="s">
        <v>49</v>
      </c>
      <c r="N35" s="9">
        <f t="shared" si="1"/>
        <v>92.452830188679243</v>
      </c>
      <c r="O35" s="7">
        <f t="shared" si="2"/>
        <v>2650</v>
      </c>
      <c r="P35" s="7">
        <f t="shared" si="3"/>
        <v>0</v>
      </c>
      <c r="Q35" s="1"/>
    </row>
    <row r="36" spans="1:17" ht="15">
      <c r="A36" s="187">
        <v>46059</v>
      </c>
      <c r="B36" s="7" t="s">
        <v>62</v>
      </c>
      <c r="C36" s="7" t="s">
        <v>20</v>
      </c>
      <c r="D36" s="7" t="s">
        <v>68</v>
      </c>
      <c r="E36" s="7">
        <v>5460</v>
      </c>
      <c r="F36" s="7">
        <v>90</v>
      </c>
      <c r="G36" s="7">
        <v>60</v>
      </c>
      <c r="H36" s="7">
        <v>9</v>
      </c>
      <c r="I36" s="7">
        <v>181</v>
      </c>
      <c r="J36" s="7">
        <f t="shared" si="0"/>
        <v>340</v>
      </c>
      <c r="K36" s="8">
        <v>5120</v>
      </c>
      <c r="L36" s="53">
        <v>9</v>
      </c>
      <c r="M36" s="7" t="s">
        <v>49</v>
      </c>
      <c r="N36" s="9">
        <f t="shared" si="1"/>
        <v>93.772893772893767</v>
      </c>
      <c r="O36" s="7">
        <f t="shared" si="2"/>
        <v>5460</v>
      </c>
      <c r="P36" s="7">
        <f t="shared" si="3"/>
        <v>0</v>
      </c>
      <c r="Q36" s="1"/>
    </row>
    <row r="37" spans="1:17" ht="14.45" customHeight="1">
      <c r="A37" s="185">
        <v>46062</v>
      </c>
      <c r="B37" s="7" t="s">
        <v>62</v>
      </c>
      <c r="C37" s="7" t="s">
        <v>20</v>
      </c>
      <c r="D37" s="7" t="s">
        <v>68</v>
      </c>
      <c r="E37" s="7">
        <v>8000</v>
      </c>
      <c r="F37" s="7">
        <v>165</v>
      </c>
      <c r="G37" s="7">
        <v>128</v>
      </c>
      <c r="H37" s="7">
        <v>12</v>
      </c>
      <c r="I37" s="7">
        <v>210</v>
      </c>
      <c r="J37" s="7">
        <f t="shared" si="0"/>
        <v>515</v>
      </c>
      <c r="K37" s="8">
        <v>7485</v>
      </c>
      <c r="L37" s="53">
        <v>9</v>
      </c>
      <c r="M37" s="7" t="s">
        <v>49</v>
      </c>
      <c r="N37" s="9">
        <f t="shared" si="1"/>
        <v>93.5625</v>
      </c>
      <c r="O37" s="7">
        <f t="shared" si="2"/>
        <v>8000</v>
      </c>
      <c r="P37" s="7">
        <f t="shared" si="3"/>
        <v>0</v>
      </c>
      <c r="Q37" s="1"/>
    </row>
    <row r="38" spans="1:17" ht="14.45" customHeight="1">
      <c r="A38" s="186">
        <v>46062</v>
      </c>
      <c r="B38" s="7" t="s">
        <v>64</v>
      </c>
      <c r="C38" s="7" t="s">
        <v>20</v>
      </c>
      <c r="D38" s="7" t="s">
        <v>65</v>
      </c>
      <c r="E38" s="7">
        <v>1000</v>
      </c>
      <c r="F38" s="7">
        <v>7</v>
      </c>
      <c r="G38" s="7">
        <v>7</v>
      </c>
      <c r="H38" s="7">
        <v>4</v>
      </c>
      <c r="I38" s="7">
        <v>42</v>
      </c>
      <c r="J38" s="7">
        <f t="shared" si="0"/>
        <v>60</v>
      </c>
      <c r="K38" s="8">
        <v>940</v>
      </c>
      <c r="L38" s="53">
        <v>2</v>
      </c>
      <c r="M38" s="7" t="s">
        <v>50</v>
      </c>
      <c r="N38" s="9">
        <f t="shared" si="1"/>
        <v>94</v>
      </c>
      <c r="O38" s="7">
        <f t="shared" si="2"/>
        <v>1000</v>
      </c>
      <c r="P38" s="7">
        <f t="shared" si="3"/>
        <v>0</v>
      </c>
      <c r="Q38" s="1"/>
    </row>
    <row r="39" spans="1:17" ht="15">
      <c r="A39" s="187">
        <v>46065</v>
      </c>
      <c r="B39" s="7" t="s">
        <v>62</v>
      </c>
      <c r="C39" s="7" t="s">
        <v>20</v>
      </c>
      <c r="D39" s="7" t="s">
        <v>68</v>
      </c>
      <c r="E39" s="7">
        <v>5300</v>
      </c>
      <c r="F39" s="7">
        <v>89</v>
      </c>
      <c r="G39" s="7">
        <v>81</v>
      </c>
      <c r="H39" s="7">
        <v>11</v>
      </c>
      <c r="I39" s="7">
        <v>159</v>
      </c>
      <c r="J39" s="7">
        <f t="shared" si="0"/>
        <v>340</v>
      </c>
      <c r="K39" s="8">
        <v>4960</v>
      </c>
      <c r="L39" s="53">
        <v>9</v>
      </c>
      <c r="M39" s="7" t="s">
        <v>50</v>
      </c>
      <c r="N39" s="9">
        <f t="shared" si="1"/>
        <v>93.584905660377359</v>
      </c>
      <c r="O39" s="7">
        <f t="shared" si="2"/>
        <v>5300</v>
      </c>
      <c r="P39" s="7">
        <f t="shared" si="3"/>
        <v>0</v>
      </c>
      <c r="Q39" s="1"/>
    </row>
    <row r="40" spans="1:17" ht="15">
      <c r="A40" s="187">
        <v>46066</v>
      </c>
      <c r="B40" s="7" t="s">
        <v>62</v>
      </c>
      <c r="C40" s="7" t="s">
        <v>20</v>
      </c>
      <c r="D40" s="7" t="s">
        <v>68</v>
      </c>
      <c r="E40" s="7">
        <v>7000</v>
      </c>
      <c r="F40" s="7">
        <v>62</v>
      </c>
      <c r="G40" s="7">
        <v>135</v>
      </c>
      <c r="H40" s="7">
        <v>11.5</v>
      </c>
      <c r="I40" s="7">
        <v>181.5</v>
      </c>
      <c r="J40" s="7">
        <f t="shared" si="0"/>
        <v>390</v>
      </c>
      <c r="K40" s="8">
        <v>6610</v>
      </c>
      <c r="L40" s="53">
        <v>9</v>
      </c>
      <c r="M40" s="7" t="s">
        <v>49</v>
      </c>
      <c r="N40" s="9">
        <f t="shared" si="1"/>
        <v>94.428571428571431</v>
      </c>
      <c r="O40" s="7">
        <f t="shared" si="2"/>
        <v>7000</v>
      </c>
      <c r="P40" s="7">
        <f t="shared" si="3"/>
        <v>0</v>
      </c>
      <c r="Q40" s="1"/>
    </row>
    <row r="41" spans="1:17" ht="15">
      <c r="A41" s="187">
        <v>46067</v>
      </c>
      <c r="B41" s="7" t="s">
        <v>62</v>
      </c>
      <c r="C41" s="7" t="s">
        <v>20</v>
      </c>
      <c r="D41" s="7" t="s">
        <v>68</v>
      </c>
      <c r="E41" s="7">
        <v>7000</v>
      </c>
      <c r="F41" s="7">
        <v>80</v>
      </c>
      <c r="G41" s="7">
        <v>115</v>
      </c>
      <c r="H41" s="7">
        <v>9</v>
      </c>
      <c r="I41" s="7">
        <v>236</v>
      </c>
      <c r="J41" s="7">
        <f t="shared" si="0"/>
        <v>440</v>
      </c>
      <c r="K41" s="15">
        <v>6560</v>
      </c>
      <c r="L41" s="53">
        <v>9</v>
      </c>
      <c r="M41" s="7" t="s">
        <v>49</v>
      </c>
      <c r="N41" s="9">
        <f t="shared" si="1"/>
        <v>93.714285714285722</v>
      </c>
      <c r="O41" s="7">
        <f t="shared" si="2"/>
        <v>7000</v>
      </c>
      <c r="P41" s="7">
        <f t="shared" si="3"/>
        <v>0</v>
      </c>
      <c r="Q41" s="1"/>
    </row>
    <row r="42" spans="1:17" ht="14.45" customHeight="1">
      <c r="A42" s="185">
        <v>46070</v>
      </c>
      <c r="B42" s="7" t="s">
        <v>62</v>
      </c>
      <c r="C42" s="7" t="s">
        <v>20</v>
      </c>
      <c r="D42" s="7" t="s">
        <v>68</v>
      </c>
      <c r="E42" s="7">
        <v>1350</v>
      </c>
      <c r="F42" s="7">
        <v>18</v>
      </c>
      <c r="G42" s="7">
        <v>32</v>
      </c>
      <c r="H42" s="7">
        <v>6</v>
      </c>
      <c r="I42" s="7">
        <v>24</v>
      </c>
      <c r="J42" s="7">
        <f t="shared" si="0"/>
        <v>80</v>
      </c>
      <c r="K42" s="56">
        <v>1270</v>
      </c>
      <c r="L42" s="53">
        <v>4</v>
      </c>
      <c r="M42" s="7" t="s">
        <v>53</v>
      </c>
      <c r="N42" s="9">
        <f t="shared" si="1"/>
        <v>94.074074074074076</v>
      </c>
      <c r="O42" s="7">
        <f t="shared" si="2"/>
        <v>1350</v>
      </c>
      <c r="P42" s="7">
        <f t="shared" si="3"/>
        <v>0</v>
      </c>
      <c r="Q42" s="1"/>
    </row>
    <row r="43" spans="1:17" ht="14.45" customHeight="1">
      <c r="A43" s="186">
        <v>46070</v>
      </c>
      <c r="B43" s="7" t="s">
        <v>62</v>
      </c>
      <c r="C43" s="7" t="s">
        <v>20</v>
      </c>
      <c r="D43" s="7" t="s">
        <v>68</v>
      </c>
      <c r="E43" s="7">
        <v>3143.36</v>
      </c>
      <c r="F43" s="7">
        <v>40</v>
      </c>
      <c r="G43" s="7">
        <v>32</v>
      </c>
      <c r="H43" s="7">
        <v>5</v>
      </c>
      <c r="I43" s="7">
        <v>116.36</v>
      </c>
      <c r="J43" s="7">
        <f t="shared" si="0"/>
        <v>193.36</v>
      </c>
      <c r="K43" s="56">
        <v>2950</v>
      </c>
      <c r="L43" s="53">
        <v>9</v>
      </c>
      <c r="M43" s="7" t="s">
        <v>50</v>
      </c>
      <c r="N43" s="9">
        <f t="shared" si="1"/>
        <v>93.848620584342868</v>
      </c>
      <c r="O43" s="7">
        <f t="shared" si="2"/>
        <v>3143.36</v>
      </c>
      <c r="P43" s="7">
        <f t="shared" si="3"/>
        <v>0</v>
      </c>
      <c r="Q43" s="1"/>
    </row>
    <row r="44" spans="1:17" ht="15">
      <c r="A44" s="187">
        <v>46072</v>
      </c>
      <c r="B44" s="7" t="s">
        <v>62</v>
      </c>
      <c r="C44" s="7" t="s">
        <v>20</v>
      </c>
      <c r="D44" s="7" t="s">
        <v>68</v>
      </c>
      <c r="E44" s="7">
        <v>1100</v>
      </c>
      <c r="F44" s="7">
        <v>10</v>
      </c>
      <c r="G44" s="7">
        <v>44</v>
      </c>
      <c r="H44" s="7">
        <v>2</v>
      </c>
      <c r="I44" s="7">
        <v>4</v>
      </c>
      <c r="J44" s="7">
        <f t="shared" si="0"/>
        <v>60</v>
      </c>
      <c r="K44" s="54">
        <v>1040</v>
      </c>
      <c r="L44" s="7">
        <v>4</v>
      </c>
      <c r="M44" s="7" t="s">
        <v>50</v>
      </c>
      <c r="N44" s="9">
        <f t="shared" si="1"/>
        <v>94.545454545454547</v>
      </c>
      <c r="O44" s="7">
        <f t="shared" si="2"/>
        <v>1100</v>
      </c>
      <c r="P44" s="7">
        <f t="shared" si="3"/>
        <v>0</v>
      </c>
      <c r="Q44" s="1"/>
    </row>
    <row r="45" spans="1:17" ht="15">
      <c r="A45" s="187">
        <v>46073</v>
      </c>
      <c r="B45" s="7" t="s">
        <v>62</v>
      </c>
      <c r="C45" s="7" t="s">
        <v>20</v>
      </c>
      <c r="D45" s="7" t="s">
        <v>68</v>
      </c>
      <c r="E45" s="7">
        <v>5100</v>
      </c>
      <c r="F45" s="7">
        <v>50</v>
      </c>
      <c r="G45" s="7">
        <v>183</v>
      </c>
      <c r="H45" s="7">
        <v>6</v>
      </c>
      <c r="I45" s="7">
        <v>101</v>
      </c>
      <c r="J45" s="7">
        <f t="shared" si="0"/>
        <v>340</v>
      </c>
      <c r="K45" s="57">
        <v>4760</v>
      </c>
      <c r="L45" s="7">
        <v>9</v>
      </c>
      <c r="M45" s="7" t="s">
        <v>69</v>
      </c>
      <c r="N45" s="9">
        <f t="shared" si="1"/>
        <v>93.333333333333329</v>
      </c>
      <c r="O45" s="7">
        <f t="shared" si="2"/>
        <v>5100</v>
      </c>
      <c r="P45" s="7">
        <f t="shared" si="3"/>
        <v>0</v>
      </c>
      <c r="Q45" s="1"/>
    </row>
    <row r="46" spans="1:17" ht="15">
      <c r="A46" s="187">
        <v>46074</v>
      </c>
      <c r="B46" s="7" t="s">
        <v>62</v>
      </c>
      <c r="C46" s="7" t="s">
        <v>20</v>
      </c>
      <c r="D46" s="7" t="s">
        <v>68</v>
      </c>
      <c r="E46" s="7">
        <v>7173.92</v>
      </c>
      <c r="F46" s="7">
        <v>87</v>
      </c>
      <c r="G46" s="7">
        <v>215.22</v>
      </c>
      <c r="H46" s="7">
        <v>10</v>
      </c>
      <c r="I46" s="7">
        <v>261.7</v>
      </c>
      <c r="J46" s="7">
        <f t="shared" si="0"/>
        <v>573.92000000000007</v>
      </c>
      <c r="K46" s="58">
        <v>6600</v>
      </c>
      <c r="L46" s="7">
        <v>9</v>
      </c>
      <c r="M46" s="7" t="s">
        <v>49</v>
      </c>
      <c r="N46" s="9">
        <f t="shared" si="1"/>
        <v>91.999910787965305</v>
      </c>
      <c r="O46" s="7">
        <f t="shared" si="2"/>
        <v>7173.92</v>
      </c>
      <c r="P46" s="7">
        <f t="shared" si="3"/>
        <v>0</v>
      </c>
      <c r="Q46" s="1"/>
    </row>
    <row r="47" spans="1:17" ht="15">
      <c r="A47" s="187">
        <v>46075</v>
      </c>
      <c r="B47" s="7" t="s">
        <v>62</v>
      </c>
      <c r="C47" s="7" t="s">
        <v>20</v>
      </c>
      <c r="D47" s="7" t="s">
        <v>68</v>
      </c>
      <c r="E47" s="7">
        <v>5550</v>
      </c>
      <c r="F47" s="7">
        <v>40</v>
      </c>
      <c r="G47" s="7">
        <v>95</v>
      </c>
      <c r="H47" s="7">
        <v>10</v>
      </c>
      <c r="I47" s="7">
        <v>205</v>
      </c>
      <c r="J47" s="7">
        <f t="shared" si="0"/>
        <v>350</v>
      </c>
      <c r="K47" s="13">
        <v>5200</v>
      </c>
      <c r="L47" s="7">
        <v>9</v>
      </c>
      <c r="M47" s="7" t="s">
        <v>49</v>
      </c>
      <c r="N47" s="9">
        <f t="shared" si="1"/>
        <v>93.693693693693689</v>
      </c>
      <c r="O47" s="7">
        <f t="shared" si="2"/>
        <v>5550</v>
      </c>
      <c r="P47" s="7">
        <f t="shared" si="3"/>
        <v>0</v>
      </c>
      <c r="Q47" s="1"/>
    </row>
    <row r="48" spans="1:17" ht="15">
      <c r="A48" s="187">
        <v>46077</v>
      </c>
      <c r="B48" s="7" t="s">
        <v>62</v>
      </c>
      <c r="C48" s="7" t="s">
        <v>20</v>
      </c>
      <c r="D48" s="7" t="s">
        <v>48</v>
      </c>
      <c r="E48" s="7">
        <v>500</v>
      </c>
      <c r="F48" s="7">
        <v>1</v>
      </c>
      <c r="G48" s="7">
        <v>15</v>
      </c>
      <c r="H48" s="7">
        <v>4.7</v>
      </c>
      <c r="I48" s="7">
        <v>42.3</v>
      </c>
      <c r="J48" s="7">
        <f t="shared" si="0"/>
        <v>63</v>
      </c>
      <c r="K48" s="10">
        <v>437</v>
      </c>
      <c r="L48" s="7">
        <v>3</v>
      </c>
      <c r="M48" s="7" t="s">
        <v>49</v>
      </c>
      <c r="N48" s="9">
        <f t="shared" si="1"/>
        <v>87.4</v>
      </c>
      <c r="O48" s="7">
        <f t="shared" si="2"/>
        <v>500</v>
      </c>
      <c r="P48" s="7">
        <f t="shared" si="3"/>
        <v>0</v>
      </c>
      <c r="Q48" s="1"/>
    </row>
    <row r="49" spans="1:17" ht="15">
      <c r="A49" s="187">
        <v>46078</v>
      </c>
      <c r="B49" s="7" t="s">
        <v>62</v>
      </c>
      <c r="C49" s="7" t="s">
        <v>20</v>
      </c>
      <c r="D49" s="7" t="s">
        <v>48</v>
      </c>
      <c r="E49" s="7">
        <v>3000</v>
      </c>
      <c r="F49" s="7">
        <v>3.2</v>
      </c>
      <c r="G49" s="7">
        <v>50</v>
      </c>
      <c r="H49" s="7">
        <v>8</v>
      </c>
      <c r="I49" s="7">
        <v>62.8</v>
      </c>
      <c r="J49" s="7">
        <f t="shared" si="0"/>
        <v>124</v>
      </c>
      <c r="K49" s="10">
        <v>2876</v>
      </c>
      <c r="L49" s="7">
        <v>9</v>
      </c>
      <c r="M49" s="7" t="s">
        <v>49</v>
      </c>
      <c r="N49" s="9">
        <f t="shared" si="1"/>
        <v>95.86666666666666</v>
      </c>
      <c r="O49" s="7">
        <f t="shared" si="2"/>
        <v>3000</v>
      </c>
      <c r="P49" s="7">
        <f t="shared" si="3"/>
        <v>0</v>
      </c>
      <c r="Q49" s="1"/>
    </row>
    <row r="50" spans="1:17" ht="15">
      <c r="A50" s="187">
        <v>46080</v>
      </c>
      <c r="B50" s="7" t="s">
        <v>62</v>
      </c>
      <c r="C50" s="7" t="s">
        <v>20</v>
      </c>
      <c r="D50" s="7" t="s">
        <v>48</v>
      </c>
      <c r="E50" s="7">
        <v>4400</v>
      </c>
      <c r="F50" s="7">
        <v>3.9</v>
      </c>
      <c r="G50" s="7">
        <v>69</v>
      </c>
      <c r="H50" s="7">
        <v>14</v>
      </c>
      <c r="I50" s="7">
        <v>128.1</v>
      </c>
      <c r="J50" s="7">
        <f t="shared" si="0"/>
        <v>215</v>
      </c>
      <c r="K50" s="10">
        <v>4185</v>
      </c>
      <c r="L50" s="7">
        <v>9</v>
      </c>
      <c r="M50" s="7" t="s">
        <v>49</v>
      </c>
      <c r="N50" s="9">
        <f t="shared" si="1"/>
        <v>95.113636363636374</v>
      </c>
      <c r="O50" s="7">
        <f t="shared" si="2"/>
        <v>4400</v>
      </c>
      <c r="P50" s="7">
        <f t="shared" si="3"/>
        <v>0</v>
      </c>
      <c r="Q50" s="1"/>
    </row>
    <row r="51" spans="1:17" ht="15">
      <c r="A51" s="187">
        <v>46081</v>
      </c>
      <c r="B51" s="7" t="s">
        <v>62</v>
      </c>
      <c r="C51" s="7" t="s">
        <v>20</v>
      </c>
      <c r="D51" s="7" t="s">
        <v>48</v>
      </c>
      <c r="E51" s="7">
        <v>5100</v>
      </c>
      <c r="F51" s="7">
        <v>2.4</v>
      </c>
      <c r="G51" s="7">
        <v>80</v>
      </c>
      <c r="H51" s="7">
        <v>13</v>
      </c>
      <c r="I51" s="7">
        <v>130.6</v>
      </c>
      <c r="J51" s="7">
        <f t="shared" si="0"/>
        <v>226</v>
      </c>
      <c r="K51" s="10">
        <v>4874</v>
      </c>
      <c r="L51" s="7">
        <v>9</v>
      </c>
      <c r="M51" s="7" t="s">
        <v>50</v>
      </c>
      <c r="N51" s="9">
        <f t="shared" si="1"/>
        <v>95.568627450980387</v>
      </c>
      <c r="O51" s="7">
        <f t="shared" si="2"/>
        <v>5100</v>
      </c>
      <c r="P51" s="7">
        <f t="shared" si="3"/>
        <v>0</v>
      </c>
      <c r="Q51" s="1"/>
    </row>
    <row r="52" spans="1:17" ht="15">
      <c r="A52" s="187">
        <v>46025</v>
      </c>
      <c r="B52" s="7" t="s">
        <v>62</v>
      </c>
      <c r="C52" s="7" t="s">
        <v>20</v>
      </c>
      <c r="D52" s="7" t="s">
        <v>48</v>
      </c>
      <c r="E52" s="7">
        <v>5100</v>
      </c>
      <c r="F52" s="7">
        <v>3.8</v>
      </c>
      <c r="G52" s="7">
        <v>72</v>
      </c>
      <c r="H52" s="7">
        <v>15</v>
      </c>
      <c r="I52" s="7">
        <v>149.19999999999999</v>
      </c>
      <c r="J52" s="7">
        <f t="shared" si="0"/>
        <v>240</v>
      </c>
      <c r="K52" s="54">
        <v>4860</v>
      </c>
      <c r="L52" s="7">
        <v>9</v>
      </c>
      <c r="M52" s="7" t="s">
        <v>49</v>
      </c>
      <c r="N52" s="9">
        <f t="shared" si="1"/>
        <v>95.294117647058812</v>
      </c>
      <c r="O52" s="7">
        <f t="shared" si="2"/>
        <v>5100</v>
      </c>
      <c r="P52" s="7">
        <f t="shared" si="3"/>
        <v>0</v>
      </c>
      <c r="Q52" s="1"/>
    </row>
    <row r="53" spans="1:17" ht="15">
      <c r="A53" s="187">
        <v>46056</v>
      </c>
      <c r="B53" s="7" t="s">
        <v>62</v>
      </c>
      <c r="C53" s="7" t="s">
        <v>20</v>
      </c>
      <c r="D53" s="7" t="s">
        <v>48</v>
      </c>
      <c r="E53" s="7">
        <v>3050</v>
      </c>
      <c r="F53" s="7">
        <v>4.5999999999999996</v>
      </c>
      <c r="G53" s="7">
        <v>59</v>
      </c>
      <c r="H53" s="7">
        <v>6</v>
      </c>
      <c r="I53" s="7">
        <v>60.4</v>
      </c>
      <c r="J53" s="7">
        <f t="shared" si="0"/>
        <v>130</v>
      </c>
      <c r="K53" s="7">
        <v>2920</v>
      </c>
      <c r="L53" s="7">
        <v>5</v>
      </c>
      <c r="M53" s="7" t="s">
        <v>49</v>
      </c>
      <c r="N53" s="9">
        <f t="shared" si="1"/>
        <v>95.73770491803279</v>
      </c>
      <c r="O53" s="7">
        <f t="shared" si="2"/>
        <v>3050</v>
      </c>
      <c r="P53" s="7">
        <f t="shared" si="3"/>
        <v>0</v>
      </c>
      <c r="Q53" s="1"/>
    </row>
    <row r="54" spans="1:17" ht="15.6">
      <c r="A54" s="26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7"/>
      <c r="N54" s="27"/>
      <c r="O54" s="17"/>
      <c r="P54" s="38"/>
      <c r="Q54" s="39"/>
    </row>
    <row r="55" spans="1:17" ht="14.45">
      <c r="A55" s="26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7"/>
      <c r="N55" s="27"/>
      <c r="O55" s="17"/>
      <c r="P55" s="17"/>
      <c r="Q55" s="1"/>
    </row>
    <row r="56" spans="1:17" ht="14.45">
      <c r="A56" s="40"/>
      <c r="B56" s="41"/>
      <c r="C56" s="41"/>
      <c r="D56" s="41"/>
      <c r="E56" s="42"/>
      <c r="F56" s="42"/>
      <c r="G56" s="42"/>
      <c r="H56" s="42"/>
      <c r="I56" s="42"/>
      <c r="J56" s="41"/>
      <c r="K56" s="41"/>
      <c r="L56" s="41"/>
      <c r="M56" s="43"/>
      <c r="N56" s="44" t="e">
        <f>AVERAGE(#REF!)</f>
        <v>#REF!</v>
      </c>
      <c r="O56" s="45"/>
      <c r="P56" s="1"/>
      <c r="Q56" s="1"/>
    </row>
    <row r="57" spans="1:17" ht="14.45">
      <c r="A57" s="45"/>
      <c r="B57" s="45"/>
      <c r="C57" s="45"/>
      <c r="D57" s="45"/>
      <c r="E57" s="46"/>
      <c r="F57" s="46"/>
      <c r="G57" s="46"/>
      <c r="H57" s="46"/>
      <c r="I57" s="47" t="s">
        <v>57</v>
      </c>
      <c r="J57" s="48"/>
      <c r="K57" s="48"/>
      <c r="L57" s="48"/>
      <c r="M57" s="49"/>
      <c r="N57" s="44" t="s">
        <v>58</v>
      </c>
      <c r="O57" s="45"/>
      <c r="P57" s="1"/>
      <c r="Q57" s="1"/>
    </row>
    <row r="58" spans="1:17" ht="13.9">
      <c r="A58" s="45"/>
      <c r="B58" s="45"/>
      <c r="C58" s="45"/>
      <c r="D58" s="45"/>
      <c r="E58" s="46"/>
      <c r="F58" s="46"/>
      <c r="G58" s="46"/>
      <c r="H58" s="46"/>
      <c r="I58" s="272" t="s">
        <v>59</v>
      </c>
      <c r="J58" s="320"/>
      <c r="K58" s="273"/>
      <c r="L58" s="320"/>
      <c r="M58" s="50"/>
      <c r="N58" s="51"/>
      <c r="O58" s="45"/>
      <c r="P58" s="1"/>
      <c r="Q58" s="1"/>
    </row>
    <row r="59" spans="1:17" ht="13.9">
      <c r="A59" s="45"/>
      <c r="B59" s="45"/>
      <c r="C59" s="45"/>
      <c r="D59" s="45"/>
      <c r="E59" s="46"/>
      <c r="F59" s="46"/>
      <c r="G59" s="46"/>
      <c r="H59" s="46"/>
      <c r="I59" s="270" t="s">
        <v>60</v>
      </c>
      <c r="J59" s="322"/>
      <c r="K59" s="271"/>
      <c r="L59" s="322"/>
      <c r="M59" s="50"/>
      <c r="N59" s="51"/>
      <c r="O59" s="45"/>
      <c r="P59" s="1"/>
      <c r="Q59" s="1"/>
    </row>
  </sheetData>
  <mergeCells count="16">
    <mergeCell ref="M3:M4"/>
    <mergeCell ref="A1:N1"/>
    <mergeCell ref="A2:N2"/>
    <mergeCell ref="A3:A4"/>
    <mergeCell ref="B3:B4"/>
    <mergeCell ref="C3:C4"/>
    <mergeCell ref="D3:D4"/>
    <mergeCell ref="E3:E4"/>
    <mergeCell ref="N3:N4"/>
    <mergeCell ref="I59:J59"/>
    <mergeCell ref="K59:L59"/>
    <mergeCell ref="J3:J4"/>
    <mergeCell ref="K3:K4"/>
    <mergeCell ref="I58:J58"/>
    <mergeCell ref="K58:L58"/>
    <mergeCell ref="L3:L4"/>
  </mergeCells>
  <pageMargins left="0" right="0" top="0" bottom="0" header="0" footer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61"/>
  <sheetViews>
    <sheetView workbookViewId="0">
      <pane ySplit="3" topLeftCell="A4" activePane="bottomLeft" state="frozen"/>
      <selection pane="bottomLeft" activeCell="E49" sqref="E49"/>
    </sheetView>
  </sheetViews>
  <sheetFormatPr defaultColWidth="12.5703125" defaultRowHeight="15.75" customHeight="1"/>
  <sheetData>
    <row r="1" spans="1:16" ht="13.15">
      <c r="A1" s="266" t="s">
        <v>40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  <c r="O1" s="1"/>
      <c r="P1" s="1"/>
    </row>
    <row r="2" spans="1:16" ht="36">
      <c r="A2" s="264" t="s">
        <v>25</v>
      </c>
      <c r="B2" s="267" t="s">
        <v>26</v>
      </c>
      <c r="C2" s="267" t="s">
        <v>27</v>
      </c>
      <c r="D2" s="267" t="s">
        <v>22</v>
      </c>
      <c r="E2" s="268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267" t="s">
        <v>33</v>
      </c>
      <c r="K2" s="268" t="s">
        <v>34</v>
      </c>
      <c r="L2" s="267" t="s">
        <v>35</v>
      </c>
      <c r="M2" s="264" t="s">
        <v>41</v>
      </c>
      <c r="N2" s="269" t="s">
        <v>37</v>
      </c>
      <c r="O2" s="1"/>
      <c r="P2" s="1"/>
    </row>
    <row r="3" spans="1:16" ht="36">
      <c r="A3" s="321"/>
      <c r="B3" s="321"/>
      <c r="C3" s="321"/>
      <c r="D3" s="321"/>
      <c r="E3" s="321"/>
      <c r="F3" s="5" t="s">
        <v>42</v>
      </c>
      <c r="G3" s="5" t="s">
        <v>43</v>
      </c>
      <c r="H3" s="5" t="s">
        <v>44</v>
      </c>
      <c r="I3" s="5" t="s">
        <v>32</v>
      </c>
      <c r="J3" s="321"/>
      <c r="K3" s="321"/>
      <c r="L3" s="321"/>
      <c r="M3" s="321"/>
      <c r="N3" s="321"/>
      <c r="O3" s="1"/>
      <c r="P3" s="1"/>
    </row>
    <row r="4" spans="1:16" ht="15">
      <c r="A4" s="191">
        <v>46078</v>
      </c>
      <c r="B4" s="23" t="s">
        <v>70</v>
      </c>
      <c r="C4" s="23" t="s">
        <v>20</v>
      </c>
      <c r="D4" s="23" t="s">
        <v>65</v>
      </c>
      <c r="E4" s="23">
        <v>650</v>
      </c>
      <c r="F4" s="7">
        <v>0</v>
      </c>
      <c r="G4" s="7">
        <v>0</v>
      </c>
      <c r="H4" s="7">
        <v>0</v>
      </c>
      <c r="I4" s="7">
        <v>40</v>
      </c>
      <c r="J4" s="23">
        <v>40</v>
      </c>
      <c r="K4" s="8">
        <v>610</v>
      </c>
      <c r="L4" s="23">
        <v>4</v>
      </c>
      <c r="M4" s="7"/>
      <c r="N4" s="27">
        <f t="shared" ref="N4:N39" si="0">K4/E4*100</f>
        <v>93.84615384615384</v>
      </c>
      <c r="O4" s="7">
        <f t="shared" ref="O4:O39" si="1">K4+J4</f>
        <v>650</v>
      </c>
      <c r="P4" s="7">
        <f t="shared" ref="P4:P39" si="2">E4-O4</f>
        <v>0</v>
      </c>
    </row>
    <row r="5" spans="1:16" ht="14.45" customHeight="1">
      <c r="A5" s="185">
        <v>46082</v>
      </c>
      <c r="B5" s="6" t="s">
        <v>55</v>
      </c>
      <c r="C5" s="6" t="s">
        <v>19</v>
      </c>
      <c r="D5" s="7" t="s">
        <v>48</v>
      </c>
      <c r="E5" s="23">
        <v>2100</v>
      </c>
      <c r="F5" s="7">
        <v>30</v>
      </c>
      <c r="G5" s="7">
        <v>25</v>
      </c>
      <c r="H5" s="7">
        <v>2</v>
      </c>
      <c r="I5" s="7">
        <v>133</v>
      </c>
      <c r="J5" s="23">
        <f t="shared" ref="J5:J21" si="3">I5+H5+G5+F5</f>
        <v>190</v>
      </c>
      <c r="K5" s="8">
        <v>1910</v>
      </c>
      <c r="L5" s="23">
        <v>4</v>
      </c>
      <c r="M5" s="7" t="s">
        <v>53</v>
      </c>
      <c r="N5" s="27">
        <f t="shared" si="0"/>
        <v>90.952380952380949</v>
      </c>
      <c r="O5" s="7">
        <f t="shared" si="1"/>
        <v>2100</v>
      </c>
      <c r="P5" s="7">
        <f t="shared" si="2"/>
        <v>0</v>
      </c>
    </row>
    <row r="6" spans="1:16" ht="14.45" customHeight="1">
      <c r="A6" s="186">
        <v>46082</v>
      </c>
      <c r="B6" s="180" t="s">
        <v>55</v>
      </c>
      <c r="C6" s="180" t="s">
        <v>19</v>
      </c>
      <c r="D6" s="7" t="s">
        <v>71</v>
      </c>
      <c r="E6" s="23">
        <v>1750</v>
      </c>
      <c r="F6" s="7">
        <v>28</v>
      </c>
      <c r="G6" s="7">
        <v>42</v>
      </c>
      <c r="H6" s="7">
        <v>2</v>
      </c>
      <c r="I6" s="7">
        <v>82.4</v>
      </c>
      <c r="J6" s="23">
        <f t="shared" si="3"/>
        <v>154.4</v>
      </c>
      <c r="K6" s="14">
        <f>1580+15.6</f>
        <v>1595.6</v>
      </c>
      <c r="L6" s="23">
        <v>4</v>
      </c>
      <c r="M6" s="7" t="s">
        <v>54</v>
      </c>
      <c r="N6" s="27">
        <f t="shared" si="0"/>
        <v>91.177142857142854</v>
      </c>
      <c r="O6" s="7">
        <f t="shared" si="1"/>
        <v>1750</v>
      </c>
      <c r="P6" s="7">
        <f t="shared" si="2"/>
        <v>0</v>
      </c>
    </row>
    <row r="7" spans="1:16" ht="15">
      <c r="A7" s="187">
        <v>46083</v>
      </c>
      <c r="B7" s="7" t="s">
        <v>55</v>
      </c>
      <c r="C7" s="7" t="s">
        <v>19</v>
      </c>
      <c r="D7" s="7" t="s">
        <v>46</v>
      </c>
      <c r="E7" s="23">
        <v>2400</v>
      </c>
      <c r="F7" s="7">
        <v>30</v>
      </c>
      <c r="G7" s="7">
        <v>56</v>
      </c>
      <c r="H7" s="7">
        <v>3</v>
      </c>
      <c r="I7" s="7">
        <v>132</v>
      </c>
      <c r="J7" s="23">
        <f t="shared" si="3"/>
        <v>221</v>
      </c>
      <c r="K7" s="8">
        <v>2240</v>
      </c>
      <c r="L7" s="23">
        <v>4</v>
      </c>
      <c r="M7" s="7" t="s">
        <v>53</v>
      </c>
      <c r="N7" s="27">
        <f t="shared" si="0"/>
        <v>93.333333333333329</v>
      </c>
      <c r="O7" s="7">
        <f t="shared" si="1"/>
        <v>2461</v>
      </c>
      <c r="P7" s="7">
        <f t="shared" si="2"/>
        <v>-61</v>
      </c>
    </row>
    <row r="8" spans="1:16" ht="14.45" customHeight="1">
      <c r="A8" s="190">
        <v>46085</v>
      </c>
      <c r="B8" s="22" t="s">
        <v>55</v>
      </c>
      <c r="C8" s="22" t="s">
        <v>19</v>
      </c>
      <c r="D8" s="7" t="s">
        <v>48</v>
      </c>
      <c r="E8" s="23">
        <v>2100</v>
      </c>
      <c r="F8" s="23">
        <v>31</v>
      </c>
      <c r="G8" s="23">
        <v>30</v>
      </c>
      <c r="H8" s="23">
        <v>2</v>
      </c>
      <c r="I8" s="23">
        <v>110</v>
      </c>
      <c r="J8" s="23">
        <f t="shared" si="3"/>
        <v>173</v>
      </c>
      <c r="K8" s="14">
        <v>1927</v>
      </c>
      <c r="L8" s="23">
        <v>4</v>
      </c>
      <c r="M8" s="7" t="s">
        <v>53</v>
      </c>
      <c r="N8" s="27">
        <f t="shared" si="0"/>
        <v>91.761904761904773</v>
      </c>
      <c r="O8" s="7">
        <f t="shared" si="1"/>
        <v>2100</v>
      </c>
      <c r="P8" s="7">
        <f t="shared" si="2"/>
        <v>0</v>
      </c>
    </row>
    <row r="9" spans="1:16" ht="15">
      <c r="A9" s="186">
        <v>46085</v>
      </c>
      <c r="B9" s="182" t="s">
        <v>55</v>
      </c>
      <c r="C9" s="182" t="s">
        <v>19</v>
      </c>
      <c r="D9" s="7" t="s">
        <v>48</v>
      </c>
      <c r="E9" s="23">
        <v>2900</v>
      </c>
      <c r="F9" s="23">
        <v>29</v>
      </c>
      <c r="G9" s="23">
        <v>40</v>
      </c>
      <c r="H9" s="23">
        <v>1</v>
      </c>
      <c r="I9" s="23">
        <v>120</v>
      </c>
      <c r="J9" s="23">
        <f t="shared" si="3"/>
        <v>190</v>
      </c>
      <c r="K9" s="14">
        <v>2660</v>
      </c>
      <c r="L9" s="23">
        <v>4</v>
      </c>
      <c r="M9" s="7" t="s">
        <v>54</v>
      </c>
      <c r="N9" s="27">
        <f t="shared" si="0"/>
        <v>91.724137931034477</v>
      </c>
      <c r="O9" s="7">
        <f t="shared" si="1"/>
        <v>2850</v>
      </c>
      <c r="P9" s="7">
        <f t="shared" si="2"/>
        <v>50</v>
      </c>
    </row>
    <row r="10" spans="1:16" ht="14.45" customHeight="1">
      <c r="A10" s="185">
        <v>46086</v>
      </c>
      <c r="B10" s="6" t="s">
        <v>55</v>
      </c>
      <c r="C10" s="6" t="s">
        <v>19</v>
      </c>
      <c r="D10" s="7" t="s">
        <v>48</v>
      </c>
      <c r="E10" s="7">
        <v>1750</v>
      </c>
      <c r="F10" s="7">
        <v>30</v>
      </c>
      <c r="G10" s="7">
        <v>14</v>
      </c>
      <c r="H10" s="7">
        <v>1</v>
      </c>
      <c r="I10" s="7">
        <v>105</v>
      </c>
      <c r="J10" s="23">
        <f t="shared" si="3"/>
        <v>150</v>
      </c>
      <c r="K10" s="14">
        <v>1605</v>
      </c>
      <c r="L10" s="7">
        <v>4</v>
      </c>
      <c r="M10" s="7" t="s">
        <v>53</v>
      </c>
      <c r="N10" s="27">
        <f t="shared" si="0"/>
        <v>91.714285714285708</v>
      </c>
      <c r="O10" s="7">
        <f t="shared" si="1"/>
        <v>1755</v>
      </c>
      <c r="P10" s="7">
        <f t="shared" si="2"/>
        <v>-5</v>
      </c>
    </row>
    <row r="11" spans="1:16" ht="15">
      <c r="A11" s="186">
        <v>46086</v>
      </c>
      <c r="B11" s="180" t="s">
        <v>55</v>
      </c>
      <c r="C11" s="180" t="s">
        <v>19</v>
      </c>
      <c r="D11" s="7" t="s">
        <v>48</v>
      </c>
      <c r="E11" s="7">
        <v>3250</v>
      </c>
      <c r="F11" s="7">
        <v>45</v>
      </c>
      <c r="G11" s="7">
        <v>68</v>
      </c>
      <c r="H11" s="7">
        <v>2</v>
      </c>
      <c r="I11" s="7">
        <v>130</v>
      </c>
      <c r="J11" s="23">
        <f t="shared" si="3"/>
        <v>245</v>
      </c>
      <c r="K11" s="14">
        <v>3005</v>
      </c>
      <c r="L11" s="7">
        <v>4</v>
      </c>
      <c r="M11" s="7" t="s">
        <v>54</v>
      </c>
      <c r="N11" s="27">
        <f t="shared" si="0"/>
        <v>92.461538461538467</v>
      </c>
      <c r="O11" s="7">
        <f t="shared" si="1"/>
        <v>3250</v>
      </c>
      <c r="P11" s="7">
        <f t="shared" si="2"/>
        <v>0</v>
      </c>
    </row>
    <row r="12" spans="1:16" ht="14.45" customHeight="1">
      <c r="A12" s="185">
        <v>46087</v>
      </c>
      <c r="B12" s="6" t="s">
        <v>55</v>
      </c>
      <c r="C12" s="6" t="s">
        <v>19</v>
      </c>
      <c r="D12" s="7" t="s">
        <v>72</v>
      </c>
      <c r="E12" s="7">
        <v>175</v>
      </c>
      <c r="F12" s="7">
        <v>10</v>
      </c>
      <c r="G12" s="7">
        <v>0.4</v>
      </c>
      <c r="H12" s="7">
        <v>0.2</v>
      </c>
      <c r="I12" s="7">
        <v>3.4</v>
      </c>
      <c r="J12" s="23">
        <f t="shared" si="3"/>
        <v>14</v>
      </c>
      <c r="K12" s="8">
        <v>161</v>
      </c>
      <c r="L12" s="7">
        <v>4</v>
      </c>
      <c r="M12" s="7" t="s">
        <v>53</v>
      </c>
      <c r="N12" s="27">
        <f t="shared" si="0"/>
        <v>92</v>
      </c>
      <c r="O12" s="7">
        <f t="shared" si="1"/>
        <v>175</v>
      </c>
      <c r="P12" s="7">
        <f t="shared" si="2"/>
        <v>0</v>
      </c>
    </row>
    <row r="13" spans="1:16" ht="14.45" customHeight="1">
      <c r="A13" s="186">
        <v>46087</v>
      </c>
      <c r="B13" s="180" t="s">
        <v>55</v>
      </c>
      <c r="C13" s="180" t="s">
        <v>19</v>
      </c>
      <c r="D13" s="7" t="s">
        <v>72</v>
      </c>
      <c r="E13" s="7">
        <v>3350</v>
      </c>
      <c r="F13" s="7">
        <v>42</v>
      </c>
      <c r="G13" s="7">
        <v>35</v>
      </c>
      <c r="H13" s="7">
        <v>4</v>
      </c>
      <c r="I13" s="7">
        <v>233</v>
      </c>
      <c r="J13" s="23">
        <f t="shared" si="3"/>
        <v>314</v>
      </c>
      <c r="K13" s="8">
        <v>3111</v>
      </c>
      <c r="L13" s="7">
        <v>4</v>
      </c>
      <c r="M13" s="7" t="s">
        <v>54</v>
      </c>
      <c r="N13" s="27">
        <f t="shared" si="0"/>
        <v>92.865671641791053</v>
      </c>
      <c r="O13" s="7">
        <f t="shared" si="1"/>
        <v>3425</v>
      </c>
      <c r="P13" s="7">
        <f t="shared" si="2"/>
        <v>-75</v>
      </c>
    </row>
    <row r="14" spans="1:16" ht="15">
      <c r="A14" s="185">
        <v>46088</v>
      </c>
      <c r="B14" s="6" t="s">
        <v>73</v>
      </c>
      <c r="C14" s="6" t="s">
        <v>19</v>
      </c>
      <c r="D14" s="7" t="s">
        <v>72</v>
      </c>
      <c r="E14" s="7">
        <v>2200</v>
      </c>
      <c r="F14" s="7">
        <v>20</v>
      </c>
      <c r="G14" s="7">
        <v>4</v>
      </c>
      <c r="H14" s="7">
        <v>1</v>
      </c>
      <c r="I14" s="7">
        <v>134</v>
      </c>
      <c r="J14" s="23">
        <f t="shared" si="3"/>
        <v>159</v>
      </c>
      <c r="K14" s="14">
        <v>2041</v>
      </c>
      <c r="L14" s="7">
        <v>4</v>
      </c>
      <c r="M14" s="7" t="s">
        <v>53</v>
      </c>
      <c r="N14" s="27">
        <f t="shared" si="0"/>
        <v>92.77272727272728</v>
      </c>
      <c r="O14" s="7">
        <f t="shared" si="1"/>
        <v>2200</v>
      </c>
      <c r="P14" s="7">
        <f t="shared" si="2"/>
        <v>0</v>
      </c>
    </row>
    <row r="15" spans="1:16" ht="14.45" customHeight="1">
      <c r="A15" s="180" t="s">
        <v>74</v>
      </c>
      <c r="B15" s="180" t="s">
        <v>73</v>
      </c>
      <c r="C15" s="180" t="s">
        <v>19</v>
      </c>
      <c r="D15" s="7" t="s">
        <v>72</v>
      </c>
      <c r="E15" s="7">
        <f>2200+300</f>
        <v>2500</v>
      </c>
      <c r="F15" s="7">
        <v>25</v>
      </c>
      <c r="G15" s="7">
        <v>23</v>
      </c>
      <c r="H15" s="7">
        <v>5</v>
      </c>
      <c r="I15" s="7">
        <v>130</v>
      </c>
      <c r="J15" s="23">
        <f t="shared" si="3"/>
        <v>183</v>
      </c>
      <c r="K15" s="14">
        <f>2010+300</f>
        <v>2310</v>
      </c>
      <c r="L15" s="7">
        <v>4</v>
      </c>
      <c r="M15" s="7" t="s">
        <v>54</v>
      </c>
      <c r="N15" s="27">
        <f t="shared" si="0"/>
        <v>92.4</v>
      </c>
      <c r="O15" s="7">
        <f t="shared" si="1"/>
        <v>2493</v>
      </c>
      <c r="P15" s="7">
        <f t="shared" si="2"/>
        <v>7</v>
      </c>
    </row>
    <row r="16" spans="1:16" ht="15">
      <c r="A16" s="7" t="s">
        <v>75</v>
      </c>
      <c r="B16" s="7" t="s">
        <v>55</v>
      </c>
      <c r="C16" s="7" t="s">
        <v>19</v>
      </c>
      <c r="D16" s="7" t="s">
        <v>72</v>
      </c>
      <c r="E16" s="7">
        <v>2000</v>
      </c>
      <c r="F16" s="7">
        <v>30</v>
      </c>
      <c r="G16" s="7">
        <v>15</v>
      </c>
      <c r="H16" s="7">
        <v>1</v>
      </c>
      <c r="I16" s="7">
        <v>105</v>
      </c>
      <c r="J16" s="23">
        <f t="shared" si="3"/>
        <v>151</v>
      </c>
      <c r="K16" s="8">
        <v>1849</v>
      </c>
      <c r="L16" s="7">
        <v>3</v>
      </c>
      <c r="M16" s="7" t="s">
        <v>53</v>
      </c>
      <c r="N16" s="27">
        <f t="shared" si="0"/>
        <v>92.45</v>
      </c>
      <c r="O16" s="7">
        <f t="shared" si="1"/>
        <v>2000</v>
      </c>
      <c r="P16" s="7">
        <f t="shared" si="2"/>
        <v>0</v>
      </c>
    </row>
    <row r="17" spans="1:16" ht="14.45" customHeight="1">
      <c r="A17" s="6" t="s">
        <v>76</v>
      </c>
      <c r="B17" s="6" t="s">
        <v>55</v>
      </c>
      <c r="C17" s="6" t="s">
        <v>19</v>
      </c>
      <c r="D17" s="7" t="s">
        <v>72</v>
      </c>
      <c r="E17" s="7">
        <v>2550</v>
      </c>
      <c r="F17" s="7">
        <v>35</v>
      </c>
      <c r="G17" s="7">
        <v>11</v>
      </c>
      <c r="H17" s="7">
        <v>2</v>
      </c>
      <c r="I17" s="7">
        <v>122</v>
      </c>
      <c r="J17" s="23">
        <f t="shared" si="3"/>
        <v>170</v>
      </c>
      <c r="K17" s="14">
        <v>2380</v>
      </c>
      <c r="L17" s="7">
        <v>4</v>
      </c>
      <c r="M17" s="7" t="s">
        <v>53</v>
      </c>
      <c r="N17" s="27">
        <f t="shared" si="0"/>
        <v>93.333333333333329</v>
      </c>
      <c r="O17" s="7">
        <f t="shared" si="1"/>
        <v>2550</v>
      </c>
      <c r="P17" s="7">
        <f t="shared" si="2"/>
        <v>0</v>
      </c>
    </row>
    <row r="18" spans="1:16" ht="14.45" customHeight="1">
      <c r="A18" s="180" t="s">
        <v>76</v>
      </c>
      <c r="B18" s="180" t="s">
        <v>55</v>
      </c>
      <c r="C18" s="180" t="s">
        <v>19</v>
      </c>
      <c r="D18" s="59" t="s">
        <v>72</v>
      </c>
      <c r="E18" s="7">
        <v>3400</v>
      </c>
      <c r="F18" s="7">
        <v>49</v>
      </c>
      <c r="G18" s="7">
        <v>17</v>
      </c>
      <c r="H18" s="7">
        <v>2</v>
      </c>
      <c r="I18" s="7">
        <v>122</v>
      </c>
      <c r="J18" s="23">
        <f t="shared" si="3"/>
        <v>190</v>
      </c>
      <c r="K18" s="14">
        <v>3210</v>
      </c>
      <c r="L18" s="7">
        <v>4</v>
      </c>
      <c r="M18" s="7" t="s">
        <v>54</v>
      </c>
      <c r="N18" s="27">
        <f t="shared" si="0"/>
        <v>94.411764705882348</v>
      </c>
      <c r="O18" s="7">
        <f t="shared" si="1"/>
        <v>3400</v>
      </c>
      <c r="P18" s="7">
        <f t="shared" si="2"/>
        <v>0</v>
      </c>
    </row>
    <row r="19" spans="1:16" ht="15">
      <c r="A19" s="7" t="s">
        <v>77</v>
      </c>
      <c r="B19" s="7" t="s">
        <v>55</v>
      </c>
      <c r="C19" s="7" t="s">
        <v>19</v>
      </c>
      <c r="D19" s="7" t="s">
        <v>72</v>
      </c>
      <c r="E19" s="7">
        <v>2600</v>
      </c>
      <c r="F19" s="7">
        <v>30</v>
      </c>
      <c r="G19" s="7">
        <v>5</v>
      </c>
      <c r="H19" s="7">
        <v>1</v>
      </c>
      <c r="I19" s="7">
        <v>114</v>
      </c>
      <c r="J19" s="23">
        <f t="shared" si="3"/>
        <v>150</v>
      </c>
      <c r="K19" s="8">
        <v>2450</v>
      </c>
      <c r="L19" s="7">
        <v>4</v>
      </c>
      <c r="M19" s="7" t="s">
        <v>53</v>
      </c>
      <c r="N19" s="27">
        <f t="shared" si="0"/>
        <v>94.230769230769226</v>
      </c>
      <c r="O19" s="7">
        <f t="shared" si="1"/>
        <v>2600</v>
      </c>
      <c r="P19" s="7">
        <f t="shared" si="2"/>
        <v>0</v>
      </c>
    </row>
    <row r="20" spans="1:16" ht="14.45" customHeight="1">
      <c r="A20" s="6" t="s">
        <v>78</v>
      </c>
      <c r="B20" s="6" t="s">
        <v>55</v>
      </c>
      <c r="C20" s="6" t="s">
        <v>19</v>
      </c>
      <c r="D20" s="7" t="s">
        <v>72</v>
      </c>
      <c r="E20" s="7">
        <v>2750</v>
      </c>
      <c r="F20" s="7">
        <v>10</v>
      </c>
      <c r="G20" s="7">
        <v>10</v>
      </c>
      <c r="H20" s="7">
        <v>1</v>
      </c>
      <c r="I20" s="7">
        <v>129</v>
      </c>
      <c r="J20" s="23">
        <f t="shared" si="3"/>
        <v>150</v>
      </c>
      <c r="K20" s="8">
        <v>2600</v>
      </c>
      <c r="L20" s="7">
        <v>4</v>
      </c>
      <c r="M20" s="7" t="s">
        <v>53</v>
      </c>
      <c r="N20" s="27">
        <f t="shared" si="0"/>
        <v>94.545454545454547</v>
      </c>
      <c r="O20" s="7">
        <f t="shared" si="1"/>
        <v>2750</v>
      </c>
      <c r="P20" s="7">
        <f t="shared" si="2"/>
        <v>0</v>
      </c>
    </row>
    <row r="21" spans="1:16" ht="14.45" customHeight="1">
      <c r="A21" s="180" t="s">
        <v>78</v>
      </c>
      <c r="B21" s="180" t="s">
        <v>55</v>
      </c>
      <c r="C21" s="180" t="s">
        <v>19</v>
      </c>
      <c r="D21" s="7" t="s">
        <v>79</v>
      </c>
      <c r="E21" s="7">
        <v>1139</v>
      </c>
      <c r="F21" s="7">
        <v>30</v>
      </c>
      <c r="G21" s="7">
        <v>25</v>
      </c>
      <c r="H21" s="7">
        <v>1.5</v>
      </c>
      <c r="I21" s="7">
        <v>67.5</v>
      </c>
      <c r="J21" s="23">
        <f t="shared" si="3"/>
        <v>124</v>
      </c>
      <c r="K21" s="8">
        <v>1015</v>
      </c>
      <c r="L21" s="7">
        <v>4</v>
      </c>
      <c r="M21" s="7" t="s">
        <v>54</v>
      </c>
      <c r="N21" s="27">
        <f t="shared" si="0"/>
        <v>89.11325724319579</v>
      </c>
      <c r="O21" s="7">
        <f t="shared" si="1"/>
        <v>1139</v>
      </c>
      <c r="P21" s="7">
        <f t="shared" si="2"/>
        <v>0</v>
      </c>
    </row>
    <row r="22" spans="1:16" ht="15">
      <c r="A22" s="6" t="s">
        <v>80</v>
      </c>
      <c r="B22" s="6" t="s">
        <v>55</v>
      </c>
      <c r="C22" s="6" t="s">
        <v>19</v>
      </c>
      <c r="D22" s="7" t="s">
        <v>79</v>
      </c>
      <c r="E22" s="7">
        <v>1861</v>
      </c>
      <c r="F22" s="7">
        <v>21</v>
      </c>
      <c r="G22" s="7">
        <v>28</v>
      </c>
      <c r="H22" s="7">
        <v>1</v>
      </c>
      <c r="I22" s="7">
        <v>106</v>
      </c>
      <c r="J22" s="23">
        <v>201</v>
      </c>
      <c r="K22" s="14">
        <v>1660</v>
      </c>
      <c r="L22" s="7">
        <v>4</v>
      </c>
      <c r="M22" s="7" t="s">
        <v>53</v>
      </c>
      <c r="N22" s="27">
        <f t="shared" si="0"/>
        <v>89.199355185384206</v>
      </c>
      <c r="O22" s="7">
        <f t="shared" si="1"/>
        <v>1861</v>
      </c>
      <c r="P22" s="7">
        <f t="shared" si="2"/>
        <v>0</v>
      </c>
    </row>
    <row r="23" spans="1:16" ht="15">
      <c r="A23" s="180" t="s">
        <v>80</v>
      </c>
      <c r="B23" s="180" t="s">
        <v>55</v>
      </c>
      <c r="C23" s="180"/>
      <c r="D23" s="7" t="s">
        <v>72</v>
      </c>
      <c r="E23" s="7">
        <v>2250</v>
      </c>
      <c r="F23" s="7">
        <v>27</v>
      </c>
      <c r="G23" s="7">
        <v>6</v>
      </c>
      <c r="H23" s="7">
        <v>2</v>
      </c>
      <c r="I23" s="7">
        <v>144</v>
      </c>
      <c r="J23" s="23">
        <f t="shared" ref="J23:J39" si="4">I23+H23+G23+F23</f>
        <v>179</v>
      </c>
      <c r="K23" s="8">
        <v>2071</v>
      </c>
      <c r="L23" s="7">
        <v>3</v>
      </c>
      <c r="M23" s="7" t="s">
        <v>54</v>
      </c>
      <c r="N23" s="27">
        <f t="shared" si="0"/>
        <v>92.044444444444437</v>
      </c>
      <c r="O23" s="7">
        <f t="shared" si="1"/>
        <v>2250</v>
      </c>
      <c r="P23" s="7">
        <f t="shared" si="2"/>
        <v>0</v>
      </c>
    </row>
    <row r="24" spans="1:16" ht="14.45" customHeight="1">
      <c r="A24" s="6" t="s">
        <v>81</v>
      </c>
      <c r="B24" s="6" t="s">
        <v>55</v>
      </c>
      <c r="C24" s="6" t="s">
        <v>19</v>
      </c>
      <c r="D24" s="7" t="s">
        <v>72</v>
      </c>
      <c r="E24" s="7">
        <v>2250</v>
      </c>
      <c r="F24" s="7">
        <v>17</v>
      </c>
      <c r="G24" s="7">
        <v>10</v>
      </c>
      <c r="H24" s="7">
        <v>2</v>
      </c>
      <c r="I24" s="7">
        <v>99</v>
      </c>
      <c r="J24" s="23">
        <f t="shared" si="4"/>
        <v>128</v>
      </c>
      <c r="K24" s="8">
        <v>2122</v>
      </c>
      <c r="L24" s="7">
        <v>3</v>
      </c>
      <c r="M24" s="7" t="s">
        <v>53</v>
      </c>
      <c r="N24" s="27">
        <f t="shared" si="0"/>
        <v>94.311111111111117</v>
      </c>
      <c r="O24" s="7">
        <f t="shared" si="1"/>
        <v>2250</v>
      </c>
      <c r="P24" s="7">
        <f t="shared" si="2"/>
        <v>0</v>
      </c>
    </row>
    <row r="25" spans="1:16" ht="14.45" customHeight="1">
      <c r="A25" s="181" t="s">
        <v>81</v>
      </c>
      <c r="B25" s="181" t="s">
        <v>55</v>
      </c>
      <c r="C25" s="181" t="s">
        <v>19</v>
      </c>
      <c r="D25" s="7" t="s">
        <v>48</v>
      </c>
      <c r="E25" s="7">
        <v>2700</v>
      </c>
      <c r="F25" s="7">
        <v>25</v>
      </c>
      <c r="G25" s="7">
        <v>31</v>
      </c>
      <c r="H25" s="7">
        <v>2</v>
      </c>
      <c r="I25" s="7">
        <v>135</v>
      </c>
      <c r="J25" s="23">
        <f t="shared" si="4"/>
        <v>193</v>
      </c>
      <c r="K25" s="14">
        <v>2507</v>
      </c>
      <c r="L25" s="7">
        <v>4</v>
      </c>
      <c r="M25" s="7" t="s">
        <v>50</v>
      </c>
      <c r="N25" s="27">
        <f t="shared" si="0"/>
        <v>92.851851851851848</v>
      </c>
      <c r="O25" s="7">
        <f t="shared" si="1"/>
        <v>2700</v>
      </c>
      <c r="P25" s="7">
        <f t="shared" si="2"/>
        <v>0</v>
      </c>
    </row>
    <row r="26" spans="1:16" ht="15">
      <c r="A26" s="180" t="s">
        <v>81</v>
      </c>
      <c r="B26" s="180" t="s">
        <v>55</v>
      </c>
      <c r="C26" s="180" t="s">
        <v>19</v>
      </c>
      <c r="D26" s="7" t="s">
        <v>72</v>
      </c>
      <c r="E26" s="7">
        <v>425</v>
      </c>
      <c r="F26" s="7">
        <v>4</v>
      </c>
      <c r="G26" s="7">
        <v>2</v>
      </c>
      <c r="H26" s="7">
        <v>1</v>
      </c>
      <c r="I26" s="7">
        <v>23</v>
      </c>
      <c r="J26" s="23">
        <f t="shared" si="4"/>
        <v>30</v>
      </c>
      <c r="K26" s="8">
        <v>395</v>
      </c>
      <c r="L26" s="7">
        <v>4</v>
      </c>
      <c r="M26" s="7" t="s">
        <v>50</v>
      </c>
      <c r="N26" s="27">
        <f t="shared" si="0"/>
        <v>92.941176470588232</v>
      </c>
      <c r="O26" s="7">
        <f t="shared" si="1"/>
        <v>425</v>
      </c>
      <c r="P26" s="7">
        <f t="shared" si="2"/>
        <v>0</v>
      </c>
    </row>
    <row r="27" spans="1:16" ht="14.45" customHeight="1">
      <c r="A27" s="6" t="s">
        <v>82</v>
      </c>
      <c r="B27" s="6" t="s">
        <v>55</v>
      </c>
      <c r="C27" s="6" t="s">
        <v>19</v>
      </c>
      <c r="D27" s="7" t="s">
        <v>48</v>
      </c>
      <c r="E27" s="7">
        <v>2700</v>
      </c>
      <c r="F27" s="7">
        <v>28</v>
      </c>
      <c r="G27" s="7">
        <v>45</v>
      </c>
      <c r="H27" s="7">
        <v>2</v>
      </c>
      <c r="I27" s="7">
        <v>65</v>
      </c>
      <c r="J27" s="23">
        <f t="shared" si="4"/>
        <v>140</v>
      </c>
      <c r="K27" s="14">
        <v>2560</v>
      </c>
      <c r="L27" s="7">
        <v>4</v>
      </c>
      <c r="M27" s="7" t="s">
        <v>53</v>
      </c>
      <c r="N27" s="27">
        <f t="shared" si="0"/>
        <v>94.814814814814824</v>
      </c>
      <c r="O27" s="7">
        <f t="shared" si="1"/>
        <v>2700</v>
      </c>
      <c r="P27" s="7">
        <f t="shared" si="2"/>
        <v>0</v>
      </c>
    </row>
    <row r="28" spans="1:16" ht="14.45" customHeight="1">
      <c r="A28" s="180" t="s">
        <v>82</v>
      </c>
      <c r="B28" s="180" t="s">
        <v>55</v>
      </c>
      <c r="C28" s="180" t="s">
        <v>19</v>
      </c>
      <c r="D28" s="7" t="s">
        <v>48</v>
      </c>
      <c r="E28" s="7">
        <v>2300</v>
      </c>
      <c r="F28" s="7">
        <v>12</v>
      </c>
      <c r="G28" s="7">
        <v>30</v>
      </c>
      <c r="H28" s="7">
        <v>6</v>
      </c>
      <c r="I28" s="7">
        <v>99</v>
      </c>
      <c r="J28" s="23">
        <f t="shared" si="4"/>
        <v>147</v>
      </c>
      <c r="K28" s="14">
        <v>2153</v>
      </c>
      <c r="L28" s="7">
        <v>4</v>
      </c>
      <c r="M28" s="7" t="s">
        <v>50</v>
      </c>
      <c r="N28" s="27">
        <f t="shared" si="0"/>
        <v>93.608695652173907</v>
      </c>
      <c r="O28" s="7">
        <f t="shared" si="1"/>
        <v>2300</v>
      </c>
      <c r="P28" s="7">
        <f t="shared" si="2"/>
        <v>0</v>
      </c>
    </row>
    <row r="29" spans="1:16" ht="15">
      <c r="A29" s="6" t="s">
        <v>83</v>
      </c>
      <c r="B29" s="7" t="s">
        <v>84</v>
      </c>
      <c r="C29" s="7" t="s">
        <v>19</v>
      </c>
      <c r="D29" s="7" t="s">
        <v>48</v>
      </c>
      <c r="E29" s="7">
        <v>900</v>
      </c>
      <c r="F29" s="7">
        <v>22</v>
      </c>
      <c r="G29" s="7">
        <v>5</v>
      </c>
      <c r="H29" s="7">
        <v>1</v>
      </c>
      <c r="I29" s="7">
        <v>27</v>
      </c>
      <c r="J29" s="23">
        <f t="shared" si="4"/>
        <v>55</v>
      </c>
      <c r="K29" s="8">
        <v>845</v>
      </c>
      <c r="L29" s="7">
        <v>3</v>
      </c>
      <c r="M29" s="7" t="s">
        <v>53</v>
      </c>
      <c r="N29" s="27">
        <f t="shared" si="0"/>
        <v>93.888888888888886</v>
      </c>
      <c r="O29" s="7">
        <f t="shared" si="1"/>
        <v>900</v>
      </c>
      <c r="P29" s="7">
        <f t="shared" si="2"/>
        <v>0</v>
      </c>
    </row>
    <row r="30" spans="1:16" ht="14.45" customHeight="1">
      <c r="A30" s="180" t="s">
        <v>83</v>
      </c>
      <c r="B30" s="7" t="s">
        <v>55</v>
      </c>
      <c r="C30" s="7" t="s">
        <v>19</v>
      </c>
      <c r="D30" s="7" t="s">
        <v>48</v>
      </c>
      <c r="E30" s="7">
        <f>2300+550</f>
        <v>2850</v>
      </c>
      <c r="F30" s="7">
        <v>30</v>
      </c>
      <c r="G30" s="7">
        <v>20</v>
      </c>
      <c r="H30" s="7">
        <v>3</v>
      </c>
      <c r="I30" s="7">
        <v>122</v>
      </c>
      <c r="J30" s="23">
        <f t="shared" si="4"/>
        <v>175</v>
      </c>
      <c r="K30" s="8">
        <f>2150+525</f>
        <v>2675</v>
      </c>
      <c r="L30" s="7">
        <v>4</v>
      </c>
      <c r="M30" s="7" t="s">
        <v>50</v>
      </c>
      <c r="N30" s="27">
        <f t="shared" si="0"/>
        <v>93.859649122807014</v>
      </c>
      <c r="O30" s="7">
        <f t="shared" si="1"/>
        <v>2850</v>
      </c>
      <c r="P30" s="7">
        <f t="shared" si="2"/>
        <v>0</v>
      </c>
    </row>
    <row r="31" spans="1:16" ht="15">
      <c r="A31" s="6" t="s">
        <v>85</v>
      </c>
      <c r="B31" s="6" t="s">
        <v>55</v>
      </c>
      <c r="C31" s="6" t="s">
        <v>19</v>
      </c>
      <c r="D31" s="18" t="s">
        <v>46</v>
      </c>
      <c r="E31" s="7">
        <v>1429</v>
      </c>
      <c r="F31" s="7">
        <v>26</v>
      </c>
      <c r="G31" s="7">
        <v>23</v>
      </c>
      <c r="H31" s="7">
        <v>1</v>
      </c>
      <c r="I31" s="7">
        <v>65</v>
      </c>
      <c r="J31" s="23">
        <f t="shared" si="4"/>
        <v>115</v>
      </c>
      <c r="K31" s="14">
        <v>1310</v>
      </c>
      <c r="L31" s="7">
        <v>3</v>
      </c>
      <c r="M31" s="7" t="s">
        <v>53</v>
      </c>
      <c r="N31" s="27">
        <f t="shared" si="0"/>
        <v>91.672498250524853</v>
      </c>
      <c r="O31" s="7">
        <f t="shared" si="1"/>
        <v>1425</v>
      </c>
      <c r="P31" s="7">
        <f t="shared" si="2"/>
        <v>4</v>
      </c>
    </row>
    <row r="32" spans="1:16" ht="14.45" customHeight="1">
      <c r="A32" s="180" t="s">
        <v>85</v>
      </c>
      <c r="B32" s="180" t="s">
        <v>55</v>
      </c>
      <c r="C32" s="180" t="s">
        <v>19</v>
      </c>
      <c r="D32" s="7" t="s">
        <v>46</v>
      </c>
      <c r="E32" s="7">
        <v>1500</v>
      </c>
      <c r="F32" s="7">
        <v>30</v>
      </c>
      <c r="G32" s="7">
        <v>25</v>
      </c>
      <c r="H32" s="7">
        <v>1</v>
      </c>
      <c r="I32" s="7">
        <v>74</v>
      </c>
      <c r="J32" s="23">
        <f t="shared" si="4"/>
        <v>130</v>
      </c>
      <c r="K32" s="8">
        <v>1370</v>
      </c>
      <c r="L32" s="7">
        <v>4</v>
      </c>
      <c r="M32" s="7" t="s">
        <v>50</v>
      </c>
      <c r="N32" s="27">
        <f t="shared" si="0"/>
        <v>91.333333333333329</v>
      </c>
      <c r="O32" s="7">
        <f t="shared" si="1"/>
        <v>1500</v>
      </c>
      <c r="P32" s="7">
        <f t="shared" si="2"/>
        <v>0</v>
      </c>
    </row>
    <row r="33" spans="1:16" ht="15">
      <c r="A33" s="7" t="s">
        <v>86</v>
      </c>
      <c r="B33" s="7" t="s">
        <v>55</v>
      </c>
      <c r="C33" s="7" t="s">
        <v>19</v>
      </c>
      <c r="D33" s="7" t="s">
        <v>47</v>
      </c>
      <c r="E33" s="7">
        <v>980</v>
      </c>
      <c r="F33" s="7">
        <v>15</v>
      </c>
      <c r="G33" s="7">
        <v>9</v>
      </c>
      <c r="H33" s="7">
        <v>1</v>
      </c>
      <c r="I33" s="7">
        <v>50</v>
      </c>
      <c r="J33" s="23">
        <f t="shared" si="4"/>
        <v>75</v>
      </c>
      <c r="K33" s="14">
        <v>905</v>
      </c>
      <c r="L33" s="7">
        <v>3</v>
      </c>
      <c r="M33" s="7" t="s">
        <v>53</v>
      </c>
      <c r="N33" s="27">
        <f t="shared" si="0"/>
        <v>92.346938775510196</v>
      </c>
      <c r="O33" s="7">
        <f t="shared" si="1"/>
        <v>980</v>
      </c>
      <c r="P33" s="7">
        <f t="shared" si="2"/>
        <v>0</v>
      </c>
    </row>
    <row r="34" spans="1:16" ht="15">
      <c r="A34" s="7" t="s">
        <v>87</v>
      </c>
      <c r="B34" s="7" t="s">
        <v>55</v>
      </c>
      <c r="C34" s="7" t="s">
        <v>19</v>
      </c>
      <c r="D34" s="7" t="s">
        <v>88</v>
      </c>
      <c r="E34" s="7">
        <v>310</v>
      </c>
      <c r="F34" s="7">
        <v>5</v>
      </c>
      <c r="G34" s="7">
        <v>6</v>
      </c>
      <c r="H34" s="7">
        <v>3</v>
      </c>
      <c r="I34" s="7">
        <v>16</v>
      </c>
      <c r="J34" s="23">
        <f t="shared" si="4"/>
        <v>30</v>
      </c>
      <c r="K34" s="14">
        <v>280</v>
      </c>
      <c r="L34" s="7">
        <v>2</v>
      </c>
      <c r="M34" s="7" t="s">
        <v>53</v>
      </c>
      <c r="N34" s="27">
        <f t="shared" si="0"/>
        <v>90.322580645161281</v>
      </c>
      <c r="O34" s="7">
        <f t="shared" si="1"/>
        <v>310</v>
      </c>
      <c r="P34" s="7">
        <f t="shared" si="2"/>
        <v>0</v>
      </c>
    </row>
    <row r="35" spans="1:16" ht="14.45" customHeight="1">
      <c r="A35" s="6" t="s">
        <v>89</v>
      </c>
      <c r="B35" s="7" t="s">
        <v>55</v>
      </c>
      <c r="C35" s="7" t="s">
        <v>19</v>
      </c>
      <c r="D35" s="7" t="s">
        <v>46</v>
      </c>
      <c r="E35" s="7">
        <v>491</v>
      </c>
      <c r="F35" s="7">
        <v>0</v>
      </c>
      <c r="G35" s="7">
        <v>7</v>
      </c>
      <c r="H35" s="7">
        <v>2</v>
      </c>
      <c r="I35" s="7">
        <v>30</v>
      </c>
      <c r="J35" s="23">
        <f t="shared" si="4"/>
        <v>39</v>
      </c>
      <c r="K35" s="8">
        <v>447</v>
      </c>
      <c r="L35" s="7">
        <v>3</v>
      </c>
      <c r="M35" s="7" t="s">
        <v>53</v>
      </c>
      <c r="N35" s="27">
        <f t="shared" si="0"/>
        <v>91.038696537678206</v>
      </c>
      <c r="O35" s="7">
        <f t="shared" si="1"/>
        <v>486</v>
      </c>
      <c r="P35" s="7">
        <f t="shared" si="2"/>
        <v>5</v>
      </c>
    </row>
    <row r="36" spans="1:16" ht="14.45" customHeight="1">
      <c r="A36" s="181" t="s">
        <v>89</v>
      </c>
      <c r="B36" s="7" t="s">
        <v>64</v>
      </c>
      <c r="C36" s="7" t="s">
        <v>20</v>
      </c>
      <c r="D36" s="7" t="s">
        <v>65</v>
      </c>
      <c r="E36" s="7">
        <v>55</v>
      </c>
      <c r="F36" s="7">
        <v>0</v>
      </c>
      <c r="G36" s="7">
        <v>0</v>
      </c>
      <c r="H36" s="7">
        <v>0</v>
      </c>
      <c r="I36" s="7">
        <v>5</v>
      </c>
      <c r="J36" s="23">
        <f t="shared" si="4"/>
        <v>5</v>
      </c>
      <c r="K36" s="14">
        <v>50</v>
      </c>
      <c r="L36" s="7"/>
      <c r="M36" s="7"/>
      <c r="N36" s="27">
        <f t="shared" si="0"/>
        <v>90.909090909090907</v>
      </c>
      <c r="O36" s="7">
        <f t="shared" si="1"/>
        <v>55</v>
      </c>
      <c r="P36" s="7">
        <f t="shared" si="2"/>
        <v>0</v>
      </c>
    </row>
    <row r="37" spans="1:16" ht="14.45" customHeight="1">
      <c r="A37" s="180" t="s">
        <v>89</v>
      </c>
      <c r="B37" s="7" t="s">
        <v>64</v>
      </c>
      <c r="C37" s="7" t="s">
        <v>20</v>
      </c>
      <c r="D37" s="7" t="s">
        <v>65</v>
      </c>
      <c r="E37" s="7">
        <v>145</v>
      </c>
      <c r="F37" s="7">
        <v>0</v>
      </c>
      <c r="G37" s="7">
        <v>0</v>
      </c>
      <c r="H37" s="7">
        <v>0</v>
      </c>
      <c r="I37" s="7">
        <v>10</v>
      </c>
      <c r="J37" s="23">
        <f t="shared" si="4"/>
        <v>10</v>
      </c>
      <c r="K37" s="14">
        <v>135</v>
      </c>
      <c r="L37" s="7"/>
      <c r="M37" s="7"/>
      <c r="N37" s="27">
        <f t="shared" si="0"/>
        <v>93.103448275862064</v>
      </c>
      <c r="O37" s="7">
        <f t="shared" si="1"/>
        <v>145</v>
      </c>
      <c r="P37" s="7">
        <f t="shared" si="2"/>
        <v>0</v>
      </c>
    </row>
    <row r="38" spans="1:16" ht="15">
      <c r="A38" s="7" t="s">
        <v>90</v>
      </c>
      <c r="B38" s="7" t="s">
        <v>55</v>
      </c>
      <c r="C38" s="7" t="s">
        <v>19</v>
      </c>
      <c r="D38" s="7" t="s">
        <v>46</v>
      </c>
      <c r="E38" s="7">
        <v>2750</v>
      </c>
      <c r="F38" s="7">
        <v>35</v>
      </c>
      <c r="G38" s="7">
        <v>39</v>
      </c>
      <c r="H38" s="7">
        <v>2</v>
      </c>
      <c r="I38" s="7">
        <v>46</v>
      </c>
      <c r="J38" s="23">
        <f t="shared" si="4"/>
        <v>122</v>
      </c>
      <c r="K38" s="8">
        <v>2628</v>
      </c>
      <c r="L38" s="7">
        <v>4</v>
      </c>
      <c r="M38" s="7" t="s">
        <v>50</v>
      </c>
      <c r="N38" s="27">
        <f t="shared" si="0"/>
        <v>95.563636363636363</v>
      </c>
      <c r="O38" s="7">
        <f t="shared" si="1"/>
        <v>2750</v>
      </c>
      <c r="P38" s="7">
        <f t="shared" si="2"/>
        <v>0</v>
      </c>
    </row>
    <row r="39" spans="1:16" ht="14.45">
      <c r="A39" s="7" t="s">
        <v>91</v>
      </c>
      <c r="B39" s="7" t="s">
        <v>55</v>
      </c>
      <c r="C39" s="7" t="s">
        <v>19</v>
      </c>
      <c r="D39" s="7" t="s">
        <v>46</v>
      </c>
      <c r="E39" s="7">
        <v>1550</v>
      </c>
      <c r="F39" s="7">
        <v>22</v>
      </c>
      <c r="G39" s="7">
        <v>22</v>
      </c>
      <c r="H39" s="7">
        <v>2</v>
      </c>
      <c r="I39" s="7">
        <v>64</v>
      </c>
      <c r="J39" s="23">
        <f t="shared" si="4"/>
        <v>110</v>
      </c>
      <c r="K39" s="8">
        <v>1440</v>
      </c>
      <c r="L39" s="7">
        <v>3</v>
      </c>
      <c r="M39" s="7" t="s">
        <v>50</v>
      </c>
      <c r="N39" s="27">
        <f t="shared" si="0"/>
        <v>92.903225806451616</v>
      </c>
      <c r="O39" s="7">
        <f t="shared" si="1"/>
        <v>1550</v>
      </c>
      <c r="P39" s="7">
        <f t="shared" si="2"/>
        <v>0</v>
      </c>
    </row>
    <row r="40" spans="1:16" ht="15.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9"/>
      <c r="O40" s="7"/>
      <c r="P40" s="36"/>
    </row>
    <row r="41" spans="1:16" ht="14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9"/>
      <c r="O41" s="7"/>
      <c r="P41" s="7"/>
    </row>
    <row r="42" spans="1:16" ht="14.45">
      <c r="A42" s="43"/>
      <c r="B42" s="43"/>
      <c r="C42" s="43"/>
      <c r="D42" s="43"/>
      <c r="E42" s="60"/>
      <c r="F42" s="60"/>
      <c r="G42" s="60"/>
      <c r="H42" s="60"/>
      <c r="I42" s="60"/>
      <c r="J42" s="43"/>
      <c r="K42" s="43"/>
      <c r="L42" s="43"/>
      <c r="M42" s="43"/>
      <c r="N42" s="61" t="e">
        <f>AVERAGE(#REF!)</f>
        <v>#REF!</v>
      </c>
      <c r="O42" s="50"/>
      <c r="P42" s="52"/>
    </row>
    <row r="43" spans="1:16" ht="14.45">
      <c r="A43" s="50"/>
      <c r="B43" s="50"/>
      <c r="C43" s="50"/>
      <c r="D43" s="50"/>
      <c r="E43" s="60"/>
      <c r="F43" s="60"/>
      <c r="G43" s="60"/>
      <c r="H43" s="60"/>
      <c r="I43" s="62" t="s">
        <v>57</v>
      </c>
      <c r="J43" s="49"/>
      <c r="K43" s="49"/>
      <c r="L43" s="49"/>
      <c r="M43" s="49"/>
      <c r="N43" s="61" t="s">
        <v>58</v>
      </c>
      <c r="O43" s="50"/>
      <c r="P43" s="52"/>
    </row>
    <row r="44" spans="1:16" ht="13.9">
      <c r="A44" s="50"/>
      <c r="B44" s="50"/>
      <c r="C44" s="50"/>
      <c r="D44" s="50"/>
      <c r="E44" s="60"/>
      <c r="F44" s="60"/>
      <c r="G44" s="60"/>
      <c r="H44" s="60"/>
      <c r="I44" s="272" t="s">
        <v>59</v>
      </c>
      <c r="J44" s="320"/>
      <c r="K44" s="274"/>
      <c r="L44" s="320"/>
      <c r="M44" s="50"/>
      <c r="N44" s="63"/>
      <c r="O44" s="50"/>
      <c r="P44" s="52"/>
    </row>
    <row r="45" spans="1:16" ht="13.9">
      <c r="A45" s="50"/>
      <c r="B45" s="50"/>
      <c r="C45" s="50"/>
      <c r="D45" s="50"/>
      <c r="E45" s="60"/>
      <c r="F45" s="60"/>
      <c r="G45" s="60"/>
      <c r="H45" s="60"/>
      <c r="I45" s="272" t="s">
        <v>60</v>
      </c>
      <c r="J45" s="320"/>
      <c r="K45" s="274"/>
      <c r="L45" s="320"/>
      <c r="M45" s="50"/>
      <c r="N45" s="63"/>
      <c r="O45" s="50"/>
      <c r="P45" s="52"/>
    </row>
    <row r="53" spans="17:19" ht="13.15">
      <c r="Q53" s="1">
        <f>1.2+1.5</f>
        <v>2.7</v>
      </c>
      <c r="R53" s="20">
        <v>3280</v>
      </c>
      <c r="S53" s="21">
        <f t="shared" ref="S53:S61" si="5">Q53/R53</f>
        <v>8.2317073170731715E-4</v>
      </c>
    </row>
    <row r="54" spans="17:19" ht="13.15">
      <c r="Q54" s="1">
        <v>4</v>
      </c>
      <c r="R54" s="1">
        <v>2300</v>
      </c>
      <c r="S54" s="21">
        <f t="shared" si="5"/>
        <v>1.7391304347826088E-3</v>
      </c>
    </row>
    <row r="55" spans="17:19" ht="13.15">
      <c r="Q55" s="1">
        <v>11.7</v>
      </c>
      <c r="R55" s="1">
        <v>3600</v>
      </c>
      <c r="S55" s="21">
        <f t="shared" si="5"/>
        <v>3.2499999999999999E-3</v>
      </c>
    </row>
    <row r="56" spans="17:19" ht="13.15">
      <c r="Q56" s="1">
        <v>5.0999999999999996</v>
      </c>
      <c r="R56" s="1">
        <v>2460</v>
      </c>
      <c r="S56" s="21">
        <f t="shared" si="5"/>
        <v>2.0731707317073167E-3</v>
      </c>
    </row>
    <row r="57" spans="17:19" ht="13.15">
      <c r="Q57" s="1">
        <v>0</v>
      </c>
      <c r="R57" s="1">
        <v>0</v>
      </c>
      <c r="S57" s="21" t="e">
        <f t="shared" si="5"/>
        <v>#DIV/0!</v>
      </c>
    </row>
    <row r="58" spans="17:19" ht="13.15">
      <c r="Q58" s="1">
        <v>0</v>
      </c>
      <c r="R58" s="1">
        <v>0</v>
      </c>
      <c r="S58" s="21" t="e">
        <f t="shared" si="5"/>
        <v>#DIV/0!</v>
      </c>
    </row>
    <row r="59" spans="17:19" ht="13.15">
      <c r="Q59" s="1">
        <v>0</v>
      </c>
      <c r="R59" s="1">
        <v>0</v>
      </c>
      <c r="S59" s="21" t="e">
        <f t="shared" si="5"/>
        <v>#DIV/0!</v>
      </c>
    </row>
    <row r="60" spans="17:19" ht="13.15">
      <c r="Q60" s="1">
        <v>0</v>
      </c>
      <c r="R60" s="1">
        <v>0</v>
      </c>
      <c r="S60" s="21" t="e">
        <f t="shared" si="5"/>
        <v>#DIV/0!</v>
      </c>
    </row>
    <row r="61" spans="17:19" ht="13.15">
      <c r="Q61" s="1">
        <v>0</v>
      </c>
      <c r="R61" s="1">
        <v>0</v>
      </c>
      <c r="S61" s="21" t="e">
        <f t="shared" si="5"/>
        <v>#DIV/0!</v>
      </c>
    </row>
  </sheetData>
  <mergeCells count="15">
    <mergeCell ref="I44:J44"/>
    <mergeCell ref="K44:L44"/>
    <mergeCell ref="I45:J45"/>
    <mergeCell ref="K45:L45"/>
    <mergeCell ref="K2:K3"/>
    <mergeCell ref="L2:L3"/>
    <mergeCell ref="M2:M3"/>
    <mergeCell ref="N2:N3"/>
    <mergeCell ref="A1:N1"/>
    <mergeCell ref="A2:A3"/>
    <mergeCell ref="B2:B3"/>
    <mergeCell ref="C2:C3"/>
    <mergeCell ref="D2:D3"/>
    <mergeCell ref="E2:E3"/>
    <mergeCell ref="J2:J3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28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sheetData>
    <row r="1" spans="1:16" ht="13.15">
      <c r="A1" s="266" t="s">
        <v>40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  <c r="O1" s="1"/>
      <c r="P1" s="1"/>
    </row>
    <row r="2" spans="1:16" ht="36">
      <c r="A2" s="267" t="s">
        <v>25</v>
      </c>
      <c r="B2" s="267" t="s">
        <v>26</v>
      </c>
      <c r="C2" s="267" t="s">
        <v>27</v>
      </c>
      <c r="D2" s="267" t="s">
        <v>22</v>
      </c>
      <c r="E2" s="268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267" t="s">
        <v>33</v>
      </c>
      <c r="K2" s="267" t="s">
        <v>34</v>
      </c>
      <c r="L2" s="267" t="s">
        <v>35</v>
      </c>
      <c r="M2" s="267" t="s">
        <v>36</v>
      </c>
      <c r="N2" s="269" t="s">
        <v>37</v>
      </c>
      <c r="O2" s="1"/>
      <c r="P2" s="1"/>
    </row>
    <row r="3" spans="1:16" ht="37.5">
      <c r="A3" s="321"/>
      <c r="B3" s="321"/>
      <c r="C3" s="321"/>
      <c r="D3" s="321"/>
      <c r="E3" s="321"/>
      <c r="F3" s="5" t="s">
        <v>42</v>
      </c>
      <c r="G3" s="5" t="s">
        <v>43</v>
      </c>
      <c r="H3" s="5" t="s">
        <v>44</v>
      </c>
      <c r="I3" s="5" t="s">
        <v>32</v>
      </c>
      <c r="J3" s="321"/>
      <c r="K3" s="321"/>
      <c r="L3" s="321"/>
      <c r="M3" s="321"/>
      <c r="N3" s="321"/>
      <c r="O3" s="1"/>
      <c r="P3" s="1"/>
    </row>
    <row r="4" spans="1:16" ht="14.45" customHeight="1">
      <c r="A4" s="185">
        <v>46082</v>
      </c>
      <c r="B4" s="6" t="s">
        <v>62</v>
      </c>
      <c r="C4" s="6" t="s">
        <v>20</v>
      </c>
      <c r="D4" s="7" t="s">
        <v>48</v>
      </c>
      <c r="E4" s="7">
        <v>5100</v>
      </c>
      <c r="F4" s="7">
        <v>3.8</v>
      </c>
      <c r="G4" s="7">
        <v>72</v>
      </c>
      <c r="H4" s="7">
        <v>15</v>
      </c>
      <c r="I4" s="7">
        <v>149.19999999999999</v>
      </c>
      <c r="J4" s="7">
        <f>F4+G4+H4+I4</f>
        <v>240</v>
      </c>
      <c r="K4" s="10">
        <v>4860</v>
      </c>
      <c r="L4" s="7">
        <v>9</v>
      </c>
      <c r="M4" s="7" t="s">
        <v>49</v>
      </c>
      <c r="N4" s="9">
        <f>K4/E4*100</f>
        <v>95.294117647058812</v>
      </c>
      <c r="O4" s="7">
        <f>K4+J4</f>
        <v>5100</v>
      </c>
      <c r="P4" s="7">
        <f>E4-O4</f>
        <v>0</v>
      </c>
    </row>
    <row r="5" spans="1:16" ht="14.45" customHeight="1">
      <c r="A5" s="186">
        <v>46082</v>
      </c>
      <c r="B5" s="180" t="s">
        <v>62</v>
      </c>
      <c r="C5" s="180" t="s">
        <v>20</v>
      </c>
      <c r="D5" s="7" t="s">
        <v>48</v>
      </c>
      <c r="E5" s="7">
        <v>720</v>
      </c>
      <c r="F5" s="7">
        <v>1.5</v>
      </c>
      <c r="G5" s="7">
        <v>12</v>
      </c>
      <c r="H5" s="7">
        <v>5</v>
      </c>
      <c r="I5" s="7">
        <v>21.5</v>
      </c>
      <c r="J5" s="7">
        <f>F5+G5+H5+I5</f>
        <v>40</v>
      </c>
      <c r="K5" s="10">
        <v>680</v>
      </c>
      <c r="L5" s="7">
        <v>6</v>
      </c>
      <c r="M5" s="7" t="s">
        <v>50</v>
      </c>
      <c r="N5" s="9">
        <f>K5/E5*100</f>
        <v>94.444444444444443</v>
      </c>
      <c r="O5" s="7">
        <f>K5+J5</f>
        <v>720</v>
      </c>
      <c r="P5" s="7">
        <f>E5-O5</f>
        <v>0</v>
      </c>
    </row>
    <row r="6" spans="1:16" ht="14.45" customHeight="1">
      <c r="A6" s="187">
        <v>46083</v>
      </c>
      <c r="B6" s="7" t="s">
        <v>62</v>
      </c>
      <c r="C6" s="7" t="s">
        <v>20</v>
      </c>
      <c r="D6" s="7" t="s">
        <v>48</v>
      </c>
      <c r="E6" s="7">
        <v>3050</v>
      </c>
      <c r="F6" s="7">
        <v>4.5999999999999996</v>
      </c>
      <c r="G6" s="7">
        <v>59</v>
      </c>
      <c r="H6" s="7">
        <v>6</v>
      </c>
      <c r="I6" s="7">
        <v>60.4</v>
      </c>
      <c r="J6" s="7">
        <f>F6+G6+H6+I6</f>
        <v>130</v>
      </c>
      <c r="K6" s="10">
        <v>2920</v>
      </c>
      <c r="L6" s="7">
        <v>5</v>
      </c>
      <c r="M6" s="7" t="s">
        <v>49</v>
      </c>
      <c r="N6" s="9">
        <f>K6/E6*100</f>
        <v>95.73770491803279</v>
      </c>
      <c r="O6" s="7">
        <f>K6+J6</f>
        <v>3050</v>
      </c>
      <c r="P6" s="7">
        <f>E6-O6</f>
        <v>0</v>
      </c>
    </row>
    <row r="7" spans="1:16" ht="14.45" customHeight="1">
      <c r="A7" s="192">
        <v>46087</v>
      </c>
      <c r="B7" s="7" t="s">
        <v>62</v>
      </c>
      <c r="C7" s="7" t="s">
        <v>20</v>
      </c>
      <c r="D7" s="7" t="s">
        <v>48</v>
      </c>
      <c r="E7" s="64">
        <v>4800</v>
      </c>
      <c r="F7" s="64">
        <v>2</v>
      </c>
      <c r="G7" s="64">
        <v>97</v>
      </c>
      <c r="H7" s="64">
        <v>6</v>
      </c>
      <c r="I7" s="64">
        <v>105</v>
      </c>
      <c r="J7" s="7">
        <f>F7+G7+H7+I7</f>
        <v>210</v>
      </c>
      <c r="K7" s="65">
        <v>4590</v>
      </c>
      <c r="L7" s="64">
        <v>5</v>
      </c>
      <c r="M7" s="7" t="s">
        <v>49</v>
      </c>
      <c r="N7" s="9">
        <f>K7/E7*100</f>
        <v>95.625</v>
      </c>
      <c r="O7" s="7">
        <f>K7+J7</f>
        <v>4800</v>
      </c>
      <c r="P7" s="7">
        <f>E7-O7</f>
        <v>0</v>
      </c>
    </row>
    <row r="8" spans="1:16" ht="14.45" customHeight="1">
      <c r="A8" s="192">
        <v>46089</v>
      </c>
      <c r="B8" s="64" t="s">
        <v>62</v>
      </c>
      <c r="C8" s="64" t="s">
        <v>20</v>
      </c>
      <c r="D8" s="7" t="s">
        <v>48</v>
      </c>
      <c r="E8" s="64">
        <v>5200</v>
      </c>
      <c r="F8" s="64">
        <v>10</v>
      </c>
      <c r="G8" s="64">
        <v>95</v>
      </c>
      <c r="H8" s="64">
        <v>15</v>
      </c>
      <c r="I8" s="64">
        <v>130</v>
      </c>
      <c r="J8" s="7">
        <f>F8+G8+H8+I8</f>
        <v>250</v>
      </c>
      <c r="K8" s="65">
        <v>4950</v>
      </c>
      <c r="L8" s="64">
        <v>6</v>
      </c>
      <c r="M8" s="64" t="s">
        <v>53</v>
      </c>
      <c r="N8" s="9">
        <f>K8/E8*100</f>
        <v>95.192307692307693</v>
      </c>
      <c r="O8" s="7">
        <f>K8+J8</f>
        <v>5200</v>
      </c>
      <c r="P8" s="7">
        <f>E8-O8</f>
        <v>0</v>
      </c>
    </row>
    <row r="9" spans="1:16" ht="14.45" customHeight="1">
      <c r="A9" s="193">
        <v>46091</v>
      </c>
      <c r="B9" s="117" t="s">
        <v>62</v>
      </c>
      <c r="C9" s="117" t="s">
        <v>20</v>
      </c>
      <c r="D9" s="7" t="s">
        <v>48</v>
      </c>
      <c r="E9" s="64">
        <v>2680</v>
      </c>
      <c r="F9" s="64">
        <v>20</v>
      </c>
      <c r="G9" s="64">
        <v>20</v>
      </c>
      <c r="H9" s="64">
        <v>15.8</v>
      </c>
      <c r="I9" s="64">
        <v>64.2</v>
      </c>
      <c r="J9" s="7">
        <f>F9+G9+H9+I9</f>
        <v>120</v>
      </c>
      <c r="K9" s="65">
        <v>2560</v>
      </c>
      <c r="L9" s="64">
        <v>7</v>
      </c>
      <c r="M9" s="64" t="s">
        <v>53</v>
      </c>
      <c r="N9" s="9">
        <f>K9/E9*100</f>
        <v>95.522388059701484</v>
      </c>
      <c r="O9" s="7">
        <f>K9+J9</f>
        <v>2680</v>
      </c>
      <c r="P9" s="7">
        <f>E9-O9</f>
        <v>0</v>
      </c>
    </row>
    <row r="10" spans="1:16" ht="14.45" customHeight="1">
      <c r="A10" s="186">
        <v>46091</v>
      </c>
      <c r="B10" s="180" t="s">
        <v>62</v>
      </c>
      <c r="C10" s="180" t="s">
        <v>20</v>
      </c>
      <c r="D10" s="7" t="s">
        <v>48</v>
      </c>
      <c r="E10" s="64">
        <v>1920</v>
      </c>
      <c r="F10" s="64">
        <v>15</v>
      </c>
      <c r="G10" s="64">
        <v>15</v>
      </c>
      <c r="H10" s="64">
        <v>3</v>
      </c>
      <c r="I10" s="64">
        <v>47</v>
      </c>
      <c r="J10" s="7">
        <f>F10+G10+H10+I10</f>
        <v>80</v>
      </c>
      <c r="K10" s="65">
        <v>1840</v>
      </c>
      <c r="L10" s="64">
        <v>4</v>
      </c>
      <c r="M10" s="64" t="s">
        <v>50</v>
      </c>
      <c r="N10" s="9">
        <f>K10/E10*100</f>
        <v>95.833333333333343</v>
      </c>
      <c r="O10" s="7">
        <f>K10+J10</f>
        <v>1920</v>
      </c>
      <c r="P10" s="7">
        <f>E10-O10</f>
        <v>0</v>
      </c>
    </row>
    <row r="11" spans="1:16" ht="14.45" customHeight="1">
      <c r="A11" s="192">
        <v>46092</v>
      </c>
      <c r="B11" s="64" t="s">
        <v>62</v>
      </c>
      <c r="C11" s="64" t="s">
        <v>20</v>
      </c>
      <c r="D11" s="64" t="s">
        <v>48</v>
      </c>
      <c r="E11" s="64">
        <v>2830</v>
      </c>
      <c r="F11" s="64">
        <v>12</v>
      </c>
      <c r="G11" s="64">
        <v>55</v>
      </c>
      <c r="H11" s="64">
        <v>7</v>
      </c>
      <c r="I11" s="64">
        <v>56</v>
      </c>
      <c r="J11" s="7">
        <f>F11+G11+H11+I11</f>
        <v>130</v>
      </c>
      <c r="K11" s="65">
        <v>2700</v>
      </c>
      <c r="L11" s="64">
        <v>4</v>
      </c>
      <c r="M11" s="64" t="s">
        <v>49</v>
      </c>
      <c r="N11" s="67">
        <v>95.4</v>
      </c>
      <c r="O11" s="7">
        <f>K11+J11</f>
        <v>2830</v>
      </c>
      <c r="P11" s="7">
        <f>E11-O11</f>
        <v>0</v>
      </c>
    </row>
    <row r="12" spans="1:16" ht="14.45" customHeight="1">
      <c r="A12" s="192">
        <v>46094</v>
      </c>
      <c r="B12" s="7" t="s">
        <v>64</v>
      </c>
      <c r="C12" s="64" t="s">
        <v>20</v>
      </c>
      <c r="D12" s="64" t="s">
        <v>92</v>
      </c>
      <c r="E12" s="64">
        <v>255</v>
      </c>
      <c r="F12" s="64">
        <v>0</v>
      </c>
      <c r="G12" s="64">
        <v>0</v>
      </c>
      <c r="H12" s="64">
        <v>1.2</v>
      </c>
      <c r="I12" s="64">
        <v>4</v>
      </c>
      <c r="J12" s="7">
        <f>F12+G12+H12+I12</f>
        <v>5.2</v>
      </c>
      <c r="K12" s="64">
        <v>250</v>
      </c>
      <c r="L12" s="64">
        <v>1</v>
      </c>
      <c r="M12" s="64" t="s">
        <v>53</v>
      </c>
      <c r="N12" s="67">
        <f>K12/E12*100</f>
        <v>98.039215686274503</v>
      </c>
      <c r="O12" s="7">
        <f>K12+J12</f>
        <v>255.2</v>
      </c>
      <c r="P12" s="7">
        <f>E12-O12</f>
        <v>-0.19999999999998863</v>
      </c>
    </row>
    <row r="13" spans="1:16" ht="14.45" customHeight="1">
      <c r="A13" s="192">
        <v>46094</v>
      </c>
      <c r="B13" s="7" t="s">
        <v>64</v>
      </c>
      <c r="C13" s="64" t="s">
        <v>20</v>
      </c>
      <c r="D13" s="64" t="s">
        <v>65</v>
      </c>
      <c r="E13" s="64">
        <f>500+200</f>
        <v>700</v>
      </c>
      <c r="F13" s="64">
        <v>0</v>
      </c>
      <c r="G13" s="64">
        <v>0</v>
      </c>
      <c r="H13" s="64">
        <v>3.5</v>
      </c>
      <c r="I13" s="64">
        <v>0</v>
      </c>
      <c r="J13" s="7">
        <f>F13+G13+H13+I13</f>
        <v>3.5</v>
      </c>
      <c r="K13" s="68">
        <f>460+186</f>
        <v>646</v>
      </c>
      <c r="L13" s="64">
        <v>1</v>
      </c>
      <c r="M13" s="64" t="s">
        <v>53</v>
      </c>
      <c r="N13" s="67">
        <v>92</v>
      </c>
      <c r="O13" s="7">
        <f>K13+J13</f>
        <v>649.5</v>
      </c>
      <c r="P13" s="7">
        <f>E13-O13</f>
        <v>50.5</v>
      </c>
    </row>
    <row r="14" spans="1:16" ht="14.45" customHeight="1">
      <c r="A14" s="192">
        <v>46094</v>
      </c>
      <c r="B14" s="64" t="s">
        <v>93</v>
      </c>
      <c r="C14" s="64" t="s">
        <v>20</v>
      </c>
      <c r="D14" s="64" t="s">
        <v>94</v>
      </c>
      <c r="E14" s="64">
        <v>4150</v>
      </c>
      <c r="F14" s="64">
        <v>42</v>
      </c>
      <c r="G14" s="64">
        <v>56</v>
      </c>
      <c r="H14" s="64">
        <v>12</v>
      </c>
      <c r="I14" s="64">
        <v>120</v>
      </c>
      <c r="J14" s="7">
        <f>F14+G14+H14+I14</f>
        <v>230</v>
      </c>
      <c r="K14" s="68">
        <v>3920</v>
      </c>
      <c r="L14" s="64">
        <v>5</v>
      </c>
      <c r="M14" s="64" t="s">
        <v>49</v>
      </c>
      <c r="N14" s="67">
        <f>K14/E14*100</f>
        <v>94.4578313253012</v>
      </c>
      <c r="O14" s="7">
        <f>K14+J14</f>
        <v>4150</v>
      </c>
      <c r="P14" s="7">
        <f>E14-O14</f>
        <v>0</v>
      </c>
    </row>
    <row r="15" spans="1:16" ht="14.45" customHeight="1">
      <c r="A15" s="192">
        <v>46095</v>
      </c>
      <c r="B15" s="64" t="s">
        <v>93</v>
      </c>
      <c r="C15" s="64" t="s">
        <v>20</v>
      </c>
      <c r="D15" s="64" t="s">
        <v>94</v>
      </c>
      <c r="E15" s="64">
        <v>6600</v>
      </c>
      <c r="F15" s="64">
        <v>43</v>
      </c>
      <c r="G15" s="64">
        <v>89</v>
      </c>
      <c r="H15" s="64">
        <v>16</v>
      </c>
      <c r="I15" s="64">
        <v>196</v>
      </c>
      <c r="J15" s="7">
        <f>F15+G15+H15+I15</f>
        <v>344</v>
      </c>
      <c r="K15" s="68">
        <v>6256</v>
      </c>
      <c r="L15" s="64">
        <v>4</v>
      </c>
      <c r="M15" s="64" t="s">
        <v>49</v>
      </c>
      <c r="N15" s="67">
        <f>K15/E15*100</f>
        <v>94.787878787878782</v>
      </c>
      <c r="O15" s="7">
        <f>K15+J15</f>
        <v>6600</v>
      </c>
      <c r="P15" s="7">
        <f>E15-O15</f>
        <v>0</v>
      </c>
    </row>
    <row r="16" spans="1:16" ht="14.45" customHeight="1">
      <c r="A16" s="192">
        <v>46096</v>
      </c>
      <c r="B16" s="64" t="s">
        <v>95</v>
      </c>
      <c r="C16" s="64" t="s">
        <v>20</v>
      </c>
      <c r="D16" s="64" t="s">
        <v>51</v>
      </c>
      <c r="E16" s="64">
        <v>6300</v>
      </c>
      <c r="F16" s="64">
        <v>46</v>
      </c>
      <c r="G16" s="64">
        <v>84</v>
      </c>
      <c r="H16" s="64">
        <v>140</v>
      </c>
      <c r="I16" s="64">
        <v>160</v>
      </c>
      <c r="J16" s="7">
        <f>F16+G16+H16+I16</f>
        <v>430</v>
      </c>
      <c r="K16" s="68">
        <v>6000</v>
      </c>
      <c r="L16" s="64">
        <v>4</v>
      </c>
      <c r="M16" s="64" t="s">
        <v>53</v>
      </c>
      <c r="N16" s="67">
        <f>K16/E16*100</f>
        <v>95.238095238095227</v>
      </c>
      <c r="O16" s="7">
        <f>K16+J16</f>
        <v>6430</v>
      </c>
      <c r="P16" s="7">
        <f>E16-O16</f>
        <v>-130</v>
      </c>
    </row>
    <row r="17" spans="1:16" ht="14.45" customHeight="1">
      <c r="A17" s="192">
        <v>46097</v>
      </c>
      <c r="B17" s="64" t="s">
        <v>95</v>
      </c>
      <c r="C17" s="64" t="s">
        <v>20</v>
      </c>
      <c r="D17" s="64" t="s">
        <v>94</v>
      </c>
      <c r="E17" s="64">
        <v>4300</v>
      </c>
      <c r="F17" s="64">
        <v>30</v>
      </c>
      <c r="G17" s="64">
        <v>54</v>
      </c>
      <c r="H17" s="64">
        <v>94</v>
      </c>
      <c r="I17" s="64">
        <v>86</v>
      </c>
      <c r="J17" s="7">
        <f>F17+G17+H17+I17</f>
        <v>264</v>
      </c>
      <c r="K17" s="68">
        <v>4120</v>
      </c>
      <c r="L17" s="64">
        <v>4</v>
      </c>
      <c r="M17" s="64" t="s">
        <v>53</v>
      </c>
      <c r="N17" s="67">
        <f>K17/E17*100</f>
        <v>95.813953488372093</v>
      </c>
      <c r="O17" s="7">
        <f>K17+J17</f>
        <v>4384</v>
      </c>
      <c r="P17" s="7">
        <f>E17-O17</f>
        <v>-84</v>
      </c>
    </row>
    <row r="18" spans="1:16" ht="14.45" customHeight="1">
      <c r="A18" s="192">
        <v>46099</v>
      </c>
      <c r="B18" s="64" t="s">
        <v>96</v>
      </c>
      <c r="C18" s="64" t="s">
        <v>20</v>
      </c>
      <c r="D18" s="64" t="s">
        <v>94</v>
      </c>
      <c r="E18" s="64">
        <v>6400</v>
      </c>
      <c r="F18" s="64">
        <v>32</v>
      </c>
      <c r="G18" s="64">
        <v>58</v>
      </c>
      <c r="H18" s="64">
        <v>16</v>
      </c>
      <c r="I18" s="64">
        <v>94</v>
      </c>
      <c r="J18" s="7">
        <f>F18+G18+H18+I18</f>
        <v>200</v>
      </c>
      <c r="K18" s="68">
        <v>6200</v>
      </c>
      <c r="L18" s="64">
        <v>5</v>
      </c>
      <c r="M18" s="64" t="s">
        <v>49</v>
      </c>
      <c r="N18" s="67">
        <f>K18/E18*100</f>
        <v>96.875</v>
      </c>
      <c r="O18" s="7">
        <f>K18+J18</f>
        <v>6400</v>
      </c>
      <c r="P18" s="7">
        <f>E18-O18</f>
        <v>0</v>
      </c>
    </row>
    <row r="19" spans="1:16" ht="14.45" customHeight="1">
      <c r="A19" s="192">
        <v>46101</v>
      </c>
      <c r="B19" s="64" t="s">
        <v>96</v>
      </c>
      <c r="C19" s="64" t="s">
        <v>20</v>
      </c>
      <c r="D19" s="64" t="s">
        <v>97</v>
      </c>
      <c r="E19" s="64">
        <v>5500</v>
      </c>
      <c r="F19" s="64">
        <v>4</v>
      </c>
      <c r="G19" s="64">
        <v>110</v>
      </c>
      <c r="H19" s="64">
        <v>15</v>
      </c>
      <c r="I19" s="64">
        <v>179</v>
      </c>
      <c r="J19" s="7">
        <f>F19+G19+H19+I19</f>
        <v>308</v>
      </c>
      <c r="K19" s="69">
        <v>5200</v>
      </c>
      <c r="L19" s="64">
        <v>5</v>
      </c>
      <c r="M19" s="64" t="s">
        <v>49</v>
      </c>
      <c r="N19" s="67">
        <f>K19/E19*100</f>
        <v>94.545454545454547</v>
      </c>
      <c r="O19" s="7">
        <f>K19+J19</f>
        <v>5508</v>
      </c>
      <c r="P19" s="7">
        <f>E19-O19</f>
        <v>-8</v>
      </c>
    </row>
    <row r="20" spans="1:16" ht="14.45" customHeight="1">
      <c r="A20" s="192">
        <v>46102</v>
      </c>
      <c r="B20" s="64" t="s">
        <v>96</v>
      </c>
      <c r="C20" s="64" t="s">
        <v>20</v>
      </c>
      <c r="D20" s="64" t="s">
        <v>97</v>
      </c>
      <c r="E20" s="64">
        <v>6500</v>
      </c>
      <c r="F20" s="64">
        <v>6</v>
      </c>
      <c r="G20" s="64">
        <v>127</v>
      </c>
      <c r="H20" s="64">
        <v>15</v>
      </c>
      <c r="I20" s="64">
        <v>192</v>
      </c>
      <c r="J20" s="7">
        <f>F20+G20+H20+I20</f>
        <v>340</v>
      </c>
      <c r="K20" s="69">
        <v>6160</v>
      </c>
      <c r="L20" s="64">
        <v>5</v>
      </c>
      <c r="M20" s="64" t="s">
        <v>49</v>
      </c>
      <c r="N20" s="67">
        <f>K20/E20*100</f>
        <v>94.769230769230774</v>
      </c>
      <c r="O20" s="7">
        <f>K20+J20</f>
        <v>6500</v>
      </c>
      <c r="P20" s="7">
        <f>E20-O20</f>
        <v>0</v>
      </c>
    </row>
    <row r="21" spans="1:16" ht="14.45" customHeight="1">
      <c r="A21" s="192">
        <v>46103</v>
      </c>
      <c r="B21" s="64" t="s">
        <v>96</v>
      </c>
      <c r="C21" s="64" t="s">
        <v>20</v>
      </c>
      <c r="D21" s="64" t="s">
        <v>97</v>
      </c>
      <c r="E21" s="64">
        <v>3600</v>
      </c>
      <c r="F21" s="64">
        <v>4.5</v>
      </c>
      <c r="G21" s="64">
        <v>67</v>
      </c>
      <c r="H21" s="64">
        <v>9</v>
      </c>
      <c r="I21" s="64">
        <v>159.5</v>
      </c>
      <c r="J21" s="7">
        <f>F21+G21+H21+I21</f>
        <v>240</v>
      </c>
      <c r="K21" s="69">
        <v>3360</v>
      </c>
      <c r="L21" s="64">
        <v>4</v>
      </c>
      <c r="M21" s="64" t="s">
        <v>63</v>
      </c>
      <c r="N21" s="67">
        <v>93.33</v>
      </c>
      <c r="O21" s="7">
        <f>K21+J21</f>
        <v>3600</v>
      </c>
      <c r="P21" s="7">
        <f>E21-O21</f>
        <v>0</v>
      </c>
    </row>
    <row r="22" spans="1:16" ht="14.45" customHeight="1">
      <c r="A22" s="192">
        <v>46105</v>
      </c>
      <c r="B22" s="64" t="s">
        <v>96</v>
      </c>
      <c r="C22" s="64" t="s">
        <v>20</v>
      </c>
      <c r="D22" s="64" t="s">
        <v>97</v>
      </c>
      <c r="E22" s="64">
        <v>5900</v>
      </c>
      <c r="F22" s="64">
        <v>6</v>
      </c>
      <c r="G22" s="64">
        <v>135</v>
      </c>
      <c r="H22" s="64">
        <v>15</v>
      </c>
      <c r="I22" s="64">
        <v>144</v>
      </c>
      <c r="J22" s="7">
        <f>F22+G22+H22+I22</f>
        <v>300</v>
      </c>
      <c r="K22" s="69">
        <v>5600</v>
      </c>
      <c r="L22" s="64">
        <v>4</v>
      </c>
      <c r="M22" s="64" t="s">
        <v>63</v>
      </c>
      <c r="N22" s="67">
        <f>K22/E22*100</f>
        <v>94.915254237288138</v>
      </c>
      <c r="O22" s="7">
        <f>K22+J22</f>
        <v>5900</v>
      </c>
      <c r="P22" s="7">
        <f>E22-O22</f>
        <v>0</v>
      </c>
    </row>
    <row r="23" spans="1:16" ht="14.45" customHeight="1">
      <c r="A23" s="192">
        <v>46106</v>
      </c>
      <c r="B23" s="64" t="s">
        <v>96</v>
      </c>
      <c r="C23" s="64" t="s">
        <v>20</v>
      </c>
      <c r="D23" s="64" t="s">
        <v>97</v>
      </c>
      <c r="E23" s="64">
        <v>5700</v>
      </c>
      <c r="F23" s="64">
        <v>7</v>
      </c>
      <c r="G23" s="64">
        <v>156</v>
      </c>
      <c r="H23" s="64">
        <v>15</v>
      </c>
      <c r="I23" s="64">
        <v>162</v>
      </c>
      <c r="J23" s="7">
        <f>F23+G23+H23+I23</f>
        <v>340</v>
      </c>
      <c r="K23" s="69">
        <v>5360</v>
      </c>
      <c r="L23" s="64">
        <v>4</v>
      </c>
      <c r="M23" s="64" t="s">
        <v>63</v>
      </c>
      <c r="N23" s="67">
        <f>K23/E23*100</f>
        <v>94.035087719298247</v>
      </c>
      <c r="O23" s="7">
        <f>K23+J23</f>
        <v>5700</v>
      </c>
      <c r="P23" s="7">
        <f>E23-O23</f>
        <v>0</v>
      </c>
    </row>
    <row r="24" spans="1:16" ht="14.45" customHeight="1">
      <c r="A24" s="192">
        <v>46108</v>
      </c>
      <c r="B24" s="64" t="s">
        <v>96</v>
      </c>
      <c r="C24" s="64" t="s">
        <v>20</v>
      </c>
      <c r="D24" s="64" t="s">
        <v>97</v>
      </c>
      <c r="E24" s="64">
        <v>4850</v>
      </c>
      <c r="F24" s="64">
        <v>6</v>
      </c>
      <c r="G24" s="64">
        <v>104</v>
      </c>
      <c r="H24" s="64">
        <v>12</v>
      </c>
      <c r="I24" s="64">
        <v>128</v>
      </c>
      <c r="J24" s="7">
        <f>F24+G24+H24+I24</f>
        <v>250</v>
      </c>
      <c r="K24" s="69">
        <v>4600</v>
      </c>
      <c r="L24" s="64">
        <v>4</v>
      </c>
      <c r="M24" s="64" t="s">
        <v>63</v>
      </c>
      <c r="N24" s="67">
        <f>K24/E24*100</f>
        <v>94.845360824742258</v>
      </c>
      <c r="O24" s="7">
        <f>K24+J24</f>
        <v>4850</v>
      </c>
      <c r="P24" s="7">
        <f>E24-O24</f>
        <v>0</v>
      </c>
    </row>
    <row r="25" spans="1:16" ht="14.45" customHeight="1">
      <c r="A25" s="192">
        <v>46109</v>
      </c>
      <c r="B25" s="64" t="s">
        <v>96</v>
      </c>
      <c r="C25" s="64" t="s">
        <v>20</v>
      </c>
      <c r="D25" s="64" t="s">
        <v>97</v>
      </c>
      <c r="E25" s="64">
        <v>4500</v>
      </c>
      <c r="F25" s="64">
        <v>4</v>
      </c>
      <c r="G25" s="64">
        <v>112</v>
      </c>
      <c r="H25" s="64">
        <v>16</v>
      </c>
      <c r="I25" s="64">
        <v>168</v>
      </c>
      <c r="J25" s="64">
        <f>F25+G25+H25+I25</f>
        <v>300</v>
      </c>
      <c r="K25" s="69">
        <v>4200</v>
      </c>
      <c r="L25" s="64">
        <v>4</v>
      </c>
      <c r="M25" s="64"/>
      <c r="N25" s="67">
        <f>K25/E25*100</f>
        <v>93.333333333333329</v>
      </c>
      <c r="O25" s="7">
        <f>K25+J25</f>
        <v>4500</v>
      </c>
      <c r="P25" s="7">
        <f>E25-O25</f>
        <v>0</v>
      </c>
    </row>
    <row r="26" spans="1:16" ht="14.45" customHeight="1">
      <c r="A26" s="192">
        <v>46110</v>
      </c>
      <c r="B26" s="64" t="s">
        <v>96</v>
      </c>
      <c r="C26" s="64" t="s">
        <v>98</v>
      </c>
      <c r="D26" s="64" t="s">
        <v>97</v>
      </c>
      <c r="E26" s="64">
        <v>2050</v>
      </c>
      <c r="F26" s="64">
        <v>4</v>
      </c>
      <c r="G26" s="64">
        <v>45</v>
      </c>
      <c r="H26" s="64">
        <v>11</v>
      </c>
      <c r="I26" s="64">
        <v>72</v>
      </c>
      <c r="J26" s="64">
        <f>4+45+11+72</f>
        <v>132</v>
      </c>
      <c r="K26" s="70">
        <v>1920</v>
      </c>
      <c r="L26" s="64">
        <v>4</v>
      </c>
      <c r="M26" s="64" t="s">
        <v>49</v>
      </c>
      <c r="N26" s="67">
        <f>K26/E26*100</f>
        <v>93.658536585365866</v>
      </c>
      <c r="O26" s="7">
        <f>K26+J26</f>
        <v>2052</v>
      </c>
      <c r="P26" s="7">
        <f>E26-O26</f>
        <v>-2</v>
      </c>
    </row>
    <row r="27" spans="1:16" ht="14.45" customHeight="1">
      <c r="A27" s="192">
        <v>46111</v>
      </c>
      <c r="B27" s="64" t="s">
        <v>96</v>
      </c>
      <c r="C27" s="64" t="s">
        <v>98</v>
      </c>
      <c r="D27" s="64" t="s">
        <v>97</v>
      </c>
      <c r="E27" s="64">
        <v>4260</v>
      </c>
      <c r="F27" s="64">
        <v>7</v>
      </c>
      <c r="G27" s="64">
        <v>90</v>
      </c>
      <c r="H27" s="64">
        <v>10</v>
      </c>
      <c r="I27" s="64">
        <v>153</v>
      </c>
      <c r="J27" s="64">
        <v>260</v>
      </c>
      <c r="K27" s="68">
        <v>4000</v>
      </c>
      <c r="L27" s="64">
        <v>4</v>
      </c>
      <c r="M27" s="64" t="s">
        <v>53</v>
      </c>
      <c r="N27" s="67">
        <f>K27/E27*100</f>
        <v>93.896713615023472</v>
      </c>
      <c r="O27" s="7">
        <f>K27+J27</f>
        <v>4260</v>
      </c>
      <c r="P27" s="7">
        <f>E27-O27</f>
        <v>0</v>
      </c>
    </row>
    <row r="28" spans="1:16" ht="14.45" customHeight="1">
      <c r="A28" s="192">
        <v>46112</v>
      </c>
      <c r="B28" s="64" t="s">
        <v>96</v>
      </c>
      <c r="C28" s="64" t="s">
        <v>98</v>
      </c>
      <c r="D28" s="64" t="s">
        <v>97</v>
      </c>
      <c r="E28" s="64">
        <v>8000</v>
      </c>
      <c r="F28" s="64">
        <v>8</v>
      </c>
      <c r="G28" s="64">
        <v>470</v>
      </c>
      <c r="H28" s="64">
        <v>16</v>
      </c>
      <c r="I28" s="64">
        <v>226</v>
      </c>
      <c r="J28" s="64">
        <f>F28+G28+H28+I28</f>
        <v>720</v>
      </c>
      <c r="K28" s="68">
        <v>7280</v>
      </c>
      <c r="L28" s="64">
        <v>5</v>
      </c>
      <c r="M28" s="64" t="s">
        <v>53</v>
      </c>
      <c r="N28" s="67">
        <f>K28/E28*100</f>
        <v>91</v>
      </c>
      <c r="O28" s="7">
        <f>K28+J28</f>
        <v>8000</v>
      </c>
      <c r="P28" s="7">
        <f>E28-O28</f>
        <v>0</v>
      </c>
    </row>
  </sheetData>
  <mergeCells count="11">
    <mergeCell ref="A1:N1"/>
    <mergeCell ref="A2:A3"/>
    <mergeCell ref="B2:B3"/>
    <mergeCell ref="C2:C3"/>
    <mergeCell ref="D2:D3"/>
    <mergeCell ref="E2:E3"/>
    <mergeCell ref="J2:J3"/>
    <mergeCell ref="K2:K3"/>
    <mergeCell ref="L2:L3"/>
    <mergeCell ref="M2:M3"/>
    <mergeCell ref="N2:N3"/>
  </mergeCells>
  <pageMargins left="0" right="0" top="0" bottom="0" header="0" footer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64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cols>
    <col min="17" max="17" width="31.85546875" customWidth="1"/>
  </cols>
  <sheetData>
    <row r="1" spans="1:16" ht="15.75" customHeight="1">
      <c r="A1" s="275" t="s">
        <v>40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1"/>
      <c r="P1" s="1"/>
    </row>
    <row r="2" spans="1:16" ht="15.75" customHeight="1">
      <c r="A2" s="264" t="s">
        <v>25</v>
      </c>
      <c r="B2" s="276" t="s">
        <v>26</v>
      </c>
      <c r="C2" s="267" t="s">
        <v>27</v>
      </c>
      <c r="D2" s="267" t="s">
        <v>22</v>
      </c>
      <c r="E2" s="268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267" t="s">
        <v>33</v>
      </c>
      <c r="K2" s="268" t="s">
        <v>34</v>
      </c>
      <c r="L2" s="267" t="s">
        <v>35</v>
      </c>
      <c r="M2" s="264" t="s">
        <v>41</v>
      </c>
      <c r="N2" s="269" t="s">
        <v>37</v>
      </c>
      <c r="O2" s="269" t="s">
        <v>99</v>
      </c>
      <c r="P2" s="1"/>
    </row>
    <row r="3" spans="1:16" ht="15.75" customHeight="1">
      <c r="A3" s="321"/>
      <c r="B3" s="324"/>
      <c r="C3" s="321"/>
      <c r="D3" s="321"/>
      <c r="E3" s="321"/>
      <c r="F3" s="5" t="s">
        <v>42</v>
      </c>
      <c r="G3" s="5" t="s">
        <v>43</v>
      </c>
      <c r="H3" s="5" t="s">
        <v>44</v>
      </c>
      <c r="I3" s="5" t="s">
        <v>32</v>
      </c>
      <c r="J3" s="321"/>
      <c r="K3" s="321"/>
      <c r="L3" s="321"/>
      <c r="M3" s="321"/>
      <c r="N3" s="321"/>
      <c r="O3" s="321"/>
      <c r="P3" s="1"/>
    </row>
    <row r="4" spans="1:16" ht="15.75" customHeight="1">
      <c r="A4" s="187">
        <v>46113</v>
      </c>
      <c r="B4" s="72" t="s">
        <v>55</v>
      </c>
      <c r="C4" s="7" t="s">
        <v>19</v>
      </c>
      <c r="D4" s="7" t="s">
        <v>72</v>
      </c>
      <c r="E4" s="7">
        <v>1000</v>
      </c>
      <c r="F4" s="7">
        <v>6</v>
      </c>
      <c r="G4" s="7">
        <v>1</v>
      </c>
      <c r="H4" s="7">
        <v>1</v>
      </c>
      <c r="I4" s="7">
        <v>42</v>
      </c>
      <c r="J4" s="23">
        <f>I4+H4+G4+F4</f>
        <v>50</v>
      </c>
      <c r="K4" s="8">
        <v>950</v>
      </c>
      <c r="L4" s="7">
        <v>3</v>
      </c>
      <c r="M4" s="7" t="s">
        <v>50</v>
      </c>
      <c r="N4" s="27">
        <f>K4/E4*100</f>
        <v>95</v>
      </c>
      <c r="O4" s="7">
        <f>K4+J4</f>
        <v>1000</v>
      </c>
      <c r="P4" s="7">
        <f>E4-O4</f>
        <v>0</v>
      </c>
    </row>
    <row r="5" spans="1:16" ht="15.75" customHeight="1">
      <c r="A5" s="187">
        <v>46114</v>
      </c>
      <c r="B5" s="72" t="s">
        <v>55</v>
      </c>
      <c r="C5" s="7" t="s">
        <v>19</v>
      </c>
      <c r="D5" s="7" t="s">
        <v>72</v>
      </c>
      <c r="E5" s="7">
        <v>1050</v>
      </c>
      <c r="F5" s="7">
        <v>0</v>
      </c>
      <c r="G5" s="7">
        <v>6</v>
      </c>
      <c r="H5" s="7">
        <v>1</v>
      </c>
      <c r="I5" s="7">
        <v>66</v>
      </c>
      <c r="J5" s="23">
        <f>I5+H5+G5+F5</f>
        <v>73</v>
      </c>
      <c r="K5" s="8">
        <v>977</v>
      </c>
      <c r="L5" s="7">
        <v>3</v>
      </c>
      <c r="M5" s="7" t="s">
        <v>50</v>
      </c>
      <c r="N5" s="27">
        <f>K5/E5*100</f>
        <v>93.047619047619051</v>
      </c>
      <c r="O5" s="7">
        <f>K5+J5</f>
        <v>1050</v>
      </c>
      <c r="P5" s="7">
        <f>E5-O5</f>
        <v>0</v>
      </c>
    </row>
    <row r="6" spans="1:16" ht="15.75" customHeight="1">
      <c r="A6" s="187">
        <v>46118</v>
      </c>
      <c r="B6" s="72" t="s">
        <v>55</v>
      </c>
      <c r="C6" s="7" t="s">
        <v>19</v>
      </c>
      <c r="D6" s="7" t="s">
        <v>72</v>
      </c>
      <c r="E6" s="23">
        <v>1150</v>
      </c>
      <c r="F6" s="7">
        <v>7</v>
      </c>
      <c r="G6" s="7">
        <v>26</v>
      </c>
      <c r="H6" s="7">
        <v>1.5</v>
      </c>
      <c r="I6" s="7">
        <v>80.5</v>
      </c>
      <c r="J6" s="23">
        <f>I6+H6+G6+F6</f>
        <v>115</v>
      </c>
      <c r="K6" s="14">
        <v>1035</v>
      </c>
      <c r="L6" s="23">
        <v>4</v>
      </c>
      <c r="M6" s="7" t="s">
        <v>50</v>
      </c>
      <c r="N6" s="27">
        <f>K6/E6*100</f>
        <v>90</v>
      </c>
      <c r="O6" s="7">
        <f>K6+J6</f>
        <v>1150</v>
      </c>
      <c r="P6" s="7">
        <f>E6-O6</f>
        <v>0</v>
      </c>
    </row>
    <row r="7" spans="1:16" ht="15.75" customHeight="1">
      <c r="A7" s="187">
        <v>46116</v>
      </c>
      <c r="B7" s="72" t="s">
        <v>84</v>
      </c>
      <c r="C7" s="7" t="s">
        <v>19</v>
      </c>
      <c r="D7" s="7" t="s">
        <v>72</v>
      </c>
      <c r="E7" s="23">
        <v>720</v>
      </c>
      <c r="F7" s="7">
        <v>3</v>
      </c>
      <c r="G7" s="7">
        <v>10</v>
      </c>
      <c r="H7" s="7">
        <v>1</v>
      </c>
      <c r="I7" s="7">
        <v>45</v>
      </c>
      <c r="J7" s="23">
        <f>I7+H7+G7+F7</f>
        <v>59</v>
      </c>
      <c r="K7" s="14">
        <v>661</v>
      </c>
      <c r="L7" s="23">
        <v>3</v>
      </c>
      <c r="M7" s="7" t="s">
        <v>49</v>
      </c>
      <c r="N7" s="27">
        <f>K7/E7*100</f>
        <v>91.805555555555557</v>
      </c>
      <c r="O7" s="7">
        <f>K7+J7</f>
        <v>720</v>
      </c>
      <c r="P7" s="7">
        <f>E7-O7</f>
        <v>0</v>
      </c>
    </row>
    <row r="8" spans="1:16" ht="15.75" customHeight="1">
      <c r="A8" s="187">
        <v>46119</v>
      </c>
      <c r="B8" s="72" t="s">
        <v>55</v>
      </c>
      <c r="C8" s="7" t="s">
        <v>19</v>
      </c>
      <c r="D8" s="7" t="s">
        <v>72</v>
      </c>
      <c r="E8" s="23">
        <v>720</v>
      </c>
      <c r="F8" s="23">
        <v>1</v>
      </c>
      <c r="G8" s="23">
        <v>10</v>
      </c>
      <c r="H8" s="23">
        <v>1</v>
      </c>
      <c r="I8" s="23">
        <v>28</v>
      </c>
      <c r="J8" s="23">
        <f>I8+H8+G8+F8</f>
        <v>40</v>
      </c>
      <c r="K8" s="8">
        <v>680</v>
      </c>
      <c r="L8" s="23">
        <v>2</v>
      </c>
      <c r="M8" s="7" t="s">
        <v>49</v>
      </c>
      <c r="N8" s="27">
        <f>K8/E8*100</f>
        <v>94.444444444444443</v>
      </c>
      <c r="O8" s="7">
        <f>K8+J8</f>
        <v>720</v>
      </c>
      <c r="P8" s="7">
        <f>E8-O8</f>
        <v>0</v>
      </c>
    </row>
    <row r="9" spans="1:16" ht="15.75" customHeight="1">
      <c r="A9" s="185">
        <v>46120</v>
      </c>
      <c r="B9" s="72" t="s">
        <v>55</v>
      </c>
      <c r="C9" s="7" t="s">
        <v>19</v>
      </c>
      <c r="D9" s="7" t="s">
        <v>72</v>
      </c>
      <c r="E9" s="23">
        <v>850</v>
      </c>
      <c r="F9" s="23">
        <v>2.5</v>
      </c>
      <c r="G9" s="23">
        <v>15</v>
      </c>
      <c r="H9" s="23">
        <v>2</v>
      </c>
      <c r="I9" s="23">
        <v>40.5</v>
      </c>
      <c r="J9" s="23">
        <f>I9+H9+G9+F9</f>
        <v>60</v>
      </c>
      <c r="K9" s="8">
        <v>790</v>
      </c>
      <c r="L9" s="23">
        <v>3</v>
      </c>
      <c r="M9" s="7" t="s">
        <v>50</v>
      </c>
      <c r="N9" s="27">
        <f>K9/E9*100</f>
        <v>92.941176470588232</v>
      </c>
      <c r="O9" s="7">
        <f>K9+J9</f>
        <v>850</v>
      </c>
      <c r="P9" s="7">
        <f>E9-O9</f>
        <v>0</v>
      </c>
    </row>
    <row r="10" spans="1:16" ht="15.75" customHeight="1">
      <c r="A10" s="186">
        <v>46120</v>
      </c>
      <c r="B10" s="72" t="s">
        <v>55</v>
      </c>
      <c r="C10" s="7" t="s">
        <v>19</v>
      </c>
      <c r="D10" s="7" t="s">
        <v>72</v>
      </c>
      <c r="E10" s="7">
        <v>1200</v>
      </c>
      <c r="F10" s="7">
        <v>3</v>
      </c>
      <c r="G10" s="7">
        <v>30</v>
      </c>
      <c r="H10" s="7">
        <v>2</v>
      </c>
      <c r="I10" s="7">
        <v>65</v>
      </c>
      <c r="J10" s="23">
        <f>I10+H10+G10+F10</f>
        <v>100</v>
      </c>
      <c r="K10" s="73">
        <v>1100</v>
      </c>
      <c r="L10" s="7">
        <v>3</v>
      </c>
      <c r="M10" s="7" t="s">
        <v>49</v>
      </c>
      <c r="N10" s="27">
        <f>K10/E10*100</f>
        <v>91.666666666666657</v>
      </c>
      <c r="O10" s="7">
        <f>K10+J10</f>
        <v>1200</v>
      </c>
      <c r="P10" s="7">
        <f>E10-O10</f>
        <v>0</v>
      </c>
    </row>
    <row r="11" spans="1:16" ht="15.75" customHeight="1">
      <c r="A11" s="185">
        <v>46121</v>
      </c>
      <c r="B11" s="72" t="s">
        <v>55</v>
      </c>
      <c r="C11" s="7" t="s">
        <v>19</v>
      </c>
      <c r="D11" s="7" t="s">
        <v>72</v>
      </c>
      <c r="E11" s="7">
        <v>900</v>
      </c>
      <c r="F11" s="7">
        <v>2.5</v>
      </c>
      <c r="G11" s="7">
        <v>16</v>
      </c>
      <c r="H11" s="7">
        <v>2</v>
      </c>
      <c r="I11" s="7">
        <v>56.5</v>
      </c>
      <c r="J11" s="23">
        <f>I11+H11+G11+F11</f>
        <v>77</v>
      </c>
      <c r="K11" s="73">
        <v>823</v>
      </c>
      <c r="L11" s="7">
        <v>3</v>
      </c>
      <c r="M11" s="7" t="s">
        <v>49</v>
      </c>
      <c r="N11" s="27">
        <f>K11/E11*100</f>
        <v>91.444444444444443</v>
      </c>
      <c r="O11" s="7">
        <f>K11+J11</f>
        <v>900</v>
      </c>
      <c r="P11" s="7">
        <f>E11-O11</f>
        <v>0</v>
      </c>
    </row>
    <row r="12" spans="1:16" ht="15.75" customHeight="1">
      <c r="A12" s="186">
        <v>46121</v>
      </c>
      <c r="B12" s="72" t="s">
        <v>55</v>
      </c>
      <c r="C12" s="7" t="s">
        <v>19</v>
      </c>
      <c r="D12" s="7" t="s">
        <v>88</v>
      </c>
      <c r="E12" s="7">
        <v>720</v>
      </c>
      <c r="F12" s="7">
        <v>2</v>
      </c>
      <c r="G12" s="7">
        <v>5</v>
      </c>
      <c r="H12" s="7">
        <v>1</v>
      </c>
      <c r="I12" s="7">
        <v>62</v>
      </c>
      <c r="J12" s="23">
        <f>I12+H12+G12+F12</f>
        <v>70</v>
      </c>
      <c r="K12" s="8">
        <v>650</v>
      </c>
      <c r="L12" s="7">
        <v>3</v>
      </c>
      <c r="M12" s="7" t="s">
        <v>50</v>
      </c>
      <c r="N12" s="27">
        <f>K12/E12*100</f>
        <v>90.277777777777786</v>
      </c>
      <c r="O12" s="7">
        <f>K12+J12</f>
        <v>720</v>
      </c>
      <c r="P12" s="7">
        <f>E12-O12</f>
        <v>0</v>
      </c>
    </row>
    <row r="13" spans="1:16" ht="15.75" customHeight="1">
      <c r="A13" s="187">
        <v>46122</v>
      </c>
      <c r="B13" s="72" t="s">
        <v>55</v>
      </c>
      <c r="C13" s="7" t="s">
        <v>19</v>
      </c>
      <c r="D13" s="7" t="s">
        <v>88</v>
      </c>
      <c r="E13" s="7">
        <v>1500</v>
      </c>
      <c r="F13" s="7">
        <v>4.5</v>
      </c>
      <c r="G13" s="7">
        <v>15</v>
      </c>
      <c r="H13" s="7">
        <v>2</v>
      </c>
      <c r="I13" s="7">
        <v>108.5</v>
      </c>
      <c r="J13" s="23">
        <f>I13+H13+G13+F13</f>
        <v>130</v>
      </c>
      <c r="K13" s="8">
        <v>1370</v>
      </c>
      <c r="L13" s="7">
        <v>3</v>
      </c>
      <c r="M13" s="7" t="s">
        <v>50</v>
      </c>
      <c r="N13" s="27">
        <f>K13/E13*100</f>
        <v>91.333333333333329</v>
      </c>
      <c r="O13" s="7">
        <f>K13+J13</f>
        <v>1500</v>
      </c>
      <c r="P13" s="7">
        <f>E13-O13</f>
        <v>0</v>
      </c>
    </row>
    <row r="14" spans="1:16" ht="15.75" customHeight="1">
      <c r="A14" s="185">
        <v>46123</v>
      </c>
      <c r="B14" s="72" t="s">
        <v>55</v>
      </c>
      <c r="C14" s="7" t="s">
        <v>19</v>
      </c>
      <c r="D14" s="7" t="s">
        <v>88</v>
      </c>
      <c r="E14" s="7">
        <v>1200</v>
      </c>
      <c r="F14" s="7">
        <v>4</v>
      </c>
      <c r="G14" s="7">
        <v>29</v>
      </c>
      <c r="H14" s="7">
        <v>2</v>
      </c>
      <c r="I14" s="7">
        <v>69</v>
      </c>
      <c r="J14" s="23">
        <f>G14+H14+I14</f>
        <v>100</v>
      </c>
      <c r="K14" s="14">
        <v>1100</v>
      </c>
      <c r="L14" s="7">
        <v>2</v>
      </c>
      <c r="M14" s="7" t="s">
        <v>49</v>
      </c>
      <c r="N14" s="27">
        <f>K14/E14*100</f>
        <v>91.666666666666657</v>
      </c>
      <c r="O14" s="7">
        <f>K14+J14</f>
        <v>1200</v>
      </c>
      <c r="P14" s="7">
        <f>E14-O14</f>
        <v>0</v>
      </c>
    </row>
    <row r="15" spans="1:16" ht="15.75" customHeight="1">
      <c r="A15" s="188">
        <v>46123</v>
      </c>
      <c r="B15" s="72" t="s">
        <v>55</v>
      </c>
      <c r="C15" s="7" t="s">
        <v>19</v>
      </c>
      <c r="D15" s="7" t="s">
        <v>88</v>
      </c>
      <c r="E15" s="7">
        <v>420</v>
      </c>
      <c r="F15" s="7">
        <v>3</v>
      </c>
      <c r="G15" s="7">
        <v>8</v>
      </c>
      <c r="H15" s="7">
        <v>1</v>
      </c>
      <c r="I15" s="7">
        <v>31</v>
      </c>
      <c r="J15" s="23">
        <f>I15+H15+G15</f>
        <v>40</v>
      </c>
      <c r="K15" s="8">
        <v>380</v>
      </c>
      <c r="L15" s="7">
        <v>2</v>
      </c>
      <c r="M15" s="7" t="s">
        <v>50</v>
      </c>
      <c r="N15" s="27">
        <f>K15/E15*100</f>
        <v>90.476190476190482</v>
      </c>
      <c r="O15" s="7">
        <f>K15+J15</f>
        <v>420</v>
      </c>
      <c r="P15" s="7">
        <f>E15-O15</f>
        <v>0</v>
      </c>
    </row>
    <row r="16" spans="1:16" ht="15.75" customHeight="1">
      <c r="A16" s="186">
        <v>46123</v>
      </c>
      <c r="B16" s="72" t="s">
        <v>55</v>
      </c>
      <c r="C16" s="7" t="s">
        <v>19</v>
      </c>
      <c r="D16" s="7" t="s">
        <v>79</v>
      </c>
      <c r="E16" s="7">
        <v>944</v>
      </c>
      <c r="F16" s="7">
        <v>0</v>
      </c>
      <c r="G16" s="7">
        <v>20</v>
      </c>
      <c r="H16" s="7">
        <v>1</v>
      </c>
      <c r="I16" s="7">
        <v>56</v>
      </c>
      <c r="J16" s="23">
        <f>I16+H16+G16</f>
        <v>77</v>
      </c>
      <c r="K16" s="14">
        <v>867</v>
      </c>
      <c r="L16" s="7">
        <v>2</v>
      </c>
      <c r="M16" s="7" t="s">
        <v>50</v>
      </c>
      <c r="N16" s="27">
        <f>K16/E16*100</f>
        <v>91.843220338983059</v>
      </c>
      <c r="O16" s="7">
        <f>K16+J16</f>
        <v>944</v>
      </c>
      <c r="P16" s="7">
        <f>E16-O16</f>
        <v>0</v>
      </c>
    </row>
    <row r="17" spans="1:16" ht="15.75" customHeight="1">
      <c r="A17" s="185">
        <v>46125</v>
      </c>
      <c r="B17" s="72" t="s">
        <v>55</v>
      </c>
      <c r="C17" s="7" t="s">
        <v>19</v>
      </c>
      <c r="D17" s="7" t="s">
        <v>46</v>
      </c>
      <c r="E17" s="7">
        <v>1800</v>
      </c>
      <c r="F17" s="7">
        <v>7</v>
      </c>
      <c r="G17" s="7">
        <v>36</v>
      </c>
      <c r="H17" s="7">
        <v>1</v>
      </c>
      <c r="I17" s="7">
        <v>113</v>
      </c>
      <c r="J17" s="23">
        <f>I17+H17+G17</f>
        <v>150</v>
      </c>
      <c r="K17" s="14">
        <v>1650</v>
      </c>
      <c r="L17" s="7">
        <v>2</v>
      </c>
      <c r="M17" s="7" t="s">
        <v>49</v>
      </c>
      <c r="N17" s="27">
        <f>K17/E17*100</f>
        <v>91.666666666666657</v>
      </c>
      <c r="O17" s="7">
        <f>K17+J17</f>
        <v>1800</v>
      </c>
      <c r="P17" s="7">
        <f>E17-O17</f>
        <v>0</v>
      </c>
    </row>
    <row r="18" spans="1:16" ht="15.75" customHeight="1">
      <c r="A18" s="186">
        <v>46125</v>
      </c>
      <c r="B18" s="72" t="s">
        <v>55</v>
      </c>
      <c r="C18" s="7" t="s">
        <v>19</v>
      </c>
      <c r="D18" s="7" t="s">
        <v>46</v>
      </c>
      <c r="E18" s="7">
        <v>1420</v>
      </c>
      <c r="F18" s="7">
        <v>5</v>
      </c>
      <c r="G18" s="7">
        <v>15</v>
      </c>
      <c r="H18" s="7">
        <v>1</v>
      </c>
      <c r="I18" s="7">
        <v>84</v>
      </c>
      <c r="J18" s="23">
        <f>I18+H18+G18</f>
        <v>100</v>
      </c>
      <c r="K18" s="14">
        <v>1320</v>
      </c>
      <c r="L18" s="7">
        <v>2</v>
      </c>
      <c r="M18" s="7" t="s">
        <v>50</v>
      </c>
      <c r="N18" s="27">
        <f>K18/E18*100</f>
        <v>92.957746478873233</v>
      </c>
      <c r="O18" s="7">
        <f>K18+J18</f>
        <v>1420</v>
      </c>
      <c r="P18" s="7">
        <f>E18-O18</f>
        <v>0</v>
      </c>
    </row>
    <row r="19" spans="1:16" ht="15.75" customHeight="1">
      <c r="A19" s="187">
        <v>46126</v>
      </c>
      <c r="B19" s="72" t="s">
        <v>55</v>
      </c>
      <c r="C19" s="7" t="s">
        <v>19</v>
      </c>
      <c r="D19" s="59" t="s">
        <v>46</v>
      </c>
      <c r="E19" s="7">
        <v>1450</v>
      </c>
      <c r="F19" s="7">
        <v>6</v>
      </c>
      <c r="G19" s="7">
        <v>60</v>
      </c>
      <c r="H19" s="7">
        <v>3</v>
      </c>
      <c r="I19" s="7">
        <v>38</v>
      </c>
      <c r="J19" s="23">
        <f>I19+H19+G19</f>
        <v>101</v>
      </c>
      <c r="K19" s="8">
        <v>1349</v>
      </c>
      <c r="L19" s="7">
        <v>2</v>
      </c>
      <c r="M19" s="7" t="s">
        <v>49</v>
      </c>
      <c r="N19" s="27">
        <f>K19/E19*100</f>
        <v>93.034482758620683</v>
      </c>
      <c r="O19" s="7">
        <f>K19+J19</f>
        <v>1450</v>
      </c>
      <c r="P19" s="7">
        <f>E19-O19</f>
        <v>0</v>
      </c>
    </row>
    <row r="20" spans="1:16" ht="15.75" customHeight="1">
      <c r="A20" s="187">
        <v>46127</v>
      </c>
      <c r="B20" s="72" t="s">
        <v>55</v>
      </c>
      <c r="C20" s="7" t="s">
        <v>19</v>
      </c>
      <c r="D20" s="7" t="s">
        <v>46</v>
      </c>
      <c r="E20" s="7">
        <v>195</v>
      </c>
      <c r="F20" s="7">
        <v>1</v>
      </c>
      <c r="G20" s="7">
        <v>3</v>
      </c>
      <c r="H20" s="7">
        <v>1</v>
      </c>
      <c r="I20" s="7">
        <v>16</v>
      </c>
      <c r="J20" s="23">
        <f>I20+H20+G20</f>
        <v>20</v>
      </c>
      <c r="K20" s="7">
        <v>175</v>
      </c>
      <c r="L20" s="7">
        <v>2</v>
      </c>
      <c r="M20" s="7" t="s">
        <v>49</v>
      </c>
      <c r="N20" s="27">
        <f>K20/E20*100</f>
        <v>89.743589743589752</v>
      </c>
      <c r="O20" s="7">
        <f>K20+J20</f>
        <v>195</v>
      </c>
      <c r="P20" s="7">
        <f>E20-O20</f>
        <v>0</v>
      </c>
    </row>
    <row r="21" spans="1:16" ht="15.75" customHeight="1">
      <c r="A21" s="187">
        <v>46128</v>
      </c>
      <c r="B21" s="72" t="s">
        <v>55</v>
      </c>
      <c r="C21" s="7" t="s">
        <v>19</v>
      </c>
      <c r="D21" s="7" t="s">
        <v>72</v>
      </c>
      <c r="E21" s="7">
        <v>1450</v>
      </c>
      <c r="F21" s="7">
        <v>5</v>
      </c>
      <c r="G21" s="7">
        <v>32</v>
      </c>
      <c r="H21" s="7">
        <v>2</v>
      </c>
      <c r="I21" s="7">
        <v>86</v>
      </c>
      <c r="J21" s="23">
        <f>I21+H21+G21</f>
        <v>120</v>
      </c>
      <c r="K21" s="8">
        <v>1330</v>
      </c>
      <c r="L21" s="7">
        <v>2</v>
      </c>
      <c r="M21" s="7" t="s">
        <v>50</v>
      </c>
      <c r="N21" s="27">
        <f>K21/E21*100</f>
        <v>91.724137931034477</v>
      </c>
      <c r="O21" s="7">
        <f>K21+J21</f>
        <v>1450</v>
      </c>
      <c r="P21" s="7">
        <f>E21-O21</f>
        <v>0</v>
      </c>
    </row>
    <row r="22" spans="1:16" ht="15.75" customHeight="1">
      <c r="A22" s="185">
        <v>46129</v>
      </c>
      <c r="B22" s="72" t="s">
        <v>55</v>
      </c>
      <c r="C22" s="7" t="s">
        <v>19</v>
      </c>
      <c r="D22" s="7" t="s">
        <v>72</v>
      </c>
      <c r="E22" s="7">
        <v>2000</v>
      </c>
      <c r="F22" s="7">
        <v>9</v>
      </c>
      <c r="G22" s="7">
        <v>21</v>
      </c>
      <c r="H22" s="7">
        <v>2</v>
      </c>
      <c r="I22" s="7">
        <v>81</v>
      </c>
      <c r="J22" s="23">
        <f>I22+H22+G22</f>
        <v>104</v>
      </c>
      <c r="K22" s="14">
        <v>1896</v>
      </c>
      <c r="L22" s="7">
        <v>2</v>
      </c>
      <c r="M22" s="7" t="s">
        <v>49</v>
      </c>
      <c r="N22" s="27">
        <f>K22/E22*100</f>
        <v>94.8</v>
      </c>
      <c r="O22" s="7">
        <f>K22+J22</f>
        <v>2000</v>
      </c>
      <c r="P22" s="7">
        <f>E22-O22</f>
        <v>0</v>
      </c>
    </row>
    <row r="23" spans="1:16" ht="15.75" customHeight="1">
      <c r="A23" s="186">
        <v>46129</v>
      </c>
      <c r="B23" s="72" t="s">
        <v>55</v>
      </c>
      <c r="C23" s="7" t="s">
        <v>19</v>
      </c>
      <c r="D23" s="7" t="s">
        <v>72</v>
      </c>
      <c r="E23" s="7">
        <v>1570</v>
      </c>
      <c r="F23" s="7">
        <v>0</v>
      </c>
      <c r="G23" s="7">
        <v>10</v>
      </c>
      <c r="H23" s="7">
        <v>2</v>
      </c>
      <c r="I23" s="7">
        <v>123</v>
      </c>
      <c r="J23" s="23">
        <f>I23+H23+G23</f>
        <v>135</v>
      </c>
      <c r="K23" s="8">
        <v>1435</v>
      </c>
      <c r="L23" s="7">
        <v>3</v>
      </c>
      <c r="M23" s="7" t="s">
        <v>50</v>
      </c>
      <c r="N23" s="27">
        <f>K23/E23*100</f>
        <v>91.401273885350321</v>
      </c>
      <c r="O23" s="7">
        <f>K23+J23</f>
        <v>1570</v>
      </c>
      <c r="P23" s="7">
        <f>E23-O23</f>
        <v>0</v>
      </c>
    </row>
    <row r="24" spans="1:16" ht="15.75" customHeight="1">
      <c r="A24" s="185">
        <v>46130</v>
      </c>
      <c r="B24" s="72" t="s">
        <v>55</v>
      </c>
      <c r="C24" s="7" t="s">
        <v>19</v>
      </c>
      <c r="D24" s="74" t="s">
        <v>72</v>
      </c>
      <c r="E24" s="7">
        <v>2550</v>
      </c>
      <c r="F24" s="7">
        <v>15</v>
      </c>
      <c r="G24" s="7">
        <v>12</v>
      </c>
      <c r="H24" s="7">
        <v>4</v>
      </c>
      <c r="I24" s="7">
        <v>207</v>
      </c>
      <c r="J24" s="23">
        <f>I24+H24+G24</f>
        <v>223</v>
      </c>
      <c r="K24" s="10">
        <v>2327</v>
      </c>
      <c r="L24" s="7">
        <v>2</v>
      </c>
      <c r="M24" s="7" t="s">
        <v>49</v>
      </c>
      <c r="N24" s="27">
        <f>K24/E24*100</f>
        <v>91.254901960784323</v>
      </c>
      <c r="O24" s="7">
        <f>K24+J24</f>
        <v>2550</v>
      </c>
      <c r="P24" s="7">
        <f>E24-O24</f>
        <v>0</v>
      </c>
    </row>
    <row r="25" spans="1:16" ht="15.75" customHeight="1">
      <c r="A25" s="186">
        <v>46130</v>
      </c>
      <c r="B25" s="72" t="s">
        <v>55</v>
      </c>
      <c r="C25" s="7" t="s">
        <v>19</v>
      </c>
      <c r="D25" s="7" t="s">
        <v>72</v>
      </c>
      <c r="E25" s="7">
        <v>2300</v>
      </c>
      <c r="F25" s="7">
        <v>0</v>
      </c>
      <c r="G25" s="7">
        <v>10</v>
      </c>
      <c r="H25" s="7">
        <v>2</v>
      </c>
      <c r="I25" s="7">
        <v>177</v>
      </c>
      <c r="J25" s="23">
        <f>I25+H25+G25</f>
        <v>189</v>
      </c>
      <c r="K25" s="10">
        <v>2111</v>
      </c>
      <c r="L25" s="7">
        <v>3</v>
      </c>
      <c r="M25" s="7" t="s">
        <v>50</v>
      </c>
      <c r="N25" s="27">
        <f>K25/E25*100</f>
        <v>91.782608695652186</v>
      </c>
      <c r="O25" s="7">
        <f>K25+J25</f>
        <v>2300</v>
      </c>
      <c r="P25" s="7">
        <f>E25-O25</f>
        <v>0</v>
      </c>
    </row>
    <row r="26" spans="1:16" ht="15.75" customHeight="1">
      <c r="A26" s="187">
        <v>46128</v>
      </c>
      <c r="B26" s="72" t="s">
        <v>100</v>
      </c>
      <c r="C26" s="7" t="s">
        <v>19</v>
      </c>
      <c r="D26" s="7" t="s">
        <v>101</v>
      </c>
      <c r="E26" s="7">
        <v>2425</v>
      </c>
      <c r="F26" s="7">
        <v>15</v>
      </c>
      <c r="G26" s="7">
        <v>18</v>
      </c>
      <c r="H26" s="7">
        <v>3</v>
      </c>
      <c r="I26" s="7">
        <v>124</v>
      </c>
      <c r="J26" s="23">
        <f>I26+H26+G26</f>
        <v>145</v>
      </c>
      <c r="K26" s="14">
        <v>2280</v>
      </c>
      <c r="L26" s="7">
        <v>3</v>
      </c>
      <c r="M26" s="7" t="s">
        <v>49</v>
      </c>
      <c r="N26" s="27">
        <f>K26/E26*100</f>
        <v>94.020618556701024</v>
      </c>
      <c r="O26" s="7">
        <f>K26+J26</f>
        <v>2425</v>
      </c>
      <c r="P26" s="7">
        <f>E26-O26</f>
        <v>0</v>
      </c>
    </row>
    <row r="27" spans="1:16" ht="15.75" customHeight="1">
      <c r="A27" s="187">
        <v>46132</v>
      </c>
      <c r="B27" s="72" t="s">
        <v>100</v>
      </c>
      <c r="C27" s="7" t="s">
        <v>19</v>
      </c>
      <c r="D27" s="7" t="s">
        <v>101</v>
      </c>
      <c r="E27" s="7">
        <v>970</v>
      </c>
      <c r="F27" s="7">
        <v>6</v>
      </c>
      <c r="G27" s="7">
        <v>3</v>
      </c>
      <c r="H27" s="7">
        <v>1</v>
      </c>
      <c r="I27" s="7">
        <v>66</v>
      </c>
      <c r="J27" s="23">
        <f>I27+H27+G27</f>
        <v>70</v>
      </c>
      <c r="K27" s="8">
        <v>900</v>
      </c>
      <c r="L27" s="7">
        <v>3</v>
      </c>
      <c r="M27" s="7" t="s">
        <v>50</v>
      </c>
      <c r="N27" s="27">
        <f>K27/E27*100</f>
        <v>92.783505154639172</v>
      </c>
      <c r="O27" s="7">
        <f>K27+J27</f>
        <v>970</v>
      </c>
      <c r="P27" s="7">
        <f>E27-O27</f>
        <v>0</v>
      </c>
    </row>
    <row r="28" spans="1:16" ht="15.75" customHeight="1">
      <c r="A28" s="185">
        <v>46133</v>
      </c>
      <c r="B28" s="72" t="s">
        <v>55</v>
      </c>
      <c r="C28" s="7" t="s">
        <v>19</v>
      </c>
      <c r="D28" s="7" t="s">
        <v>102</v>
      </c>
      <c r="E28" s="7">
        <v>2550</v>
      </c>
      <c r="F28" s="7">
        <v>24</v>
      </c>
      <c r="G28" s="7">
        <v>18</v>
      </c>
      <c r="H28" s="7">
        <v>2</v>
      </c>
      <c r="I28" s="7">
        <v>180</v>
      </c>
      <c r="J28" s="23">
        <f>I28+H28+G28</f>
        <v>200</v>
      </c>
      <c r="K28" s="14">
        <v>2350</v>
      </c>
      <c r="L28" s="7">
        <v>3</v>
      </c>
      <c r="M28" s="7" t="s">
        <v>50</v>
      </c>
      <c r="N28" s="27">
        <f>K28/E28*100</f>
        <v>92.156862745098039</v>
      </c>
      <c r="O28" s="7">
        <f>K28+J28</f>
        <v>2550</v>
      </c>
      <c r="P28" s="7">
        <f>E28-O28</f>
        <v>0</v>
      </c>
    </row>
    <row r="29" spans="1:16" ht="15.75" customHeight="1">
      <c r="A29" s="186">
        <v>46133</v>
      </c>
      <c r="B29" s="75" t="s">
        <v>55</v>
      </c>
      <c r="C29" s="59" t="s">
        <v>19</v>
      </c>
      <c r="D29" s="59" t="s">
        <v>102</v>
      </c>
      <c r="E29" s="59">
        <v>2100</v>
      </c>
      <c r="F29" s="59">
        <v>17</v>
      </c>
      <c r="G29" s="59">
        <v>18</v>
      </c>
      <c r="H29" s="59">
        <v>3</v>
      </c>
      <c r="I29" s="59">
        <v>149</v>
      </c>
      <c r="J29" s="76">
        <f>I29+H29+G29</f>
        <v>170</v>
      </c>
      <c r="K29" s="77">
        <v>1930</v>
      </c>
      <c r="L29" s="78"/>
      <c r="M29" s="78"/>
      <c r="N29" s="79">
        <f>K29/E29*100</f>
        <v>91.904761904761898</v>
      </c>
      <c r="O29" s="59">
        <f>K29+J29</f>
        <v>2100</v>
      </c>
      <c r="P29" s="59">
        <f>E29-O29</f>
        <v>0</v>
      </c>
    </row>
    <row r="30" spans="1:16" ht="15.75" customHeight="1">
      <c r="A30" s="185">
        <v>46134</v>
      </c>
      <c r="B30" s="72" t="s">
        <v>55</v>
      </c>
      <c r="C30" s="7" t="s">
        <v>19</v>
      </c>
      <c r="D30" s="7" t="s">
        <v>102</v>
      </c>
      <c r="E30" s="7">
        <v>3200</v>
      </c>
      <c r="F30" s="7">
        <v>27</v>
      </c>
      <c r="G30" s="7">
        <v>51</v>
      </c>
      <c r="H30" s="7">
        <v>3</v>
      </c>
      <c r="I30" s="7">
        <v>196</v>
      </c>
      <c r="J30" s="23">
        <f>I30+H30+G30</f>
        <v>250</v>
      </c>
      <c r="K30" s="8">
        <v>2950</v>
      </c>
      <c r="L30" s="7">
        <v>3</v>
      </c>
      <c r="M30" s="7" t="s">
        <v>49</v>
      </c>
      <c r="N30" s="27">
        <f>K30/E30*100</f>
        <v>92.1875</v>
      </c>
      <c r="O30" s="7">
        <f>K30+J30</f>
        <v>3200</v>
      </c>
      <c r="P30" s="7">
        <f>E30-O30</f>
        <v>0</v>
      </c>
    </row>
    <row r="31" spans="1:16" ht="15.75" customHeight="1">
      <c r="A31" s="186">
        <v>46134</v>
      </c>
      <c r="B31" s="72" t="s">
        <v>55</v>
      </c>
      <c r="C31" s="7" t="s">
        <v>19</v>
      </c>
      <c r="D31" s="7" t="s">
        <v>102</v>
      </c>
      <c r="E31" s="7">
        <v>2250</v>
      </c>
      <c r="F31" s="7">
        <v>13</v>
      </c>
      <c r="G31" s="7">
        <v>12</v>
      </c>
      <c r="H31" s="7">
        <v>2</v>
      </c>
      <c r="I31" s="7">
        <v>156</v>
      </c>
      <c r="J31" s="23">
        <f>I31+H31+G31</f>
        <v>170</v>
      </c>
      <c r="K31" s="8">
        <v>2080</v>
      </c>
      <c r="L31" s="7">
        <v>3</v>
      </c>
      <c r="M31" s="7" t="s">
        <v>50</v>
      </c>
      <c r="N31" s="27">
        <f>K31/E31*100</f>
        <v>92.444444444444443</v>
      </c>
      <c r="O31" s="7">
        <f>K31+J31</f>
        <v>2250</v>
      </c>
      <c r="P31" s="7">
        <f>E31-O31</f>
        <v>0</v>
      </c>
    </row>
    <row r="32" spans="1:16" ht="15.75" customHeight="1">
      <c r="A32" s="185">
        <v>46135</v>
      </c>
      <c r="B32" s="72" t="s">
        <v>55</v>
      </c>
      <c r="C32" s="7" t="s">
        <v>19</v>
      </c>
      <c r="D32" s="7" t="s">
        <v>102</v>
      </c>
      <c r="E32" s="7">
        <v>2000</v>
      </c>
      <c r="F32" s="7">
        <v>11</v>
      </c>
      <c r="G32" s="7">
        <v>10</v>
      </c>
      <c r="H32" s="7">
        <v>2</v>
      </c>
      <c r="I32" s="7">
        <v>160</v>
      </c>
      <c r="J32" s="23">
        <f>I32+H32+G32</f>
        <v>172</v>
      </c>
      <c r="K32" s="14">
        <v>1828</v>
      </c>
      <c r="L32" s="7">
        <v>3</v>
      </c>
      <c r="M32" s="7" t="s">
        <v>49</v>
      </c>
      <c r="N32" s="27">
        <f>K32/E32*100</f>
        <v>91.4</v>
      </c>
      <c r="O32" s="7">
        <f>K32+J32</f>
        <v>2000</v>
      </c>
      <c r="P32" s="7">
        <f>E32-O32</f>
        <v>0</v>
      </c>
    </row>
    <row r="33" spans="1:16" ht="15.75" customHeight="1">
      <c r="A33" s="188">
        <v>46135</v>
      </c>
      <c r="B33" s="72" t="s">
        <v>55</v>
      </c>
      <c r="C33" s="7" t="s">
        <v>19</v>
      </c>
      <c r="D33" s="7" t="s">
        <v>102</v>
      </c>
      <c r="E33" s="7">
        <v>2000</v>
      </c>
      <c r="F33" s="7">
        <v>10</v>
      </c>
      <c r="G33" s="7">
        <v>17</v>
      </c>
      <c r="H33" s="7">
        <v>2</v>
      </c>
      <c r="I33" s="7">
        <v>131</v>
      </c>
      <c r="J33" s="23">
        <f>I33+H33+G33</f>
        <v>150</v>
      </c>
      <c r="K33" s="14">
        <v>1850</v>
      </c>
      <c r="L33" s="7">
        <v>3</v>
      </c>
      <c r="M33" s="7" t="s">
        <v>50</v>
      </c>
      <c r="N33" s="27">
        <f>K33/E33*100</f>
        <v>92.5</v>
      </c>
      <c r="O33" s="7">
        <f>K33+J33</f>
        <v>2000</v>
      </c>
      <c r="P33" s="7">
        <f>E33-O33</f>
        <v>0</v>
      </c>
    </row>
    <row r="34" spans="1:16" ht="15.75" customHeight="1">
      <c r="A34" s="186">
        <v>46135</v>
      </c>
      <c r="B34" s="72" t="s">
        <v>55</v>
      </c>
      <c r="C34" s="7" t="s">
        <v>19</v>
      </c>
      <c r="D34" s="18" t="s">
        <v>101</v>
      </c>
      <c r="E34" s="7">
        <v>1261</v>
      </c>
      <c r="F34" s="7">
        <v>0</v>
      </c>
      <c r="G34" s="7">
        <v>8</v>
      </c>
      <c r="H34" s="7">
        <v>8</v>
      </c>
      <c r="I34" s="7">
        <v>62</v>
      </c>
      <c r="J34" s="23">
        <f>I34+H34+G34</f>
        <v>78</v>
      </c>
      <c r="K34" s="8">
        <v>1183</v>
      </c>
      <c r="L34" s="7">
        <v>3</v>
      </c>
      <c r="M34" s="7" t="s">
        <v>50</v>
      </c>
      <c r="N34" s="27">
        <f>K34/E34*100</f>
        <v>93.814432989690715</v>
      </c>
      <c r="O34" s="7">
        <f>K34+J34</f>
        <v>1261</v>
      </c>
      <c r="P34" s="7">
        <f>E34-O34</f>
        <v>0</v>
      </c>
    </row>
    <row r="35" spans="1:16" ht="15.75" customHeight="1">
      <c r="A35" s="185">
        <v>46136</v>
      </c>
      <c r="B35" s="72" t="s">
        <v>55</v>
      </c>
      <c r="C35" s="7" t="s">
        <v>19</v>
      </c>
      <c r="D35" s="7" t="s">
        <v>102</v>
      </c>
      <c r="E35" s="7">
        <v>3100</v>
      </c>
      <c r="F35" s="7">
        <v>15</v>
      </c>
      <c r="G35" s="7">
        <v>55</v>
      </c>
      <c r="H35" s="7">
        <v>2</v>
      </c>
      <c r="I35" s="7">
        <v>173</v>
      </c>
      <c r="J35" s="23">
        <f>I35+H35+G35</f>
        <v>230</v>
      </c>
      <c r="K35" s="14">
        <v>2870</v>
      </c>
      <c r="L35" s="7">
        <v>3</v>
      </c>
      <c r="M35" s="7" t="s">
        <v>49</v>
      </c>
      <c r="N35" s="27">
        <f>K35/E35*100</f>
        <v>92.58064516129032</v>
      </c>
      <c r="O35" s="7">
        <f>K35+J35</f>
        <v>3100</v>
      </c>
      <c r="P35" s="7">
        <f>E35-O35</f>
        <v>0</v>
      </c>
    </row>
    <row r="36" spans="1:16" ht="14.45" customHeight="1">
      <c r="A36" s="186">
        <v>46136</v>
      </c>
      <c r="B36" s="72" t="s">
        <v>55</v>
      </c>
      <c r="C36" s="7" t="s">
        <v>19</v>
      </c>
      <c r="D36" s="7" t="s">
        <v>102</v>
      </c>
      <c r="E36" s="7">
        <v>2850</v>
      </c>
      <c r="F36" s="7">
        <v>17</v>
      </c>
      <c r="G36" s="7">
        <v>48</v>
      </c>
      <c r="H36" s="7">
        <v>2</v>
      </c>
      <c r="I36" s="7">
        <v>170</v>
      </c>
      <c r="J36" s="23">
        <f>I36+H36+G36</f>
        <v>220</v>
      </c>
      <c r="K36" s="14">
        <v>2630</v>
      </c>
      <c r="L36" s="7">
        <v>3</v>
      </c>
      <c r="M36" s="7" t="s">
        <v>50</v>
      </c>
      <c r="N36" s="27">
        <f>K36/E36*100</f>
        <v>92.280701754385959</v>
      </c>
      <c r="O36" s="7">
        <f>K36+J36</f>
        <v>2850</v>
      </c>
      <c r="P36" s="7">
        <f>E36-O36</f>
        <v>0</v>
      </c>
    </row>
    <row r="37" spans="1:16" ht="14.45" customHeight="1">
      <c r="A37" s="187">
        <v>46139</v>
      </c>
      <c r="B37" s="72" t="s">
        <v>55</v>
      </c>
      <c r="C37" s="7" t="s">
        <v>19</v>
      </c>
      <c r="D37" s="7" t="s">
        <v>102</v>
      </c>
      <c r="E37" s="7">
        <v>2100</v>
      </c>
      <c r="F37" s="7">
        <v>14</v>
      </c>
      <c r="G37" s="7">
        <v>24</v>
      </c>
      <c r="H37" s="7">
        <v>2</v>
      </c>
      <c r="I37" s="7">
        <v>134</v>
      </c>
      <c r="J37" s="23">
        <f>I37+H37+G37</f>
        <v>160</v>
      </c>
      <c r="K37" s="8">
        <v>1940</v>
      </c>
      <c r="L37" s="7">
        <v>3</v>
      </c>
      <c r="M37" s="7" t="s">
        <v>49</v>
      </c>
      <c r="N37" s="27">
        <f>K37/E37*100</f>
        <v>92.38095238095238</v>
      </c>
      <c r="O37" s="7">
        <f>K37+J37</f>
        <v>2100</v>
      </c>
      <c r="P37" s="7">
        <f>E37-O37</f>
        <v>0</v>
      </c>
    </row>
    <row r="38" spans="1:16" ht="14.45" customHeight="1">
      <c r="A38" s="187">
        <v>46140</v>
      </c>
      <c r="B38" s="72" t="s">
        <v>55</v>
      </c>
      <c r="C38" s="7" t="s">
        <v>19</v>
      </c>
      <c r="D38" s="7" t="s">
        <v>88</v>
      </c>
      <c r="E38" s="7">
        <v>535</v>
      </c>
      <c r="F38" s="7">
        <v>1</v>
      </c>
      <c r="G38" s="7">
        <v>3</v>
      </c>
      <c r="H38" s="7">
        <v>10</v>
      </c>
      <c r="I38" s="7">
        <v>37</v>
      </c>
      <c r="J38" s="23">
        <f>I38+H38+G38</f>
        <v>50</v>
      </c>
      <c r="K38" s="10">
        <v>485</v>
      </c>
      <c r="L38" s="7">
        <v>3</v>
      </c>
      <c r="M38" s="7" t="s">
        <v>49</v>
      </c>
      <c r="N38" s="27">
        <f>K38/E38*100</f>
        <v>90.654205607476641</v>
      </c>
      <c r="O38" s="7">
        <f>K38+J38</f>
        <v>535</v>
      </c>
      <c r="P38" s="7">
        <f>E38-O38</f>
        <v>0</v>
      </c>
    </row>
    <row r="39" spans="1:16" ht="14.45" customHeight="1">
      <c r="A39" s="187">
        <v>46141</v>
      </c>
      <c r="B39" s="72" t="s">
        <v>55</v>
      </c>
      <c r="C39" s="7" t="s">
        <v>19</v>
      </c>
      <c r="D39" s="7" t="s">
        <v>46</v>
      </c>
      <c r="E39" s="7">
        <v>2870</v>
      </c>
      <c r="F39" s="7">
        <v>14</v>
      </c>
      <c r="G39" s="7">
        <v>39</v>
      </c>
      <c r="H39" s="7">
        <v>2</v>
      </c>
      <c r="I39" s="7">
        <v>193</v>
      </c>
      <c r="J39" s="23">
        <f>I39+H39+G39</f>
        <v>234</v>
      </c>
      <c r="K39" s="14">
        <v>2636</v>
      </c>
      <c r="L39" s="7">
        <v>3</v>
      </c>
      <c r="M39" s="7" t="s">
        <v>50</v>
      </c>
      <c r="N39" s="27">
        <f>K39/E39*100</f>
        <v>91.846689895470377</v>
      </c>
      <c r="O39" s="7">
        <f>K39+J39</f>
        <v>2870</v>
      </c>
      <c r="P39" s="7">
        <f>E39-O39</f>
        <v>0</v>
      </c>
    </row>
    <row r="40" spans="1:16" ht="14.45" customHeight="1">
      <c r="A40" s="185">
        <v>46142</v>
      </c>
      <c r="B40" s="72" t="s">
        <v>55</v>
      </c>
      <c r="C40" s="7" t="s">
        <v>19</v>
      </c>
      <c r="D40" s="7" t="s">
        <v>88</v>
      </c>
      <c r="E40" s="7">
        <v>225</v>
      </c>
      <c r="F40" s="7">
        <v>1</v>
      </c>
      <c r="G40" s="7">
        <v>8</v>
      </c>
      <c r="H40" s="7">
        <v>2</v>
      </c>
      <c r="I40" s="7">
        <v>11</v>
      </c>
      <c r="J40" s="23">
        <f>I40+H40+G40</f>
        <v>21</v>
      </c>
      <c r="K40" s="10">
        <v>204</v>
      </c>
      <c r="L40" s="7">
        <v>3</v>
      </c>
      <c r="M40" s="7" t="s">
        <v>49</v>
      </c>
      <c r="N40" s="27">
        <f>K40/E40*100</f>
        <v>90.666666666666657</v>
      </c>
      <c r="O40" s="7">
        <f>K40+J40</f>
        <v>225</v>
      </c>
      <c r="P40" s="7">
        <f>E40-O40</f>
        <v>0</v>
      </c>
    </row>
    <row r="41" spans="1:16" ht="14.45" customHeight="1">
      <c r="A41" s="188">
        <v>46142</v>
      </c>
      <c r="B41" s="72" t="s">
        <v>55</v>
      </c>
      <c r="C41" s="7" t="s">
        <v>19</v>
      </c>
      <c r="D41" s="7" t="s">
        <v>46</v>
      </c>
      <c r="E41" s="7">
        <v>340</v>
      </c>
      <c r="F41" s="7">
        <v>1</v>
      </c>
      <c r="G41" s="7">
        <v>15</v>
      </c>
      <c r="H41" s="7">
        <v>2</v>
      </c>
      <c r="I41" s="7">
        <v>18</v>
      </c>
      <c r="J41" s="23">
        <f>SUM(F41:I41)</f>
        <v>36</v>
      </c>
      <c r="K41" s="8">
        <v>305</v>
      </c>
      <c r="L41" s="7">
        <v>3</v>
      </c>
      <c r="M41" s="7" t="s">
        <v>49</v>
      </c>
      <c r="N41" s="27">
        <f>K41/E41*100</f>
        <v>89.705882352941174</v>
      </c>
      <c r="O41" s="7">
        <f>K41+J41</f>
        <v>341</v>
      </c>
      <c r="P41" s="7">
        <f>E41-O41</f>
        <v>-1</v>
      </c>
    </row>
    <row r="42" spans="1:16" ht="14.45" customHeight="1">
      <c r="A42" s="186">
        <v>46142</v>
      </c>
      <c r="B42" s="72" t="s">
        <v>55</v>
      </c>
      <c r="C42" s="7" t="s">
        <v>19</v>
      </c>
      <c r="D42" s="7" t="s">
        <v>46</v>
      </c>
      <c r="E42" s="6">
        <v>2940</v>
      </c>
      <c r="F42" s="6">
        <v>9</v>
      </c>
      <c r="G42" s="6">
        <v>31</v>
      </c>
      <c r="H42" s="6">
        <v>2</v>
      </c>
      <c r="I42" s="6">
        <v>173</v>
      </c>
      <c r="J42" s="22">
        <f>SUM(F42:I42)</f>
        <v>215</v>
      </c>
      <c r="K42" s="80">
        <v>2725</v>
      </c>
      <c r="L42" s="6">
        <v>3</v>
      </c>
      <c r="M42" s="6" t="s">
        <v>54</v>
      </c>
      <c r="N42" s="81">
        <f>K42/E42*100</f>
        <v>92.687074829931973</v>
      </c>
      <c r="O42" s="6">
        <f>K42+J42</f>
        <v>2940</v>
      </c>
      <c r="P42" s="6">
        <f>E42-O42</f>
        <v>0</v>
      </c>
    </row>
    <row r="43" spans="1:16">
      <c r="A43" s="26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7"/>
      <c r="N43" s="27"/>
      <c r="O43" s="17"/>
      <c r="P43" s="38"/>
    </row>
    <row r="44" spans="1:16" ht="14.45">
      <c r="A44" s="26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7"/>
      <c r="N44" s="27"/>
      <c r="O44" s="17"/>
      <c r="P44" s="17"/>
    </row>
    <row r="45" spans="1:16" ht="14.45">
      <c r="A45" s="40"/>
      <c r="B45" s="41"/>
      <c r="C45" s="41"/>
      <c r="D45" s="41"/>
      <c r="E45" s="42"/>
      <c r="F45" s="42"/>
      <c r="G45" s="42"/>
      <c r="H45" s="42"/>
      <c r="I45" s="42"/>
      <c r="J45" s="41"/>
      <c r="K45" s="41"/>
      <c r="L45" s="41"/>
      <c r="M45" s="43"/>
      <c r="N45" s="44" t="e">
        <f>AVERAGE(#REF!)</f>
        <v>#REF!</v>
      </c>
      <c r="O45" s="45"/>
      <c r="P45" s="1"/>
    </row>
    <row r="46" spans="1:16" ht="14.45">
      <c r="A46" s="45"/>
      <c r="B46" s="45"/>
      <c r="C46" s="45"/>
      <c r="D46" s="45"/>
      <c r="E46" s="46"/>
      <c r="F46" s="46"/>
      <c r="G46" s="46"/>
      <c r="H46" s="46"/>
      <c r="I46" s="47" t="s">
        <v>57</v>
      </c>
      <c r="J46" s="48"/>
      <c r="K46" s="48"/>
      <c r="L46" s="48"/>
      <c r="M46" s="49"/>
      <c r="N46" s="44" t="s">
        <v>58</v>
      </c>
      <c r="O46" s="45"/>
      <c r="P46" s="1"/>
    </row>
    <row r="47" spans="1:16" ht="13.9">
      <c r="A47" s="45"/>
      <c r="B47" s="45"/>
      <c r="C47" s="45"/>
      <c r="D47" s="45"/>
      <c r="E47" s="46"/>
      <c r="F47" s="46"/>
      <c r="G47" s="46"/>
      <c r="H47" s="46"/>
      <c r="I47" s="272" t="s">
        <v>59</v>
      </c>
      <c r="J47" s="320"/>
      <c r="K47" s="273"/>
      <c r="L47" s="320"/>
      <c r="M47" s="50"/>
      <c r="N47" s="51"/>
      <c r="O47" s="45"/>
      <c r="P47" s="1"/>
    </row>
    <row r="48" spans="1:16" ht="13.9">
      <c r="A48" s="45"/>
      <c r="B48" s="45"/>
      <c r="C48" s="45"/>
      <c r="D48" s="45"/>
      <c r="E48" s="46"/>
      <c r="F48" s="46"/>
      <c r="G48" s="46"/>
      <c r="H48" s="46"/>
      <c r="I48" s="270" t="s">
        <v>60</v>
      </c>
      <c r="J48" s="322"/>
      <c r="K48" s="271"/>
      <c r="L48" s="322"/>
      <c r="M48" s="50"/>
      <c r="N48" s="51"/>
      <c r="O48" s="45"/>
      <c r="P48" s="1"/>
    </row>
    <row r="56" spans="17:19" ht="13.15">
      <c r="Q56" s="1">
        <f>1.2+1.5</f>
        <v>2.7</v>
      </c>
      <c r="R56" s="20">
        <v>3280</v>
      </c>
      <c r="S56" s="21">
        <f t="shared" ref="S56:S64" si="0">Q56/R56</f>
        <v>8.2317073170731715E-4</v>
      </c>
    </row>
    <row r="57" spans="17:19" ht="13.15">
      <c r="Q57" s="1">
        <v>4</v>
      </c>
      <c r="R57" s="1">
        <v>2300</v>
      </c>
      <c r="S57" s="21">
        <f t="shared" si="0"/>
        <v>1.7391304347826088E-3</v>
      </c>
    </row>
    <row r="58" spans="17:19" ht="13.15">
      <c r="Q58" s="1">
        <v>11.7</v>
      </c>
      <c r="R58" s="1">
        <v>3600</v>
      </c>
      <c r="S58" s="21">
        <f t="shared" si="0"/>
        <v>3.2499999999999999E-3</v>
      </c>
    </row>
    <row r="59" spans="17:19" ht="13.15">
      <c r="Q59" s="1">
        <v>5.0999999999999996</v>
      </c>
      <c r="R59" s="1">
        <v>2460</v>
      </c>
      <c r="S59" s="21">
        <f t="shared" si="0"/>
        <v>2.0731707317073167E-3</v>
      </c>
    </row>
    <row r="60" spans="17:19" ht="13.15">
      <c r="Q60" s="1">
        <v>0</v>
      </c>
      <c r="R60" s="1">
        <v>0</v>
      </c>
      <c r="S60" s="21" t="e">
        <f t="shared" si="0"/>
        <v>#DIV/0!</v>
      </c>
    </row>
    <row r="61" spans="17:19" ht="13.15">
      <c r="Q61" s="1">
        <v>0</v>
      </c>
      <c r="R61" s="1">
        <v>0</v>
      </c>
      <c r="S61" s="21" t="e">
        <f t="shared" si="0"/>
        <v>#DIV/0!</v>
      </c>
    </row>
    <row r="62" spans="17:19" ht="13.15">
      <c r="Q62" s="1">
        <v>0</v>
      </c>
      <c r="R62" s="1">
        <v>0</v>
      </c>
      <c r="S62" s="21" t="e">
        <f t="shared" si="0"/>
        <v>#DIV/0!</v>
      </c>
    </row>
    <row r="63" spans="17:19" ht="13.15">
      <c r="Q63" s="1">
        <v>0</v>
      </c>
      <c r="R63" s="1">
        <v>0</v>
      </c>
      <c r="S63" s="21" t="e">
        <f t="shared" si="0"/>
        <v>#DIV/0!</v>
      </c>
    </row>
    <row r="64" spans="17:19" ht="13.15">
      <c r="Q64" s="1">
        <v>0</v>
      </c>
      <c r="R64" s="1">
        <v>0</v>
      </c>
      <c r="S64" s="21" t="e">
        <f t="shared" si="0"/>
        <v>#DIV/0!</v>
      </c>
    </row>
  </sheetData>
  <mergeCells count="16">
    <mergeCell ref="A1:N1"/>
    <mergeCell ref="A2:A3"/>
    <mergeCell ref="B2:B3"/>
    <mergeCell ref="C2:C3"/>
    <mergeCell ref="D2:D3"/>
    <mergeCell ref="E2:E3"/>
    <mergeCell ref="J2:J3"/>
    <mergeCell ref="K2:K3"/>
    <mergeCell ref="L2:L3"/>
    <mergeCell ref="M2:M3"/>
    <mergeCell ref="N2:N3"/>
    <mergeCell ref="K47:L47"/>
    <mergeCell ref="I48:J48"/>
    <mergeCell ref="K48:L48"/>
    <mergeCell ref="I47:J47"/>
    <mergeCell ref="O2:O3"/>
  </mergeCells>
  <pageMargins left="0" right="0" top="0" bottom="0" header="0" footer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35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sheetData>
    <row r="1" spans="1:16" ht="13.15">
      <c r="A1" s="266" t="s">
        <v>40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20"/>
      <c r="P1" s="1"/>
    </row>
    <row r="2" spans="1:16" ht="36">
      <c r="A2" s="267" t="s">
        <v>25</v>
      </c>
      <c r="B2" s="267" t="s">
        <v>26</v>
      </c>
      <c r="C2" s="267" t="s">
        <v>27</v>
      </c>
      <c r="D2" s="267" t="s">
        <v>22</v>
      </c>
      <c r="E2" s="268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267" t="s">
        <v>33</v>
      </c>
      <c r="K2" s="267" t="s">
        <v>34</v>
      </c>
      <c r="L2" s="267" t="s">
        <v>35</v>
      </c>
      <c r="M2" s="267" t="s">
        <v>36</v>
      </c>
      <c r="N2" s="269" t="s">
        <v>37</v>
      </c>
      <c r="O2" s="269" t="s">
        <v>99</v>
      </c>
      <c r="P2" s="1"/>
    </row>
    <row r="3" spans="1:16" ht="37.5">
      <c r="A3" s="321"/>
      <c r="B3" s="321"/>
      <c r="C3" s="321"/>
      <c r="D3" s="321"/>
      <c r="E3" s="321"/>
      <c r="F3" s="5" t="s">
        <v>42</v>
      </c>
      <c r="G3" s="5" t="s">
        <v>43</v>
      </c>
      <c r="H3" s="5" t="s">
        <v>44</v>
      </c>
      <c r="I3" s="5" t="s">
        <v>32</v>
      </c>
      <c r="J3" s="321"/>
      <c r="K3" s="321"/>
      <c r="L3" s="321"/>
      <c r="M3" s="321"/>
      <c r="N3" s="321"/>
      <c r="O3" s="321"/>
      <c r="P3" s="1"/>
    </row>
    <row r="4" spans="1:16" ht="14.45" customHeight="1">
      <c r="A4" s="192">
        <v>46113</v>
      </c>
      <c r="B4" s="64" t="s">
        <v>96</v>
      </c>
      <c r="C4" s="64" t="s">
        <v>20</v>
      </c>
      <c r="D4" s="64" t="s">
        <v>97</v>
      </c>
      <c r="E4" s="64">
        <v>7600</v>
      </c>
      <c r="F4" s="64">
        <v>7</v>
      </c>
      <c r="G4" s="64">
        <v>463</v>
      </c>
      <c r="H4" s="64">
        <v>12</v>
      </c>
      <c r="I4" s="64">
        <v>272</v>
      </c>
      <c r="J4" s="64">
        <v>754</v>
      </c>
      <c r="K4" s="68">
        <v>6846</v>
      </c>
      <c r="L4" s="64">
        <v>5</v>
      </c>
      <c r="M4" s="64" t="s">
        <v>49</v>
      </c>
      <c r="N4" s="67">
        <f>K4/E4*100</f>
        <v>90.078947368421041</v>
      </c>
      <c r="O4" s="7">
        <f>K4+J4</f>
        <v>7600</v>
      </c>
      <c r="P4" s="7">
        <f>E4-O4</f>
        <v>0</v>
      </c>
    </row>
    <row r="5" spans="1:16" ht="14.45" customHeight="1">
      <c r="A5" s="187">
        <v>46114</v>
      </c>
      <c r="B5" s="64" t="s">
        <v>96</v>
      </c>
      <c r="C5" s="64" t="s">
        <v>20</v>
      </c>
      <c r="D5" s="64" t="s">
        <v>97</v>
      </c>
      <c r="E5" s="7">
        <v>6500</v>
      </c>
      <c r="F5" s="7">
        <v>8</v>
      </c>
      <c r="G5" s="7">
        <v>420</v>
      </c>
      <c r="H5" s="7">
        <v>16</v>
      </c>
      <c r="I5" s="7">
        <v>189</v>
      </c>
      <c r="J5" s="64">
        <f>I5+H5+G5+F5</f>
        <v>633</v>
      </c>
      <c r="K5" s="8">
        <v>5867</v>
      </c>
      <c r="L5" s="7">
        <v>5</v>
      </c>
      <c r="M5" s="7" t="s">
        <v>49</v>
      </c>
      <c r="N5" s="67">
        <f>K5/E5*100</f>
        <v>90.261538461538464</v>
      </c>
      <c r="O5" s="7">
        <f>K5+J5</f>
        <v>6500</v>
      </c>
      <c r="P5" s="7">
        <f>E5-O5</f>
        <v>0</v>
      </c>
    </row>
    <row r="6" spans="1:16" ht="14.45" customHeight="1">
      <c r="A6" s="187">
        <v>46115</v>
      </c>
      <c r="B6" s="7" t="s">
        <v>103</v>
      </c>
      <c r="C6" s="7" t="s">
        <v>20</v>
      </c>
      <c r="D6" s="7" t="s">
        <v>97</v>
      </c>
      <c r="E6" s="7">
        <v>6800</v>
      </c>
      <c r="F6" s="7">
        <v>9</v>
      </c>
      <c r="G6" s="7">
        <v>310</v>
      </c>
      <c r="H6" s="7">
        <v>22</v>
      </c>
      <c r="I6" s="7">
        <v>119</v>
      </c>
      <c r="J6" s="7">
        <v>560</v>
      </c>
      <c r="K6" s="14">
        <v>6340</v>
      </c>
      <c r="L6" s="7">
        <v>5</v>
      </c>
      <c r="M6" s="7" t="s">
        <v>49</v>
      </c>
      <c r="N6" s="67">
        <f>K6/E6*100</f>
        <v>93.235294117647058</v>
      </c>
      <c r="O6" s="7">
        <v>6800</v>
      </c>
      <c r="P6" s="7">
        <f>E6-O6</f>
        <v>0</v>
      </c>
    </row>
    <row r="7" spans="1:16" ht="14.45" customHeight="1">
      <c r="A7" s="187">
        <v>46116</v>
      </c>
      <c r="B7" s="7" t="s">
        <v>103</v>
      </c>
      <c r="C7" s="7" t="s">
        <v>20</v>
      </c>
      <c r="D7" s="7" t="s">
        <v>97</v>
      </c>
      <c r="E7" s="64">
        <v>4750</v>
      </c>
      <c r="F7" s="64">
        <v>6</v>
      </c>
      <c r="G7" s="64">
        <v>300</v>
      </c>
      <c r="H7" s="64">
        <v>18</v>
      </c>
      <c r="I7" s="64">
        <v>91</v>
      </c>
      <c r="J7" s="7">
        <f>6+300+18+91</f>
        <v>415</v>
      </c>
      <c r="K7" s="69">
        <v>4335</v>
      </c>
      <c r="L7" s="64">
        <v>5</v>
      </c>
      <c r="M7" s="7" t="s">
        <v>49</v>
      </c>
      <c r="N7" s="67">
        <f>K7/E7*100</f>
        <v>91.26315789473685</v>
      </c>
      <c r="O7" s="7">
        <f>K7+J7</f>
        <v>4750</v>
      </c>
      <c r="P7" s="7">
        <f>E7-O7</f>
        <v>0</v>
      </c>
    </row>
    <row r="8" spans="1:16" ht="14.45" customHeight="1">
      <c r="A8" s="187">
        <v>46117</v>
      </c>
      <c r="B8" s="7" t="s">
        <v>103</v>
      </c>
      <c r="C8" s="7" t="s">
        <v>20</v>
      </c>
      <c r="D8" s="7" t="s">
        <v>97</v>
      </c>
      <c r="E8" s="64">
        <v>5500</v>
      </c>
      <c r="F8" s="64">
        <v>6</v>
      </c>
      <c r="G8" s="64">
        <v>280</v>
      </c>
      <c r="H8" s="64">
        <v>18</v>
      </c>
      <c r="I8" s="64">
        <v>96</v>
      </c>
      <c r="J8" s="7">
        <f>SUM(F8:I8)</f>
        <v>400</v>
      </c>
      <c r="K8" s="69">
        <v>5100</v>
      </c>
      <c r="L8" s="64">
        <v>5</v>
      </c>
      <c r="M8" s="64" t="s">
        <v>49</v>
      </c>
      <c r="N8" s="67">
        <f>K8/E8*100</f>
        <v>92.72727272727272</v>
      </c>
      <c r="O8" s="7">
        <f>K8+J8</f>
        <v>5500</v>
      </c>
      <c r="P8" s="7">
        <f>E8-O8</f>
        <v>0</v>
      </c>
    </row>
    <row r="9" spans="1:16" ht="14.45" customHeight="1">
      <c r="A9" s="187">
        <v>46118</v>
      </c>
      <c r="B9" s="7" t="s">
        <v>103</v>
      </c>
      <c r="C9" s="7" t="s">
        <v>20</v>
      </c>
      <c r="D9" s="7" t="s">
        <v>97</v>
      </c>
      <c r="E9" s="64">
        <v>5000</v>
      </c>
      <c r="F9" s="64">
        <v>6</v>
      </c>
      <c r="G9" s="64">
        <v>240</v>
      </c>
      <c r="H9" s="64">
        <v>22</v>
      </c>
      <c r="I9" s="64">
        <v>82</v>
      </c>
      <c r="J9" s="7">
        <f>SUM(F9:I9)</f>
        <v>350</v>
      </c>
      <c r="K9" s="69">
        <v>4650</v>
      </c>
      <c r="L9" s="64">
        <v>6</v>
      </c>
      <c r="M9" s="64" t="s">
        <v>49</v>
      </c>
      <c r="N9" s="67">
        <f>K9/E9*100</f>
        <v>93</v>
      </c>
      <c r="O9" s="7">
        <f>K9+J9</f>
        <v>5000</v>
      </c>
      <c r="P9" s="7">
        <f>E9-O9</f>
        <v>0</v>
      </c>
    </row>
    <row r="10" spans="1:16" ht="14.45" customHeight="1">
      <c r="A10" s="187">
        <v>46119</v>
      </c>
      <c r="B10" s="7" t="s">
        <v>103</v>
      </c>
      <c r="C10" s="7" t="s">
        <v>20</v>
      </c>
      <c r="D10" s="7" t="s">
        <v>97</v>
      </c>
      <c r="E10" s="64">
        <v>4650</v>
      </c>
      <c r="F10" s="64">
        <v>9</v>
      </c>
      <c r="G10" s="64">
        <v>160</v>
      </c>
      <c r="H10" s="64">
        <v>10</v>
      </c>
      <c r="I10" s="64">
        <v>141</v>
      </c>
      <c r="J10" s="7">
        <f>SUM(F10:I10)</f>
        <v>320</v>
      </c>
      <c r="K10" s="69">
        <v>4330</v>
      </c>
      <c r="L10" s="64">
        <v>7</v>
      </c>
      <c r="M10" s="64" t="s">
        <v>49</v>
      </c>
      <c r="N10" s="67">
        <f>K10/E10*100</f>
        <v>93.118279569892465</v>
      </c>
      <c r="O10" s="7">
        <f>K10+J10</f>
        <v>4650</v>
      </c>
      <c r="P10" s="7">
        <f>E10-O10</f>
        <v>0</v>
      </c>
    </row>
    <row r="11" spans="1:16" ht="14.45" customHeight="1">
      <c r="A11" s="187">
        <v>46120</v>
      </c>
      <c r="B11" s="7" t="s">
        <v>103</v>
      </c>
      <c r="C11" s="7" t="s">
        <v>20</v>
      </c>
      <c r="D11" s="7" t="s">
        <v>97</v>
      </c>
      <c r="E11" s="64">
        <v>5400</v>
      </c>
      <c r="F11" s="64">
        <v>8</v>
      </c>
      <c r="G11" s="64">
        <v>240</v>
      </c>
      <c r="H11" s="64">
        <v>12</v>
      </c>
      <c r="I11" s="64">
        <v>165</v>
      </c>
      <c r="J11" s="7">
        <f>SUM(F11:I11)</f>
        <v>425</v>
      </c>
      <c r="K11" s="69">
        <v>4975</v>
      </c>
      <c r="L11" s="64">
        <v>6</v>
      </c>
      <c r="M11" s="64" t="s">
        <v>49</v>
      </c>
      <c r="N11" s="67">
        <f>K11/E11*100</f>
        <v>92.129629629629633</v>
      </c>
      <c r="O11" s="7">
        <f>K11+J11</f>
        <v>5400</v>
      </c>
      <c r="P11" s="7">
        <f>E11-O11</f>
        <v>0</v>
      </c>
    </row>
    <row r="12" spans="1:16" ht="14.45" customHeight="1">
      <c r="A12" s="187">
        <v>46121</v>
      </c>
      <c r="B12" s="7" t="s">
        <v>103</v>
      </c>
      <c r="C12" s="7" t="s">
        <v>20</v>
      </c>
      <c r="D12" s="7" t="s">
        <v>97</v>
      </c>
      <c r="E12" s="64">
        <v>7600</v>
      </c>
      <c r="F12" s="64">
        <v>12</v>
      </c>
      <c r="G12" s="64">
        <v>230</v>
      </c>
      <c r="H12" s="64">
        <v>18</v>
      </c>
      <c r="I12" s="64">
        <v>290</v>
      </c>
      <c r="J12" s="7">
        <f>SUM(F12:I12)</f>
        <v>550</v>
      </c>
      <c r="K12" s="69">
        <v>7050</v>
      </c>
      <c r="L12" s="64">
        <v>6</v>
      </c>
      <c r="M12" s="64" t="s">
        <v>49</v>
      </c>
      <c r="N12" s="67">
        <f>K12/E12*100</f>
        <v>92.76315789473685</v>
      </c>
      <c r="O12" s="7">
        <f>K12+J12</f>
        <v>7600</v>
      </c>
      <c r="P12" s="7">
        <f>E12-O12</f>
        <v>0</v>
      </c>
    </row>
    <row r="13" spans="1:16" ht="14.45" customHeight="1">
      <c r="A13" s="187">
        <v>46122</v>
      </c>
      <c r="B13" s="7" t="s">
        <v>103</v>
      </c>
      <c r="C13" s="7" t="s">
        <v>20</v>
      </c>
      <c r="D13" s="7" t="s">
        <v>97</v>
      </c>
      <c r="E13" s="64">
        <v>7000</v>
      </c>
      <c r="F13" s="64">
        <v>9</v>
      </c>
      <c r="G13" s="64">
        <v>210</v>
      </c>
      <c r="H13" s="64">
        <v>12</v>
      </c>
      <c r="I13" s="64">
        <v>254</v>
      </c>
      <c r="J13" s="7">
        <f>SUM(F13:I13)</f>
        <v>485</v>
      </c>
      <c r="K13" s="69">
        <v>6515</v>
      </c>
      <c r="L13" s="64">
        <v>6</v>
      </c>
      <c r="M13" s="64" t="s">
        <v>49</v>
      </c>
      <c r="N13" s="67">
        <f>K13/E13*100</f>
        <v>93.071428571428569</v>
      </c>
      <c r="O13" s="7">
        <f>K13+J13</f>
        <v>7000</v>
      </c>
      <c r="P13" s="7">
        <f>E13-O13</f>
        <v>0</v>
      </c>
    </row>
    <row r="14" spans="1:16" ht="14.45" customHeight="1">
      <c r="A14" s="187">
        <v>46123</v>
      </c>
      <c r="B14" s="7" t="s">
        <v>103</v>
      </c>
      <c r="C14" s="7" t="s">
        <v>20</v>
      </c>
      <c r="D14" s="7" t="s">
        <v>97</v>
      </c>
      <c r="E14" s="64">
        <v>7400</v>
      </c>
      <c r="F14" s="64">
        <v>12</v>
      </c>
      <c r="G14" s="64">
        <v>175</v>
      </c>
      <c r="H14" s="64">
        <v>18</v>
      </c>
      <c r="I14" s="64">
        <v>175</v>
      </c>
      <c r="J14" s="7">
        <f>SUM(F14:I14)</f>
        <v>380</v>
      </c>
      <c r="K14" s="69">
        <v>7020</v>
      </c>
      <c r="L14" s="64">
        <v>6</v>
      </c>
      <c r="M14" s="64" t="s">
        <v>49</v>
      </c>
      <c r="N14" s="67">
        <f>K14/E14*100</f>
        <v>94.864864864864856</v>
      </c>
      <c r="O14" s="7">
        <f>K14+J14</f>
        <v>7400</v>
      </c>
      <c r="P14" s="7">
        <f>E14-O14</f>
        <v>0</v>
      </c>
    </row>
    <row r="15" spans="1:16" ht="14.45" customHeight="1">
      <c r="A15" s="187">
        <v>46124</v>
      </c>
      <c r="B15" s="7" t="s">
        <v>103</v>
      </c>
      <c r="C15" s="7" t="s">
        <v>20</v>
      </c>
      <c r="D15" s="64" t="s">
        <v>97</v>
      </c>
      <c r="E15" s="64">
        <v>5900</v>
      </c>
      <c r="F15" s="64">
        <v>10</v>
      </c>
      <c r="G15" s="64">
        <v>160</v>
      </c>
      <c r="H15" s="64">
        <v>19</v>
      </c>
      <c r="I15" s="64">
        <v>181</v>
      </c>
      <c r="J15" s="7">
        <f>SUM(F15:I15)</f>
        <v>370</v>
      </c>
      <c r="K15" s="69">
        <v>5530</v>
      </c>
      <c r="L15" s="64">
        <v>6</v>
      </c>
      <c r="M15" s="64" t="s">
        <v>49</v>
      </c>
      <c r="N15" s="67">
        <f>K15/E15*100</f>
        <v>93.728813559322035</v>
      </c>
      <c r="O15" s="7">
        <f>K15+J15</f>
        <v>5900</v>
      </c>
      <c r="P15" s="7">
        <f>E15-O15</f>
        <v>0</v>
      </c>
    </row>
    <row r="16" spans="1:16" ht="14.45" customHeight="1">
      <c r="A16" s="187">
        <v>46125</v>
      </c>
      <c r="B16" s="7" t="s">
        <v>103</v>
      </c>
      <c r="C16" s="7" t="s">
        <v>20</v>
      </c>
      <c r="D16" s="64" t="s">
        <v>97</v>
      </c>
      <c r="E16" s="64">
        <v>3000</v>
      </c>
      <c r="F16" s="64">
        <v>8</v>
      </c>
      <c r="G16" s="64">
        <v>98</v>
      </c>
      <c r="H16" s="64">
        <v>28</v>
      </c>
      <c r="I16" s="64">
        <v>66</v>
      </c>
      <c r="J16" s="7">
        <f>SUM(F16:I16)</f>
        <v>200</v>
      </c>
      <c r="K16" s="82">
        <v>2800</v>
      </c>
      <c r="L16" s="64">
        <v>6</v>
      </c>
      <c r="M16" s="64" t="s">
        <v>63</v>
      </c>
      <c r="N16" s="67">
        <f>K16/E16*100</f>
        <v>93.333333333333329</v>
      </c>
      <c r="O16" s="7">
        <f>K16+J16</f>
        <v>3000</v>
      </c>
      <c r="P16" s="7">
        <f>E16-O16</f>
        <v>0</v>
      </c>
    </row>
    <row r="17" spans="1:16" ht="14.45" customHeight="1">
      <c r="A17" s="187">
        <v>46126</v>
      </c>
      <c r="B17" s="7" t="s">
        <v>103</v>
      </c>
      <c r="C17" s="7" t="s">
        <v>20</v>
      </c>
      <c r="D17" s="64" t="s">
        <v>97</v>
      </c>
      <c r="E17" s="64">
        <v>7000</v>
      </c>
      <c r="F17" s="64">
        <v>10</v>
      </c>
      <c r="G17" s="64">
        <v>198</v>
      </c>
      <c r="H17" s="64">
        <v>16</v>
      </c>
      <c r="I17" s="64">
        <v>236</v>
      </c>
      <c r="J17" s="7">
        <f>SUM(F17:I17)</f>
        <v>460</v>
      </c>
      <c r="K17" s="65">
        <v>6540</v>
      </c>
      <c r="L17" s="64">
        <v>6</v>
      </c>
      <c r="M17" s="64" t="s">
        <v>63</v>
      </c>
      <c r="N17" s="67">
        <f>K17/E17*100</f>
        <v>93.428571428571431</v>
      </c>
      <c r="O17" s="7">
        <f>K17+J17</f>
        <v>7000</v>
      </c>
      <c r="P17" s="7">
        <f>E17-O17</f>
        <v>0</v>
      </c>
    </row>
    <row r="18" spans="1:16" ht="14.45" customHeight="1">
      <c r="A18" s="187">
        <v>46127</v>
      </c>
      <c r="B18" s="7" t="s">
        <v>103</v>
      </c>
      <c r="C18" s="7" t="s">
        <v>20</v>
      </c>
      <c r="D18" s="64" t="s">
        <v>97</v>
      </c>
      <c r="E18" s="64">
        <v>2150</v>
      </c>
      <c r="F18" s="64">
        <v>16</v>
      </c>
      <c r="G18" s="64">
        <v>55</v>
      </c>
      <c r="H18" s="64">
        <v>15</v>
      </c>
      <c r="I18" s="64">
        <v>64</v>
      </c>
      <c r="J18" s="7">
        <f>SUM(F18:I18)</f>
        <v>150</v>
      </c>
      <c r="K18" s="69">
        <v>2000</v>
      </c>
      <c r="L18" s="64">
        <v>6</v>
      </c>
      <c r="M18" s="64" t="s">
        <v>49</v>
      </c>
      <c r="N18" s="67">
        <f>K18/E18*100</f>
        <v>93.023255813953483</v>
      </c>
      <c r="O18" s="7">
        <f>K18+J18</f>
        <v>2150</v>
      </c>
      <c r="P18" s="7">
        <f>E18-O18</f>
        <v>0</v>
      </c>
    </row>
    <row r="19" spans="1:16" ht="14.45" customHeight="1">
      <c r="A19" s="187">
        <v>46129</v>
      </c>
      <c r="B19" s="7" t="s">
        <v>103</v>
      </c>
      <c r="C19" s="7" t="s">
        <v>20</v>
      </c>
      <c r="D19" s="64" t="s">
        <v>97</v>
      </c>
      <c r="E19" s="64">
        <v>5000</v>
      </c>
      <c r="F19" s="64">
        <v>5</v>
      </c>
      <c r="G19" s="64">
        <v>137</v>
      </c>
      <c r="H19" s="64">
        <v>18</v>
      </c>
      <c r="I19" s="64">
        <v>140</v>
      </c>
      <c r="J19" s="7">
        <f>SUM(F19:I19)</f>
        <v>300</v>
      </c>
      <c r="K19" s="68">
        <v>4700</v>
      </c>
      <c r="L19" s="64">
        <v>5</v>
      </c>
      <c r="M19" s="64" t="s">
        <v>63</v>
      </c>
      <c r="N19" s="67">
        <f>K19/E19*100</f>
        <v>94</v>
      </c>
      <c r="O19" s="7">
        <f>K19+J19</f>
        <v>5000</v>
      </c>
      <c r="P19" s="7">
        <f>E19-O19</f>
        <v>0</v>
      </c>
    </row>
    <row r="20" spans="1:16" ht="14.45" customHeight="1">
      <c r="A20" s="187">
        <v>46132</v>
      </c>
      <c r="B20" s="7" t="s">
        <v>103</v>
      </c>
      <c r="C20" s="7" t="s">
        <v>20</v>
      </c>
      <c r="D20" s="64" t="s">
        <v>104</v>
      </c>
      <c r="E20" s="64">
        <v>950</v>
      </c>
      <c r="F20" s="64">
        <v>12</v>
      </c>
      <c r="G20" s="64">
        <v>40</v>
      </c>
      <c r="H20" s="64">
        <v>15</v>
      </c>
      <c r="I20" s="64">
        <v>33</v>
      </c>
      <c r="J20" s="7">
        <v>100</v>
      </c>
      <c r="K20" s="68">
        <v>850</v>
      </c>
      <c r="L20" s="64">
        <v>4</v>
      </c>
      <c r="M20" s="64" t="s">
        <v>49</v>
      </c>
      <c r="N20" s="67">
        <f>K20/E20*100</f>
        <v>89.473684210526315</v>
      </c>
      <c r="O20" s="7">
        <f>K20+J20</f>
        <v>950</v>
      </c>
      <c r="P20" s="7">
        <f>E20-O20</f>
        <v>0</v>
      </c>
    </row>
    <row r="21" spans="1:16" ht="14.45" customHeight="1">
      <c r="A21" s="187">
        <v>46133</v>
      </c>
      <c r="B21" s="7" t="s">
        <v>103</v>
      </c>
      <c r="C21" s="7" t="s">
        <v>20</v>
      </c>
      <c r="D21" s="64" t="s">
        <v>104</v>
      </c>
      <c r="E21" s="64">
        <v>8600</v>
      </c>
      <c r="F21" s="64">
        <v>90</v>
      </c>
      <c r="G21" s="64">
        <v>142</v>
      </c>
      <c r="H21" s="64">
        <v>38</v>
      </c>
      <c r="I21" s="64">
        <v>330</v>
      </c>
      <c r="J21" s="7">
        <v>600</v>
      </c>
      <c r="K21" s="69">
        <v>8000</v>
      </c>
      <c r="L21" s="64">
        <v>4</v>
      </c>
      <c r="M21" s="64" t="s">
        <v>49</v>
      </c>
      <c r="N21" s="67">
        <f>K21/E21*100</f>
        <v>93.023255813953483</v>
      </c>
      <c r="O21" s="7">
        <f>K21+J21</f>
        <v>8600</v>
      </c>
      <c r="P21" s="7">
        <f>E21-O21</f>
        <v>0</v>
      </c>
    </row>
    <row r="22" spans="1:16" ht="14.45" customHeight="1">
      <c r="A22" s="187">
        <v>46134</v>
      </c>
      <c r="B22" s="7" t="s">
        <v>103</v>
      </c>
      <c r="C22" s="7" t="s">
        <v>20</v>
      </c>
      <c r="D22" s="64" t="s">
        <v>104</v>
      </c>
      <c r="E22" s="64">
        <v>6512</v>
      </c>
      <c r="F22" s="64">
        <v>84</v>
      </c>
      <c r="G22" s="64">
        <v>106</v>
      </c>
      <c r="H22" s="64">
        <v>25</v>
      </c>
      <c r="I22" s="64">
        <v>297</v>
      </c>
      <c r="J22" s="7">
        <v>512</v>
      </c>
      <c r="K22" s="65">
        <v>6000</v>
      </c>
      <c r="L22" s="64">
        <v>4</v>
      </c>
      <c r="M22" s="64" t="s">
        <v>49</v>
      </c>
      <c r="N22" s="67">
        <f>K22/E22*100</f>
        <v>92.137592137592137</v>
      </c>
      <c r="O22" s="7">
        <f>K22+J22</f>
        <v>6512</v>
      </c>
      <c r="P22" s="7">
        <f>E22-O22</f>
        <v>0</v>
      </c>
    </row>
    <row r="23" spans="1:16" ht="14.45" customHeight="1">
      <c r="A23" s="187">
        <v>46135</v>
      </c>
      <c r="B23" s="7" t="s">
        <v>103</v>
      </c>
      <c r="C23" s="7" t="s">
        <v>20</v>
      </c>
      <c r="D23" s="64" t="s">
        <v>104</v>
      </c>
      <c r="E23" s="64">
        <v>7000</v>
      </c>
      <c r="F23" s="64">
        <v>70</v>
      </c>
      <c r="G23" s="64">
        <v>128</v>
      </c>
      <c r="H23" s="64">
        <v>22</v>
      </c>
      <c r="I23" s="64">
        <v>280</v>
      </c>
      <c r="J23" s="7">
        <v>500</v>
      </c>
      <c r="K23" s="83">
        <v>6500</v>
      </c>
      <c r="L23" s="64">
        <v>4</v>
      </c>
      <c r="M23" s="64" t="s">
        <v>49</v>
      </c>
      <c r="N23" s="67">
        <f>K23/E23*100</f>
        <v>92.857142857142861</v>
      </c>
      <c r="O23" s="7">
        <f>K23+J23</f>
        <v>7000</v>
      </c>
      <c r="P23" s="7">
        <f>E23-O23</f>
        <v>0</v>
      </c>
    </row>
    <row r="24" spans="1:16" ht="14.45" customHeight="1">
      <c r="A24" s="187">
        <v>46136</v>
      </c>
      <c r="B24" s="7" t="s">
        <v>103</v>
      </c>
      <c r="C24" s="7" t="s">
        <v>20</v>
      </c>
      <c r="D24" s="64" t="s">
        <v>104</v>
      </c>
      <c r="E24" s="64">
        <v>8600</v>
      </c>
      <c r="F24" s="64">
        <v>95</v>
      </c>
      <c r="G24" s="64">
        <v>160</v>
      </c>
      <c r="H24" s="64">
        <v>28</v>
      </c>
      <c r="I24" s="64">
        <v>355</v>
      </c>
      <c r="J24" s="7">
        <v>638</v>
      </c>
      <c r="K24" s="68">
        <v>7962</v>
      </c>
      <c r="L24" s="64">
        <v>4</v>
      </c>
      <c r="M24" s="64" t="s">
        <v>49</v>
      </c>
      <c r="N24" s="67">
        <f>K24/E24*100</f>
        <v>92.581395348837219</v>
      </c>
      <c r="O24" s="7">
        <f>K24+J24</f>
        <v>8600</v>
      </c>
      <c r="P24" s="7">
        <f>E24-O24</f>
        <v>0</v>
      </c>
    </row>
    <row r="25" spans="1:16" ht="14.45" customHeight="1">
      <c r="A25" s="187">
        <v>46137</v>
      </c>
      <c r="B25" s="7" t="s">
        <v>103</v>
      </c>
      <c r="C25" s="7" t="s">
        <v>20</v>
      </c>
      <c r="D25" s="64" t="s">
        <v>104</v>
      </c>
      <c r="E25" s="64">
        <v>4900</v>
      </c>
      <c r="F25" s="64">
        <v>51</v>
      </c>
      <c r="G25" s="64">
        <v>98</v>
      </c>
      <c r="H25" s="64">
        <v>25</v>
      </c>
      <c r="I25" s="64">
        <v>190</v>
      </c>
      <c r="J25" s="64">
        <v>364</v>
      </c>
      <c r="K25" s="68">
        <v>4536</v>
      </c>
      <c r="L25" s="64">
        <v>4</v>
      </c>
      <c r="M25" s="64" t="s">
        <v>49</v>
      </c>
      <c r="N25" s="67">
        <f>K25/E25*100</f>
        <v>92.571428571428569</v>
      </c>
      <c r="O25" s="7">
        <f>K25+J25</f>
        <v>4900</v>
      </c>
      <c r="P25" s="7">
        <f>E25-O25</f>
        <v>0</v>
      </c>
    </row>
    <row r="26" spans="1:16" ht="14.45" customHeight="1">
      <c r="A26" s="187">
        <v>46139</v>
      </c>
      <c r="B26" s="7" t="s">
        <v>103</v>
      </c>
      <c r="C26" s="7" t="s">
        <v>20</v>
      </c>
      <c r="D26" s="64" t="s">
        <v>105</v>
      </c>
      <c r="E26" s="64">
        <v>7000</v>
      </c>
      <c r="F26" s="64">
        <v>45</v>
      </c>
      <c r="G26" s="64">
        <v>265</v>
      </c>
      <c r="H26" s="64">
        <v>30</v>
      </c>
      <c r="I26" s="64">
        <v>195</v>
      </c>
      <c r="J26" s="64">
        <v>530</v>
      </c>
      <c r="K26" s="65">
        <v>6470</v>
      </c>
      <c r="L26" s="64">
        <v>4</v>
      </c>
      <c r="M26" s="64" t="s">
        <v>49</v>
      </c>
      <c r="N26" s="67">
        <f>K26/E26*100</f>
        <v>92.428571428571431</v>
      </c>
      <c r="O26" s="7">
        <f>K26+J26</f>
        <v>7000</v>
      </c>
      <c r="P26" s="7">
        <f>E26-O26</f>
        <v>0</v>
      </c>
    </row>
    <row r="27" spans="1:16" ht="14.45" customHeight="1">
      <c r="A27" s="192">
        <v>46140</v>
      </c>
      <c r="B27" s="64" t="s">
        <v>103</v>
      </c>
      <c r="C27" s="7" t="s">
        <v>20</v>
      </c>
      <c r="D27" s="64" t="s">
        <v>105</v>
      </c>
      <c r="E27" s="64">
        <v>7449</v>
      </c>
      <c r="F27" s="64">
        <v>52</v>
      </c>
      <c r="G27" s="64">
        <v>270</v>
      </c>
      <c r="H27" s="64">
        <v>20</v>
      </c>
      <c r="I27" s="64">
        <v>215</v>
      </c>
      <c r="J27" s="64">
        <v>557</v>
      </c>
      <c r="K27" s="65">
        <v>6892</v>
      </c>
      <c r="L27" s="64">
        <v>4</v>
      </c>
      <c r="M27" s="64" t="s">
        <v>63</v>
      </c>
      <c r="N27" s="67">
        <v>92.4</v>
      </c>
      <c r="O27" s="7">
        <f>K27+J27</f>
        <v>7449</v>
      </c>
      <c r="P27" s="7">
        <f>E27-O27</f>
        <v>0</v>
      </c>
    </row>
    <row r="28" spans="1:16" ht="14.45" customHeight="1">
      <c r="A28" s="192">
        <v>46141</v>
      </c>
      <c r="B28" s="64" t="s">
        <v>103</v>
      </c>
      <c r="C28" s="7" t="s">
        <v>20</v>
      </c>
      <c r="D28" s="64" t="s">
        <v>105</v>
      </c>
      <c r="E28" s="64">
        <v>7900</v>
      </c>
      <c r="F28" s="64">
        <v>85</v>
      </c>
      <c r="G28" s="64">
        <v>235</v>
      </c>
      <c r="H28" s="64">
        <v>25</v>
      </c>
      <c r="I28" s="64">
        <v>222</v>
      </c>
      <c r="J28" s="64">
        <f>85+235+25+222</f>
        <v>567</v>
      </c>
      <c r="K28" s="83">
        <v>7333</v>
      </c>
      <c r="L28" s="64">
        <v>4</v>
      </c>
      <c r="M28" s="64" t="s">
        <v>53</v>
      </c>
      <c r="N28" s="67">
        <v>92.82</v>
      </c>
      <c r="O28" s="7">
        <v>7900</v>
      </c>
      <c r="P28" s="7">
        <f>E28-O28</f>
        <v>0</v>
      </c>
    </row>
    <row r="29" spans="1:16" ht="14.45" customHeight="1">
      <c r="A29" s="192">
        <v>46142</v>
      </c>
      <c r="B29" s="64" t="s">
        <v>103</v>
      </c>
      <c r="C29" s="7" t="s">
        <v>20</v>
      </c>
      <c r="D29" s="64" t="s">
        <v>105</v>
      </c>
      <c r="E29" s="64">
        <v>2000</v>
      </c>
      <c r="F29" s="64">
        <v>15</v>
      </c>
      <c r="G29" s="64">
        <v>75</v>
      </c>
      <c r="H29" s="64">
        <v>15</v>
      </c>
      <c r="I29" s="64">
        <v>83</v>
      </c>
      <c r="J29" s="64">
        <v>125</v>
      </c>
      <c r="K29" s="83">
        <v>1875</v>
      </c>
      <c r="L29" s="64">
        <v>4</v>
      </c>
      <c r="M29" s="64" t="s">
        <v>53</v>
      </c>
      <c r="N29" s="67">
        <v>93.75</v>
      </c>
      <c r="O29" s="7">
        <v>2000</v>
      </c>
      <c r="P29" s="7">
        <f>E29-O29</f>
        <v>0</v>
      </c>
    </row>
    <row r="30" spans="1:16">
      <c r="A30" s="26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7"/>
      <c r="N30" s="27"/>
      <c r="O30" s="17"/>
      <c r="P30" s="38"/>
    </row>
    <row r="31" spans="1:16" ht="14.45">
      <c r="A31" s="26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7"/>
      <c r="N31" s="27"/>
      <c r="O31" s="17"/>
      <c r="P31" s="17"/>
    </row>
    <row r="32" spans="1:16" ht="14.45">
      <c r="A32" s="40"/>
      <c r="B32" s="41"/>
      <c r="C32" s="41"/>
      <c r="D32" s="41"/>
      <c r="E32" s="42"/>
      <c r="F32" s="42"/>
      <c r="G32" s="42"/>
      <c r="H32" s="42"/>
      <c r="I32" s="42"/>
      <c r="J32" s="41"/>
      <c r="K32" s="41"/>
      <c r="L32" s="41"/>
      <c r="M32" s="43"/>
      <c r="N32" s="44" t="e">
        <f>AVERAGE(#REF!)</f>
        <v>#REF!</v>
      </c>
      <c r="O32" s="45"/>
      <c r="P32" s="1"/>
    </row>
    <row r="33" spans="9:14" ht="14.45">
      <c r="I33" s="47" t="s">
        <v>57</v>
      </c>
      <c r="J33" s="48"/>
      <c r="K33" s="48"/>
      <c r="L33" s="48"/>
      <c r="M33" s="49"/>
      <c r="N33" s="44" t="s">
        <v>58</v>
      </c>
    </row>
    <row r="34" spans="9:14" ht="13.9">
      <c r="I34" s="272" t="s">
        <v>59</v>
      </c>
      <c r="J34" s="320"/>
      <c r="K34" s="273"/>
      <c r="L34" s="320"/>
      <c r="M34" s="50"/>
      <c r="N34" s="51"/>
    </row>
    <row r="35" spans="9:14" ht="13.9">
      <c r="I35" s="270" t="s">
        <v>60</v>
      </c>
      <c r="J35" s="322"/>
      <c r="K35" s="271"/>
      <c r="L35" s="322"/>
      <c r="M35" s="50"/>
      <c r="N35" s="51"/>
    </row>
  </sheetData>
  <mergeCells count="16">
    <mergeCell ref="I34:J34"/>
    <mergeCell ref="K34:L34"/>
    <mergeCell ref="I35:J35"/>
    <mergeCell ref="K35:L35"/>
    <mergeCell ref="M2:M3"/>
    <mergeCell ref="N2:N3"/>
    <mergeCell ref="A1:O1"/>
    <mergeCell ref="A2:A3"/>
    <mergeCell ref="B2:B3"/>
    <mergeCell ref="C2:C3"/>
    <mergeCell ref="D2:D3"/>
    <mergeCell ref="E2:E3"/>
    <mergeCell ref="J2:J3"/>
    <mergeCell ref="O2:O3"/>
    <mergeCell ref="K2:K3"/>
    <mergeCell ref="L2:L3"/>
  </mergeCell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1014"/>
  <sheetViews>
    <sheetView workbookViewId="0">
      <pane ySplit="3" topLeftCell="A4" activePane="bottomLeft" state="frozen"/>
      <selection pane="bottomLeft" activeCell="D48" sqref="D48:H54"/>
    </sheetView>
  </sheetViews>
  <sheetFormatPr defaultColWidth="12.5703125" defaultRowHeight="15.75" customHeight="1"/>
  <cols>
    <col min="4" max="4" width="16.5703125" customWidth="1"/>
    <col min="17" max="17" width="29.140625" customWidth="1"/>
  </cols>
  <sheetData>
    <row r="1" spans="1:17" ht="13.15">
      <c r="A1" s="266" t="s">
        <v>40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  <c r="O1" s="1"/>
      <c r="P1" s="1"/>
    </row>
    <row r="2" spans="1:17" ht="36">
      <c r="A2" s="277" t="s">
        <v>25</v>
      </c>
      <c r="B2" s="267" t="s">
        <v>26</v>
      </c>
      <c r="C2" s="267" t="s">
        <v>27</v>
      </c>
      <c r="D2" s="3" t="s">
        <v>22</v>
      </c>
      <c r="E2" s="268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267" t="s">
        <v>33</v>
      </c>
      <c r="K2" s="267" t="s">
        <v>34</v>
      </c>
      <c r="L2" s="267" t="s">
        <v>35</v>
      </c>
      <c r="M2" s="267" t="s">
        <v>36</v>
      </c>
      <c r="N2" s="269" t="s">
        <v>37</v>
      </c>
      <c r="O2" s="1"/>
      <c r="P2" s="1"/>
    </row>
    <row r="3" spans="1:17" ht="37.5">
      <c r="A3" s="325"/>
      <c r="B3" s="321"/>
      <c r="C3" s="321"/>
      <c r="D3" s="84"/>
      <c r="E3" s="321"/>
      <c r="F3" s="5" t="s">
        <v>42</v>
      </c>
      <c r="G3" s="5" t="s">
        <v>43</v>
      </c>
      <c r="H3" s="5" t="s">
        <v>44</v>
      </c>
      <c r="I3" s="5" t="s">
        <v>32</v>
      </c>
      <c r="J3" s="321"/>
      <c r="K3" s="321"/>
      <c r="L3" s="321"/>
      <c r="M3" s="321"/>
      <c r="N3" s="321"/>
      <c r="O3" s="1"/>
      <c r="P3" s="1"/>
      <c r="Q3" s="20" t="s">
        <v>61</v>
      </c>
    </row>
    <row r="4" spans="1:17" ht="14.45" customHeight="1">
      <c r="A4" s="185">
        <v>46144</v>
      </c>
      <c r="B4" s="7" t="s">
        <v>56</v>
      </c>
      <c r="C4" s="7" t="s">
        <v>19</v>
      </c>
      <c r="D4" s="7" t="s">
        <v>79</v>
      </c>
      <c r="E4" s="7">
        <v>1850</v>
      </c>
      <c r="F4" s="7">
        <v>0</v>
      </c>
      <c r="G4" s="7">
        <v>41</v>
      </c>
      <c r="H4" s="7">
        <v>4</v>
      </c>
      <c r="I4" s="7">
        <v>82.1</v>
      </c>
      <c r="J4" s="7">
        <f>I4+H4+G4</f>
        <v>127.1</v>
      </c>
      <c r="K4" s="8">
        <v>1722.9</v>
      </c>
      <c r="L4" s="7">
        <v>3</v>
      </c>
      <c r="M4" s="7" t="s">
        <v>53</v>
      </c>
      <c r="N4" s="9">
        <f>K4/E4*100</f>
        <v>93.129729729729732</v>
      </c>
      <c r="O4" s="7">
        <f>K4+J4</f>
        <v>1850</v>
      </c>
      <c r="P4" s="7">
        <f>O4-E4</f>
        <v>0</v>
      </c>
    </row>
    <row r="5" spans="1:17" ht="14.45" customHeight="1">
      <c r="A5" s="186">
        <v>46144</v>
      </c>
      <c r="B5" s="7" t="s">
        <v>56</v>
      </c>
      <c r="C5" s="7" t="s">
        <v>19</v>
      </c>
      <c r="D5" s="7" t="s">
        <v>106</v>
      </c>
      <c r="E5" s="7">
        <v>1200</v>
      </c>
      <c r="F5" s="7">
        <v>0</v>
      </c>
      <c r="G5" s="7">
        <v>48</v>
      </c>
      <c r="H5" s="7">
        <v>5</v>
      </c>
      <c r="I5" s="7">
        <v>59</v>
      </c>
      <c r="J5" s="7">
        <f>I5+H5+G5</f>
        <v>112</v>
      </c>
      <c r="K5" s="14">
        <v>1088</v>
      </c>
      <c r="L5" s="7">
        <v>3</v>
      </c>
      <c r="M5" s="7" t="s">
        <v>53</v>
      </c>
      <c r="N5" s="9">
        <f>K5/E5*100</f>
        <v>90.666666666666657</v>
      </c>
      <c r="O5" s="7">
        <f>K5+J5</f>
        <v>1200</v>
      </c>
      <c r="P5" s="7">
        <f>O5-E5</f>
        <v>0</v>
      </c>
    </row>
    <row r="6" spans="1:17" ht="14.45" customHeight="1">
      <c r="A6" s="187">
        <v>46146</v>
      </c>
      <c r="B6" s="7" t="s">
        <v>56</v>
      </c>
      <c r="C6" s="7" t="s">
        <v>19</v>
      </c>
      <c r="D6" s="7" t="s">
        <v>106</v>
      </c>
      <c r="E6" s="7">
        <v>3100</v>
      </c>
      <c r="F6" s="7">
        <v>25</v>
      </c>
      <c r="G6" s="7">
        <v>70</v>
      </c>
      <c r="H6" s="7">
        <v>5</v>
      </c>
      <c r="I6" s="7">
        <v>100</v>
      </c>
      <c r="J6" s="7">
        <f>I6+H6+G6+F6</f>
        <v>200</v>
      </c>
      <c r="K6" s="8">
        <v>2900</v>
      </c>
      <c r="L6" s="7">
        <v>4</v>
      </c>
      <c r="M6" s="7" t="s">
        <v>53</v>
      </c>
      <c r="N6" s="9">
        <f>K6/E6*100</f>
        <v>93.548387096774192</v>
      </c>
      <c r="O6" s="7">
        <f>K6+J6</f>
        <v>3100</v>
      </c>
      <c r="P6" s="7">
        <f>O6-E6</f>
        <v>0</v>
      </c>
    </row>
    <row r="7" spans="1:17" ht="14.45" customHeight="1">
      <c r="A7" s="187">
        <v>46147</v>
      </c>
      <c r="B7" s="7" t="s">
        <v>56</v>
      </c>
      <c r="C7" s="7" t="s">
        <v>19</v>
      </c>
      <c r="D7" s="7" t="s">
        <v>106</v>
      </c>
      <c r="E7" s="71">
        <v>2450</v>
      </c>
      <c r="F7" s="71">
        <v>10</v>
      </c>
      <c r="G7" s="71">
        <v>105</v>
      </c>
      <c r="H7" s="71">
        <v>16</v>
      </c>
      <c r="I7" s="71">
        <v>99</v>
      </c>
      <c r="J7" s="7">
        <f>I7+H7+G7+F7</f>
        <v>230</v>
      </c>
      <c r="K7" s="68">
        <v>2220</v>
      </c>
      <c r="L7" s="71">
        <v>3</v>
      </c>
      <c r="M7" s="7" t="s">
        <v>53</v>
      </c>
      <c r="N7" s="9">
        <f>K7/E7*100</f>
        <v>90.612244897959187</v>
      </c>
      <c r="O7" s="7">
        <f>K7+J7</f>
        <v>2450</v>
      </c>
      <c r="P7" s="7">
        <f>O7-E7</f>
        <v>0</v>
      </c>
    </row>
    <row r="8" spans="1:17" ht="14.45" customHeight="1">
      <c r="A8" s="187">
        <v>46148</v>
      </c>
      <c r="B8" s="7" t="s">
        <v>56</v>
      </c>
      <c r="C8" s="7" t="s">
        <v>19</v>
      </c>
      <c r="D8" s="7" t="s">
        <v>106</v>
      </c>
      <c r="E8" s="71">
        <v>2650</v>
      </c>
      <c r="F8" s="71">
        <v>12</v>
      </c>
      <c r="G8" s="71">
        <v>35</v>
      </c>
      <c r="H8" s="71">
        <v>6</v>
      </c>
      <c r="I8" s="71">
        <v>89</v>
      </c>
      <c r="J8" s="7">
        <f>F8+G8+H8+I8</f>
        <v>142</v>
      </c>
      <c r="K8" s="68">
        <v>2508</v>
      </c>
      <c r="L8" s="71">
        <v>3</v>
      </c>
      <c r="M8" s="71" t="s">
        <v>53</v>
      </c>
      <c r="N8" s="9">
        <f>K8/E8*100</f>
        <v>94.64150943396227</v>
      </c>
      <c r="O8" s="7">
        <f>K8+J8</f>
        <v>2650</v>
      </c>
      <c r="P8" s="7">
        <f>O8-E8</f>
        <v>0</v>
      </c>
    </row>
    <row r="9" spans="1:17" ht="14.45" customHeight="1">
      <c r="A9" s="187">
        <v>46149</v>
      </c>
      <c r="B9" s="7" t="s">
        <v>56</v>
      </c>
      <c r="C9" s="7" t="s">
        <v>19</v>
      </c>
      <c r="D9" s="7" t="s">
        <v>106</v>
      </c>
      <c r="E9" s="71">
        <v>750</v>
      </c>
      <c r="F9" s="71">
        <v>7</v>
      </c>
      <c r="G9" s="71">
        <v>10</v>
      </c>
      <c r="H9" s="71">
        <v>3</v>
      </c>
      <c r="I9" s="71">
        <v>30</v>
      </c>
      <c r="J9" s="7">
        <f>F9+G9+H9+I9</f>
        <v>50</v>
      </c>
      <c r="K9" s="68">
        <v>700</v>
      </c>
      <c r="L9" s="71">
        <v>4</v>
      </c>
      <c r="M9" s="71" t="s">
        <v>53</v>
      </c>
      <c r="N9" s="9">
        <f>K9/E9*100</f>
        <v>93.333333333333329</v>
      </c>
      <c r="O9" s="7">
        <f>K9+J9</f>
        <v>750</v>
      </c>
      <c r="P9" s="7">
        <f>O9-E9</f>
        <v>0</v>
      </c>
    </row>
    <row r="10" spans="1:17" ht="14.45" customHeight="1">
      <c r="A10" s="187">
        <v>46150</v>
      </c>
      <c r="B10" s="7" t="s">
        <v>56</v>
      </c>
      <c r="C10" s="7" t="s">
        <v>19</v>
      </c>
      <c r="D10" s="7" t="s">
        <v>107</v>
      </c>
      <c r="E10" s="71">
        <v>2700</v>
      </c>
      <c r="F10" s="71">
        <v>20</v>
      </c>
      <c r="G10" s="71">
        <v>35</v>
      </c>
      <c r="H10" s="71">
        <v>5</v>
      </c>
      <c r="I10" s="71">
        <v>110</v>
      </c>
      <c r="J10" s="7">
        <f>F10+G10+H10+I10</f>
        <v>170</v>
      </c>
      <c r="K10" s="68">
        <v>2530</v>
      </c>
      <c r="L10" s="71">
        <v>3</v>
      </c>
      <c r="M10" s="71" t="s">
        <v>53</v>
      </c>
      <c r="N10" s="9">
        <f>K10/E10*100</f>
        <v>93.703703703703695</v>
      </c>
      <c r="O10" s="7">
        <f>K10+J10</f>
        <v>2700</v>
      </c>
      <c r="P10" s="7">
        <f>O10-E10</f>
        <v>0</v>
      </c>
    </row>
    <row r="11" spans="1:17" ht="14.45" customHeight="1">
      <c r="A11" s="185">
        <v>46151</v>
      </c>
      <c r="B11" s="7" t="s">
        <v>56</v>
      </c>
      <c r="C11" s="7" t="s">
        <v>19</v>
      </c>
      <c r="D11" s="7" t="s">
        <v>107</v>
      </c>
      <c r="E11" s="71">
        <v>300</v>
      </c>
      <c r="F11" s="71">
        <v>5</v>
      </c>
      <c r="G11" s="71">
        <v>4</v>
      </c>
      <c r="H11" s="71">
        <v>1</v>
      </c>
      <c r="I11" s="71">
        <v>10</v>
      </c>
      <c r="J11" s="7">
        <f>F11+G11+H11+I11</f>
        <v>20</v>
      </c>
      <c r="K11" s="68">
        <v>280</v>
      </c>
      <c r="L11" s="71">
        <v>4</v>
      </c>
      <c r="M11" s="71" t="s">
        <v>53</v>
      </c>
      <c r="N11" s="9">
        <f>K11/E11*100</f>
        <v>93.333333333333329</v>
      </c>
      <c r="O11" s="7">
        <f>K11+J11</f>
        <v>300</v>
      </c>
      <c r="P11" s="7">
        <f>O11-E11</f>
        <v>0</v>
      </c>
    </row>
    <row r="12" spans="1:17" ht="28.9" customHeight="1">
      <c r="A12" s="186">
        <v>46151</v>
      </c>
      <c r="B12" s="7" t="s">
        <v>56</v>
      </c>
      <c r="C12" s="7" t="s">
        <v>108</v>
      </c>
      <c r="D12" s="7" t="s">
        <v>109</v>
      </c>
      <c r="E12" s="71">
        <v>1455</v>
      </c>
      <c r="F12" s="71">
        <v>2</v>
      </c>
      <c r="G12" s="71">
        <v>30</v>
      </c>
      <c r="H12" s="71">
        <v>7</v>
      </c>
      <c r="I12" s="71">
        <v>70</v>
      </c>
      <c r="J12" s="7">
        <f>F12+G12+H12+I12</f>
        <v>109</v>
      </c>
      <c r="K12" s="68">
        <v>1346</v>
      </c>
      <c r="L12" s="71">
        <v>4</v>
      </c>
      <c r="M12" s="71" t="s">
        <v>53</v>
      </c>
      <c r="N12" s="9">
        <f>K12/E12*100</f>
        <v>92.508591065292094</v>
      </c>
      <c r="O12" s="7">
        <f>K12+J12</f>
        <v>1455</v>
      </c>
      <c r="P12" s="7">
        <f>O12-E12</f>
        <v>0</v>
      </c>
    </row>
    <row r="13" spans="1:17" ht="28.9" customHeight="1">
      <c r="A13" s="187">
        <v>46153</v>
      </c>
      <c r="B13" s="7" t="s">
        <v>56</v>
      </c>
      <c r="C13" s="7" t="s">
        <v>108</v>
      </c>
      <c r="D13" s="7" t="s">
        <v>109</v>
      </c>
      <c r="E13" s="71">
        <v>1649</v>
      </c>
      <c r="F13" s="71">
        <v>0</v>
      </c>
      <c r="G13" s="71">
        <v>43</v>
      </c>
      <c r="H13" s="71">
        <v>3</v>
      </c>
      <c r="I13" s="71">
        <v>75</v>
      </c>
      <c r="J13" s="7">
        <f>G13+H13+I13</f>
        <v>121</v>
      </c>
      <c r="K13" s="68">
        <v>1528</v>
      </c>
      <c r="L13" s="71">
        <v>3</v>
      </c>
      <c r="M13" s="71" t="s">
        <v>53</v>
      </c>
      <c r="N13" s="9">
        <f>K13/E13*100</f>
        <v>92.66221952698605</v>
      </c>
      <c r="O13" s="7">
        <f>K13+J13</f>
        <v>1649</v>
      </c>
      <c r="P13" s="7">
        <f>O13-E13</f>
        <v>0</v>
      </c>
    </row>
    <row r="14" spans="1:17" ht="28.9" customHeight="1">
      <c r="A14" s="187">
        <v>46154</v>
      </c>
      <c r="B14" s="7" t="s">
        <v>56</v>
      </c>
      <c r="C14" s="7" t="s">
        <v>108</v>
      </c>
      <c r="D14" s="7" t="s">
        <v>109</v>
      </c>
      <c r="E14" s="71">
        <v>2122</v>
      </c>
      <c r="F14" s="71">
        <v>15</v>
      </c>
      <c r="G14" s="71">
        <v>35</v>
      </c>
      <c r="H14" s="71">
        <v>5</v>
      </c>
      <c r="I14" s="71">
        <v>112</v>
      </c>
      <c r="J14" s="7">
        <f>SUM(F14:I14)</f>
        <v>167</v>
      </c>
      <c r="K14" s="68">
        <v>1955</v>
      </c>
      <c r="L14" s="71">
        <v>3</v>
      </c>
      <c r="M14" s="71" t="s">
        <v>53</v>
      </c>
      <c r="N14" s="9">
        <f>K14/E14*100</f>
        <v>92.130065975494816</v>
      </c>
      <c r="O14" s="7">
        <f>K14+J14</f>
        <v>2122</v>
      </c>
      <c r="P14" s="7">
        <f>O14-E14</f>
        <v>0</v>
      </c>
    </row>
    <row r="15" spans="1:17" ht="14.45" customHeight="1">
      <c r="A15" s="187">
        <v>46154</v>
      </c>
      <c r="B15" s="7" t="s">
        <v>56</v>
      </c>
      <c r="C15" s="7" t="s">
        <v>19</v>
      </c>
      <c r="D15" s="7" t="s">
        <v>107</v>
      </c>
      <c r="E15" s="71">
        <v>1500</v>
      </c>
      <c r="F15" s="71">
        <v>15</v>
      </c>
      <c r="G15" s="71">
        <v>25</v>
      </c>
      <c r="H15" s="71">
        <v>5</v>
      </c>
      <c r="I15" s="71">
        <v>105</v>
      </c>
      <c r="J15" s="7">
        <f>SUM(F15:I15)</f>
        <v>150</v>
      </c>
      <c r="K15" s="68">
        <v>1350</v>
      </c>
      <c r="L15" s="71">
        <v>3</v>
      </c>
      <c r="M15" s="71" t="s">
        <v>53</v>
      </c>
      <c r="N15" s="9">
        <f>K15/E15*100</f>
        <v>90</v>
      </c>
      <c r="O15" s="7">
        <f>K15+J15</f>
        <v>1500</v>
      </c>
      <c r="P15" s="7">
        <f>O15-E15</f>
        <v>0</v>
      </c>
    </row>
    <row r="16" spans="1:17" ht="28.9" customHeight="1">
      <c r="A16" s="187">
        <v>46155</v>
      </c>
      <c r="B16" s="7" t="s">
        <v>56</v>
      </c>
      <c r="C16" s="7" t="s">
        <v>19</v>
      </c>
      <c r="D16" s="7" t="s">
        <v>109</v>
      </c>
      <c r="E16" s="71">
        <v>2095</v>
      </c>
      <c r="F16" s="71">
        <v>5</v>
      </c>
      <c r="G16" s="71">
        <v>34</v>
      </c>
      <c r="H16" s="71">
        <v>5</v>
      </c>
      <c r="I16" s="71">
        <v>90</v>
      </c>
      <c r="J16" s="7">
        <v>135</v>
      </c>
      <c r="K16" s="68">
        <v>1960</v>
      </c>
      <c r="L16" s="71">
        <v>4</v>
      </c>
      <c r="M16" s="71" t="s">
        <v>53</v>
      </c>
      <c r="N16" s="9">
        <f>K16/E16*100</f>
        <v>93.556085918854421</v>
      </c>
      <c r="O16" s="7">
        <f>K16+J16</f>
        <v>2095</v>
      </c>
      <c r="P16" s="7">
        <f>O16-E16</f>
        <v>0</v>
      </c>
    </row>
    <row r="17" spans="1:17" ht="14.45" customHeight="1">
      <c r="A17" s="187">
        <v>46156</v>
      </c>
      <c r="B17" s="7" t="s">
        <v>56</v>
      </c>
      <c r="C17" s="7" t="s">
        <v>19</v>
      </c>
      <c r="D17" s="7" t="s">
        <v>106</v>
      </c>
      <c r="E17" s="71">
        <v>2400</v>
      </c>
      <c r="F17" s="71">
        <v>10</v>
      </c>
      <c r="G17" s="71">
        <v>40</v>
      </c>
      <c r="H17" s="71">
        <v>2</v>
      </c>
      <c r="I17" s="71">
        <v>85</v>
      </c>
      <c r="J17" s="7">
        <f>SUM(F17:I17)</f>
        <v>137</v>
      </c>
      <c r="K17" s="68">
        <v>2263</v>
      </c>
      <c r="L17" s="71">
        <v>3</v>
      </c>
      <c r="M17" s="71" t="s">
        <v>53</v>
      </c>
      <c r="N17" s="9">
        <f>K17/E17*100</f>
        <v>94.291666666666657</v>
      </c>
      <c r="O17" s="7">
        <f>K17+J17</f>
        <v>2400</v>
      </c>
      <c r="P17" s="7">
        <f>O17-E17</f>
        <v>0</v>
      </c>
    </row>
    <row r="18" spans="1:17" ht="14.45" customHeight="1">
      <c r="A18" s="187">
        <v>46157</v>
      </c>
      <c r="B18" s="59" t="s">
        <v>56</v>
      </c>
      <c r="C18" s="59" t="s">
        <v>19</v>
      </c>
      <c r="D18" s="7" t="s">
        <v>106</v>
      </c>
      <c r="E18" s="71">
        <v>2400</v>
      </c>
      <c r="F18" s="71">
        <v>4</v>
      </c>
      <c r="G18" s="71">
        <v>40</v>
      </c>
      <c r="H18" s="71">
        <v>2</v>
      </c>
      <c r="I18" s="71">
        <v>79</v>
      </c>
      <c r="J18" s="7">
        <f>SUM(F18:I18)</f>
        <v>125</v>
      </c>
      <c r="K18" s="68">
        <v>2275</v>
      </c>
      <c r="L18" s="71">
        <v>3</v>
      </c>
      <c r="M18" s="71" t="s">
        <v>53</v>
      </c>
      <c r="N18" s="9">
        <f>K18/E18*100</f>
        <v>94.791666666666657</v>
      </c>
      <c r="O18" s="7">
        <f>K18+J18</f>
        <v>2400</v>
      </c>
      <c r="P18" s="7">
        <f>O18-E18</f>
        <v>0</v>
      </c>
    </row>
    <row r="19" spans="1:17" ht="14.45" customHeight="1">
      <c r="A19" s="187">
        <v>46158</v>
      </c>
      <c r="B19" s="59" t="s">
        <v>56</v>
      </c>
      <c r="C19" s="59" t="s">
        <v>19</v>
      </c>
      <c r="D19" s="7" t="s">
        <v>110</v>
      </c>
      <c r="E19" s="71">
        <v>1030</v>
      </c>
      <c r="F19" s="71">
        <v>10</v>
      </c>
      <c r="G19" s="71">
        <v>14</v>
      </c>
      <c r="H19" s="71">
        <v>1</v>
      </c>
      <c r="I19" s="71">
        <v>50</v>
      </c>
      <c r="J19" s="7">
        <v>76</v>
      </c>
      <c r="K19" s="68">
        <v>954</v>
      </c>
      <c r="L19" s="71">
        <v>6</v>
      </c>
      <c r="M19" s="71" t="s">
        <v>53</v>
      </c>
      <c r="N19" s="9">
        <f>K19/E19*100</f>
        <v>92.621359223300971</v>
      </c>
      <c r="O19" s="7">
        <f>K19+J19</f>
        <v>1030</v>
      </c>
      <c r="P19" s="7">
        <f>O19-E19</f>
        <v>0</v>
      </c>
    </row>
    <row r="20" spans="1:17" ht="14.45" customHeight="1">
      <c r="A20" s="187">
        <v>46158</v>
      </c>
      <c r="B20" s="59" t="s">
        <v>56</v>
      </c>
      <c r="C20" s="7" t="s">
        <v>108</v>
      </c>
      <c r="D20" s="7" t="s">
        <v>107</v>
      </c>
      <c r="E20" s="71">
        <v>2350</v>
      </c>
      <c r="F20" s="71">
        <v>0</v>
      </c>
      <c r="G20" s="71">
        <v>60</v>
      </c>
      <c r="H20" s="71">
        <v>2</v>
      </c>
      <c r="I20" s="71">
        <v>86</v>
      </c>
      <c r="J20" s="7">
        <f>SUM(F20:I20)</f>
        <v>148</v>
      </c>
      <c r="K20" s="68">
        <v>2202</v>
      </c>
      <c r="L20" s="71">
        <v>6</v>
      </c>
      <c r="M20" s="71" t="s">
        <v>53</v>
      </c>
      <c r="N20" s="9">
        <f>K20/E20*100</f>
        <v>93.702127659574458</v>
      </c>
      <c r="O20" s="7">
        <f>K20+J20</f>
        <v>2350</v>
      </c>
      <c r="P20" s="7">
        <f>O20-E20</f>
        <v>0</v>
      </c>
    </row>
    <row r="21" spans="1:17" ht="14.45" customHeight="1">
      <c r="A21" s="187">
        <v>46160</v>
      </c>
      <c r="B21" s="59" t="s">
        <v>56</v>
      </c>
      <c r="C21" s="7" t="s">
        <v>108</v>
      </c>
      <c r="D21" s="7" t="s">
        <v>107</v>
      </c>
      <c r="E21" s="71">
        <v>3450</v>
      </c>
      <c r="F21" s="71">
        <v>0</v>
      </c>
      <c r="G21" s="71">
        <v>77</v>
      </c>
      <c r="H21" s="71">
        <v>3</v>
      </c>
      <c r="I21" s="71">
        <v>150</v>
      </c>
      <c r="J21" s="7">
        <f>SUM(F21:I21)</f>
        <v>230</v>
      </c>
      <c r="K21" s="68">
        <v>3220</v>
      </c>
      <c r="L21" s="71">
        <v>3</v>
      </c>
      <c r="M21" s="71" t="s">
        <v>53</v>
      </c>
      <c r="N21" s="9">
        <f>K21/E21*100</f>
        <v>93.333333333333329</v>
      </c>
      <c r="O21" s="7">
        <f>K21+J21</f>
        <v>3450</v>
      </c>
      <c r="P21" s="7">
        <f>O21-E21</f>
        <v>0</v>
      </c>
    </row>
    <row r="22" spans="1:17" ht="28.9" customHeight="1">
      <c r="A22" s="187">
        <v>46160</v>
      </c>
      <c r="B22" s="59" t="s">
        <v>56</v>
      </c>
      <c r="C22" s="7" t="s">
        <v>108</v>
      </c>
      <c r="D22" s="7" t="s">
        <v>109</v>
      </c>
      <c r="E22" s="71">
        <v>1450</v>
      </c>
      <c r="F22" s="71">
        <v>0</v>
      </c>
      <c r="G22" s="71">
        <v>19</v>
      </c>
      <c r="H22" s="71">
        <v>2</v>
      </c>
      <c r="I22" s="71">
        <v>55.5</v>
      </c>
      <c r="J22" s="7">
        <f>SUM(F22:I22)</f>
        <v>76.5</v>
      </c>
      <c r="K22" s="68">
        <v>1373.5</v>
      </c>
      <c r="L22" s="71"/>
      <c r="M22" s="71"/>
      <c r="N22" s="9">
        <f>K22/E22*100</f>
        <v>94.724137931034477</v>
      </c>
      <c r="O22" s="7">
        <f>K22+J22</f>
        <v>1450</v>
      </c>
      <c r="P22" s="7">
        <f>O22-E22</f>
        <v>0</v>
      </c>
    </row>
    <row r="23" spans="1:17" ht="14.45" customHeight="1">
      <c r="A23" s="185">
        <v>46161</v>
      </c>
      <c r="B23" s="59" t="s">
        <v>56</v>
      </c>
      <c r="C23" s="7" t="s">
        <v>108</v>
      </c>
      <c r="D23" s="7" t="s">
        <v>107</v>
      </c>
      <c r="E23" s="71">
        <v>1800</v>
      </c>
      <c r="F23" s="71">
        <v>0</v>
      </c>
      <c r="G23" s="71">
        <v>45</v>
      </c>
      <c r="H23" s="71">
        <v>2</v>
      </c>
      <c r="I23" s="71">
        <v>79</v>
      </c>
      <c r="J23" s="7">
        <f>SUM(F23:I23)</f>
        <v>126</v>
      </c>
      <c r="K23" s="68">
        <v>1674</v>
      </c>
      <c r="L23" s="71">
        <v>4</v>
      </c>
      <c r="M23" s="71" t="s">
        <v>53</v>
      </c>
      <c r="N23" s="9">
        <f>K23/E23*100</f>
        <v>93</v>
      </c>
      <c r="O23" s="7">
        <f>K23+J23</f>
        <v>1800</v>
      </c>
      <c r="P23" s="7">
        <f>O23-E23</f>
        <v>0</v>
      </c>
    </row>
    <row r="24" spans="1:17" ht="14.45" customHeight="1">
      <c r="A24" s="186">
        <v>46161</v>
      </c>
      <c r="B24" s="59" t="s">
        <v>56</v>
      </c>
      <c r="C24" s="7" t="s">
        <v>111</v>
      </c>
      <c r="D24" s="7" t="s">
        <v>112</v>
      </c>
      <c r="E24" s="71">
        <v>1050</v>
      </c>
      <c r="F24" s="71">
        <v>6</v>
      </c>
      <c r="G24" s="71">
        <v>15</v>
      </c>
      <c r="H24" s="71">
        <v>1</v>
      </c>
      <c r="I24" s="71">
        <v>68</v>
      </c>
      <c r="J24" s="7">
        <f>SUM(F24:I24)</f>
        <v>90</v>
      </c>
      <c r="K24" s="68">
        <v>960</v>
      </c>
      <c r="L24" s="71">
        <v>4</v>
      </c>
      <c r="M24" s="71" t="s">
        <v>53</v>
      </c>
      <c r="N24" s="9">
        <f>K24/E24*100</f>
        <v>91.428571428571431</v>
      </c>
      <c r="O24" s="7">
        <f>K24+J24</f>
        <v>1050</v>
      </c>
      <c r="P24" s="7">
        <f>O24-E24</f>
        <v>0</v>
      </c>
    </row>
    <row r="25" spans="1:17" ht="14.45" customHeight="1">
      <c r="A25" s="185">
        <v>46162</v>
      </c>
      <c r="B25" s="6" t="s">
        <v>56</v>
      </c>
      <c r="C25" s="7" t="s">
        <v>111</v>
      </c>
      <c r="D25" s="7" t="s">
        <v>113</v>
      </c>
      <c r="E25" s="71">
        <v>820</v>
      </c>
      <c r="F25" s="71">
        <v>5</v>
      </c>
      <c r="G25" s="71">
        <v>15</v>
      </c>
      <c r="H25" s="71">
        <v>1</v>
      </c>
      <c r="I25" s="71">
        <v>45</v>
      </c>
      <c r="J25" s="7">
        <f>SUM(F25:I25)</f>
        <v>66</v>
      </c>
      <c r="K25" s="68">
        <v>754</v>
      </c>
      <c r="L25" s="71">
        <v>3</v>
      </c>
      <c r="M25" s="71" t="s">
        <v>53</v>
      </c>
      <c r="N25" s="9">
        <f>K25/E25*100</f>
        <v>91.951219512195124</v>
      </c>
      <c r="O25" s="7">
        <f>K25+J25</f>
        <v>820</v>
      </c>
      <c r="P25" s="7">
        <f>O25-E25</f>
        <v>0</v>
      </c>
    </row>
    <row r="26" spans="1:17" ht="14.45" customHeight="1">
      <c r="A26" s="186">
        <v>46162</v>
      </c>
      <c r="B26" s="180" t="s">
        <v>56</v>
      </c>
      <c r="C26" s="7" t="s">
        <v>111</v>
      </c>
      <c r="D26" s="7" t="s">
        <v>114</v>
      </c>
      <c r="E26" s="71">
        <v>1650</v>
      </c>
      <c r="F26" s="71">
        <v>0</v>
      </c>
      <c r="G26" s="71">
        <v>39</v>
      </c>
      <c r="H26" s="71">
        <v>1</v>
      </c>
      <c r="I26" s="71">
        <v>90</v>
      </c>
      <c r="J26" s="71">
        <f>SUM(F26:I26)</f>
        <v>130</v>
      </c>
      <c r="K26" s="68">
        <v>1520</v>
      </c>
      <c r="L26" s="71">
        <v>3</v>
      </c>
      <c r="M26" s="71" t="s">
        <v>53</v>
      </c>
      <c r="N26" s="9">
        <f>K26/E26*100</f>
        <v>92.121212121212125</v>
      </c>
      <c r="O26" s="7">
        <f>K26+J26</f>
        <v>1650</v>
      </c>
      <c r="P26" s="7">
        <f>O26-E26</f>
        <v>0</v>
      </c>
    </row>
    <row r="27" spans="1:17" ht="14.45" customHeight="1">
      <c r="A27" s="185">
        <v>46163</v>
      </c>
      <c r="B27" s="6" t="s">
        <v>56</v>
      </c>
      <c r="C27" s="7" t="s">
        <v>111</v>
      </c>
      <c r="D27" s="7" t="s">
        <v>79</v>
      </c>
      <c r="E27" s="71">
        <v>350</v>
      </c>
      <c r="F27" s="71">
        <v>5</v>
      </c>
      <c r="G27" s="71">
        <v>7</v>
      </c>
      <c r="H27" s="71">
        <v>1</v>
      </c>
      <c r="I27" s="71">
        <v>67</v>
      </c>
      <c r="J27" s="71">
        <f>SUM(F27:I27)</f>
        <v>80</v>
      </c>
      <c r="K27" s="68">
        <v>270</v>
      </c>
      <c r="L27" s="71">
        <v>2</v>
      </c>
      <c r="M27" s="71" t="s">
        <v>53</v>
      </c>
      <c r="N27" s="9">
        <f>K27/E27*100</f>
        <v>77.142857142857153</v>
      </c>
      <c r="O27" s="7">
        <f>K27+J27</f>
        <v>350</v>
      </c>
      <c r="P27" s="7">
        <f>O27-E27</f>
        <v>0</v>
      </c>
    </row>
    <row r="28" spans="1:17" ht="28.9" customHeight="1">
      <c r="A28" s="186">
        <v>46163</v>
      </c>
      <c r="B28" s="180" t="s">
        <v>56</v>
      </c>
      <c r="C28" s="7" t="s">
        <v>111</v>
      </c>
      <c r="D28" s="7" t="s">
        <v>109</v>
      </c>
      <c r="E28" s="71">
        <v>339.5</v>
      </c>
      <c r="F28" s="71">
        <v>0</v>
      </c>
      <c r="G28" s="71">
        <v>9</v>
      </c>
      <c r="H28" s="71">
        <v>0.5</v>
      </c>
      <c r="I28" s="71">
        <v>21</v>
      </c>
      <c r="J28" s="71">
        <f>SUM(F28:I28)</f>
        <v>30.5</v>
      </c>
      <c r="K28" s="68">
        <v>309</v>
      </c>
      <c r="L28" s="71">
        <v>2</v>
      </c>
      <c r="M28" s="71" t="s">
        <v>53</v>
      </c>
      <c r="N28" s="9">
        <f>K28/E28*100</f>
        <v>91.016200294550814</v>
      </c>
      <c r="O28" s="7">
        <f>K28+J28</f>
        <v>339.5</v>
      </c>
      <c r="P28" s="7">
        <f>O28-E28</f>
        <v>0</v>
      </c>
    </row>
    <row r="29" spans="1:17" ht="28.9" customHeight="1">
      <c r="A29" s="187">
        <v>46164</v>
      </c>
      <c r="B29" s="59" t="s">
        <v>56</v>
      </c>
      <c r="C29" s="7" t="s">
        <v>108</v>
      </c>
      <c r="D29" s="7" t="s">
        <v>109</v>
      </c>
      <c r="E29" s="71">
        <v>3346.5</v>
      </c>
      <c r="F29" s="71">
        <v>0</v>
      </c>
      <c r="G29" s="71">
        <v>54</v>
      </c>
      <c r="H29" s="71">
        <v>2</v>
      </c>
      <c r="I29" s="71">
        <v>140.5</v>
      </c>
      <c r="J29" s="71">
        <f>SUM(F29:I29)</f>
        <v>196.5</v>
      </c>
      <c r="K29" s="68">
        <v>3150</v>
      </c>
      <c r="L29" s="71">
        <v>4</v>
      </c>
      <c r="M29" s="71" t="s">
        <v>53</v>
      </c>
      <c r="N29" s="9">
        <f>K29/E29*100</f>
        <v>94.128193635141187</v>
      </c>
      <c r="O29" s="7">
        <f>K29+J29</f>
        <v>3346.5</v>
      </c>
      <c r="P29" s="7">
        <f>O29-E29</f>
        <v>0</v>
      </c>
    </row>
    <row r="30" spans="1:17" ht="28.9" customHeight="1">
      <c r="A30" s="191">
        <v>46165</v>
      </c>
      <c r="B30" s="59" t="s">
        <v>56</v>
      </c>
      <c r="C30" s="7" t="s">
        <v>111</v>
      </c>
      <c r="D30" s="23" t="s">
        <v>109</v>
      </c>
      <c r="E30" s="23">
        <v>2279.5</v>
      </c>
      <c r="F30" s="23">
        <v>10</v>
      </c>
      <c r="G30" s="23">
        <v>54</v>
      </c>
      <c r="H30" s="23">
        <v>1</v>
      </c>
      <c r="I30" s="23">
        <v>89.5</v>
      </c>
      <c r="J30" s="23">
        <f>I30+G30+H30</f>
        <v>144.5</v>
      </c>
      <c r="K30" s="25">
        <v>2135</v>
      </c>
      <c r="L30" s="23">
        <v>3</v>
      </c>
      <c r="M30" s="7" t="s">
        <v>53</v>
      </c>
      <c r="N30" s="9">
        <f>K30/E30*100</f>
        <v>93.660890546172411</v>
      </c>
      <c r="O30" s="7">
        <f>K30+J30</f>
        <v>2279.5</v>
      </c>
      <c r="P30" s="7">
        <f>O30-E30</f>
        <v>0</v>
      </c>
      <c r="Q30" s="39"/>
    </row>
    <row r="31" spans="1:17" ht="28.9" customHeight="1">
      <c r="A31" s="191">
        <v>46167</v>
      </c>
      <c r="B31" s="23" t="s">
        <v>56</v>
      </c>
      <c r="C31" s="23" t="s">
        <v>108</v>
      </c>
      <c r="D31" s="23" t="s">
        <v>109</v>
      </c>
      <c r="E31" s="23">
        <v>2958.5</v>
      </c>
      <c r="F31" s="23">
        <v>0</v>
      </c>
      <c r="G31" s="23">
        <v>75</v>
      </c>
      <c r="H31" s="23">
        <v>2</v>
      </c>
      <c r="I31" s="23">
        <v>161.5</v>
      </c>
      <c r="J31" s="23">
        <f>SUM(F31:I31)</f>
        <v>238.5</v>
      </c>
      <c r="K31" s="25">
        <v>2720</v>
      </c>
      <c r="L31" s="23">
        <v>3</v>
      </c>
      <c r="M31" s="7" t="s">
        <v>53</v>
      </c>
      <c r="N31" s="9">
        <f>K31/E31*100</f>
        <v>91.938482339023153</v>
      </c>
      <c r="O31" s="7">
        <f>K31+J31</f>
        <v>2958.5</v>
      </c>
      <c r="P31" s="7">
        <f>O31-E31</f>
        <v>0</v>
      </c>
      <c r="Q31" s="1"/>
    </row>
    <row r="32" spans="1:17" ht="28.9" customHeight="1">
      <c r="A32" s="191">
        <v>46168</v>
      </c>
      <c r="B32" s="23" t="s">
        <v>56</v>
      </c>
      <c r="C32" s="23" t="s">
        <v>108</v>
      </c>
      <c r="D32" s="23" t="s">
        <v>109</v>
      </c>
      <c r="E32" s="23">
        <v>990</v>
      </c>
      <c r="F32" s="23">
        <v>0</v>
      </c>
      <c r="G32" s="23">
        <v>15</v>
      </c>
      <c r="H32" s="23">
        <v>1</v>
      </c>
      <c r="I32" s="23">
        <v>59</v>
      </c>
      <c r="J32" s="23">
        <f>SUM(F32:I32)</f>
        <v>75</v>
      </c>
      <c r="K32" s="25">
        <v>915</v>
      </c>
      <c r="L32" s="23">
        <v>3</v>
      </c>
      <c r="M32" s="7" t="s">
        <v>53</v>
      </c>
      <c r="N32" s="9">
        <f>K32/E32*100</f>
        <v>92.424242424242422</v>
      </c>
      <c r="O32" s="7">
        <f>K32+J32</f>
        <v>990</v>
      </c>
      <c r="P32" s="7">
        <f>O32-E32</f>
        <v>0</v>
      </c>
      <c r="Q32" s="1"/>
    </row>
    <row r="33" spans="1:17" ht="14.45" customHeight="1">
      <c r="A33" s="190">
        <v>46169</v>
      </c>
      <c r="B33" s="23" t="s">
        <v>56</v>
      </c>
      <c r="C33" s="23" t="s">
        <v>111</v>
      </c>
      <c r="D33" s="23" t="s">
        <v>110</v>
      </c>
      <c r="E33" s="23">
        <v>400</v>
      </c>
      <c r="F33" s="23">
        <v>4</v>
      </c>
      <c r="G33" s="23">
        <v>9</v>
      </c>
      <c r="H33" s="23">
        <v>2</v>
      </c>
      <c r="I33" s="23">
        <v>15</v>
      </c>
      <c r="J33" s="23">
        <f>SUM(F33:I33)</f>
        <v>30</v>
      </c>
      <c r="K33" s="25">
        <v>370</v>
      </c>
      <c r="L33" s="23">
        <v>3</v>
      </c>
      <c r="M33" s="7" t="s">
        <v>53</v>
      </c>
      <c r="N33" s="9">
        <f>K33/E33*100</f>
        <v>92.5</v>
      </c>
      <c r="O33" s="7">
        <f>K33+J33</f>
        <v>400</v>
      </c>
      <c r="P33" s="7">
        <f>O33-E33</f>
        <v>0</v>
      </c>
      <c r="Q33" s="1"/>
    </row>
    <row r="34" spans="1:17" ht="15.75" customHeight="1">
      <c r="A34" s="186">
        <v>46169</v>
      </c>
      <c r="B34" s="23" t="s">
        <v>56</v>
      </c>
      <c r="C34" s="23" t="s">
        <v>108</v>
      </c>
      <c r="D34" s="23" t="s">
        <v>109</v>
      </c>
      <c r="E34" s="23">
        <v>1649</v>
      </c>
      <c r="F34" s="23">
        <v>0</v>
      </c>
      <c r="G34" s="23">
        <v>40</v>
      </c>
      <c r="H34" s="23">
        <v>2</v>
      </c>
      <c r="I34" s="23">
        <v>67</v>
      </c>
      <c r="J34" s="23">
        <f>SUM(F34:I34)</f>
        <v>109</v>
      </c>
      <c r="K34" s="25">
        <v>1540</v>
      </c>
      <c r="L34" s="23">
        <v>3</v>
      </c>
      <c r="M34" s="7" t="s">
        <v>53</v>
      </c>
      <c r="N34" s="9">
        <f>K34/E34*100</f>
        <v>93.389933292904786</v>
      </c>
      <c r="O34" s="7">
        <f>K34+J34</f>
        <v>1649</v>
      </c>
      <c r="P34" s="7">
        <f>O34-E34</f>
        <v>0</v>
      </c>
      <c r="Q34" s="1" t="s">
        <v>115</v>
      </c>
    </row>
    <row r="35" spans="1:17" ht="14.45" customHeight="1">
      <c r="A35" s="191">
        <v>46170</v>
      </c>
      <c r="B35" s="23" t="s">
        <v>56</v>
      </c>
      <c r="C35" s="23" t="s">
        <v>111</v>
      </c>
      <c r="D35" s="23" t="s">
        <v>110</v>
      </c>
      <c r="E35" s="23">
        <v>3100</v>
      </c>
      <c r="F35" s="23">
        <v>0</v>
      </c>
      <c r="G35" s="23">
        <v>63</v>
      </c>
      <c r="H35" s="23">
        <v>2</v>
      </c>
      <c r="I35" s="23">
        <v>101</v>
      </c>
      <c r="J35" s="23">
        <f>SUM(F35:I35)</f>
        <v>166</v>
      </c>
      <c r="K35" s="25">
        <v>2934</v>
      </c>
      <c r="L35" s="23">
        <v>3</v>
      </c>
      <c r="M35" s="7" t="s">
        <v>53</v>
      </c>
      <c r="N35" s="9">
        <f>K35/E35*100</f>
        <v>94.645161290322577</v>
      </c>
      <c r="O35" s="7">
        <f>K35+J35</f>
        <v>3100</v>
      </c>
      <c r="P35" s="7">
        <f>O35-E35</f>
        <v>0</v>
      </c>
      <c r="Q35" s="1"/>
    </row>
    <row r="36" spans="1:17" ht="28.9" customHeight="1">
      <c r="A36" s="190">
        <v>46171</v>
      </c>
      <c r="B36" s="23" t="s">
        <v>56</v>
      </c>
      <c r="C36" s="23" t="s">
        <v>108</v>
      </c>
      <c r="D36" s="23" t="s">
        <v>109</v>
      </c>
      <c r="E36" s="23">
        <v>2813</v>
      </c>
      <c r="F36" s="23">
        <v>10</v>
      </c>
      <c r="G36" s="23">
        <v>46</v>
      </c>
      <c r="H36" s="23">
        <v>2</v>
      </c>
      <c r="I36" s="23">
        <v>142</v>
      </c>
      <c r="J36" s="23">
        <f>SUM(F36:I36)</f>
        <v>200</v>
      </c>
      <c r="K36" s="25">
        <v>2613</v>
      </c>
      <c r="L36" s="23">
        <v>3</v>
      </c>
      <c r="M36" s="7" t="s">
        <v>53</v>
      </c>
      <c r="N36" s="9">
        <f>K36/E36*100</f>
        <v>92.890152861713474</v>
      </c>
      <c r="O36" s="7">
        <f>K36+J36</f>
        <v>2813</v>
      </c>
      <c r="P36" s="7">
        <f>O36-E36</f>
        <v>0</v>
      </c>
      <c r="Q36" s="1"/>
    </row>
    <row r="37" spans="1:17" ht="14.45" customHeight="1">
      <c r="A37" s="186">
        <v>46171</v>
      </c>
      <c r="B37" s="23" t="s">
        <v>56</v>
      </c>
      <c r="C37" s="23" t="s">
        <v>108</v>
      </c>
      <c r="D37" s="23" t="s">
        <v>110</v>
      </c>
      <c r="E37" s="23">
        <v>500</v>
      </c>
      <c r="F37" s="23">
        <v>0</v>
      </c>
      <c r="G37" s="23">
        <v>12</v>
      </c>
      <c r="H37" s="23">
        <v>1</v>
      </c>
      <c r="I37" s="23">
        <v>27</v>
      </c>
      <c r="J37" s="23">
        <f>SUM(F37:I37)</f>
        <v>40</v>
      </c>
      <c r="K37" s="25">
        <v>460</v>
      </c>
      <c r="L37" s="23">
        <v>3</v>
      </c>
      <c r="M37" s="7" t="s">
        <v>53</v>
      </c>
      <c r="N37" s="9">
        <f>K37/E37*100</f>
        <v>92</v>
      </c>
      <c r="O37" s="7">
        <f>K37+J37</f>
        <v>500</v>
      </c>
      <c r="P37" s="7">
        <f>O37-E37</f>
        <v>0</v>
      </c>
      <c r="Q37" s="1"/>
    </row>
    <row r="38" spans="1:17" ht="14.45" customHeight="1">
      <c r="A38" s="191">
        <v>46172</v>
      </c>
      <c r="B38" s="23" t="s">
        <v>56</v>
      </c>
      <c r="C38" s="23" t="s">
        <v>111</v>
      </c>
      <c r="D38" s="23" t="s">
        <v>110</v>
      </c>
      <c r="E38" s="23">
        <v>2550</v>
      </c>
      <c r="F38" s="23">
        <v>5</v>
      </c>
      <c r="G38" s="23">
        <v>58</v>
      </c>
      <c r="H38" s="23">
        <v>2</v>
      </c>
      <c r="I38" s="23">
        <v>105</v>
      </c>
      <c r="J38" s="23">
        <f>SUM(F38:I38)</f>
        <v>170</v>
      </c>
      <c r="K38" s="25">
        <v>2380</v>
      </c>
      <c r="L38" s="23">
        <v>3</v>
      </c>
      <c r="M38" s="7" t="s">
        <v>53</v>
      </c>
      <c r="N38" s="9">
        <f>K38/E38*100</f>
        <v>93.333333333333329</v>
      </c>
      <c r="O38" s="7">
        <f>K38+J38</f>
        <v>2550</v>
      </c>
      <c r="P38" s="7">
        <f>O38-E38</f>
        <v>0</v>
      </c>
      <c r="Q38" s="1"/>
    </row>
    <row r="39" spans="1:17" ht="15">
      <c r="A39" s="26"/>
      <c r="B39" s="23"/>
      <c r="C39" s="23"/>
      <c r="D39" s="23"/>
      <c r="E39" s="23">
        <f>SUM(E12:E36)</f>
        <v>45447</v>
      </c>
      <c r="F39" s="23"/>
      <c r="G39" s="23"/>
      <c r="H39" s="23"/>
      <c r="I39" s="23"/>
      <c r="J39" s="23"/>
      <c r="K39" s="23">
        <f>SUM(K12:K36)</f>
        <v>42290.5</v>
      </c>
      <c r="L39" s="23"/>
      <c r="M39" s="7"/>
      <c r="N39" s="27"/>
      <c r="O39" s="7"/>
      <c r="P39" s="7"/>
      <c r="Q39" s="1"/>
    </row>
    <row r="40" spans="1:17" ht="14.45">
      <c r="A40" s="26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7"/>
      <c r="N40" s="27"/>
      <c r="O40" s="7"/>
      <c r="P40" s="7"/>
      <c r="Q40" s="1"/>
    </row>
    <row r="41" spans="1:17" ht="14.45">
      <c r="A41" s="26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7"/>
      <c r="N41" s="27"/>
      <c r="O41" s="7"/>
      <c r="P41" s="7"/>
      <c r="Q41" s="1"/>
    </row>
    <row r="42" spans="1:17" ht="14.45">
      <c r="A42" s="40"/>
      <c r="B42" s="41"/>
      <c r="C42" s="41"/>
      <c r="D42" s="41"/>
      <c r="E42" s="42"/>
      <c r="F42" s="42"/>
      <c r="G42" s="42"/>
      <c r="H42" s="42"/>
      <c r="I42" s="42"/>
      <c r="J42" s="41"/>
      <c r="K42" s="41"/>
      <c r="L42" s="41"/>
      <c r="M42" s="43"/>
      <c r="N42" s="44"/>
      <c r="O42" s="45"/>
      <c r="P42" s="1"/>
      <c r="Q42" s="1"/>
    </row>
    <row r="43" spans="1:17" ht="14.45">
      <c r="A43" s="45"/>
      <c r="B43" s="45"/>
      <c r="C43" s="45"/>
      <c r="D43" s="45"/>
      <c r="E43" s="46"/>
      <c r="F43" s="46"/>
      <c r="G43" s="46"/>
      <c r="H43" s="46"/>
      <c r="I43" s="47" t="s">
        <v>57</v>
      </c>
      <c r="J43" s="48"/>
      <c r="K43" s="48"/>
      <c r="L43" s="48"/>
      <c r="M43" s="49"/>
      <c r="N43" s="44" t="s">
        <v>58</v>
      </c>
      <c r="O43" s="45"/>
      <c r="P43" s="1"/>
      <c r="Q43" s="1"/>
    </row>
    <row r="44" spans="1:17" ht="13.9">
      <c r="A44" s="45"/>
      <c r="B44" s="45"/>
      <c r="C44" s="45"/>
      <c r="D44" s="45"/>
      <c r="E44" s="46"/>
      <c r="F44" s="46"/>
      <c r="G44" s="46"/>
      <c r="H44" s="46"/>
      <c r="I44" s="272" t="s">
        <v>59</v>
      </c>
      <c r="J44" s="320"/>
      <c r="K44" s="273"/>
      <c r="L44" s="320"/>
      <c r="M44" s="50"/>
      <c r="N44" s="51"/>
      <c r="O44" s="45"/>
      <c r="P44" s="1"/>
      <c r="Q44" s="1"/>
    </row>
    <row r="45" spans="1:17" ht="13.9">
      <c r="A45" s="45"/>
      <c r="B45" s="45"/>
      <c r="C45" s="45"/>
      <c r="D45" s="45"/>
      <c r="E45" s="46"/>
      <c r="F45" s="46"/>
      <c r="G45" s="46"/>
      <c r="H45" s="46"/>
      <c r="I45" s="270" t="s">
        <v>60</v>
      </c>
      <c r="J45" s="322"/>
      <c r="K45" s="271"/>
      <c r="L45" s="322"/>
      <c r="M45" s="50"/>
      <c r="N45" s="51"/>
      <c r="O45" s="45"/>
      <c r="P45" s="1"/>
      <c r="Q45" s="1"/>
    </row>
    <row r="49" spans="4:12" ht="13.15">
      <c r="D49" s="85" t="s">
        <v>22</v>
      </c>
      <c r="E49" s="85" t="s">
        <v>116</v>
      </c>
      <c r="F49" s="85" t="s">
        <v>117</v>
      </c>
      <c r="G49" s="85" t="s">
        <v>118</v>
      </c>
      <c r="H49" s="85" t="s">
        <v>119</v>
      </c>
      <c r="I49" t="s">
        <v>120</v>
      </c>
    </row>
    <row r="50" spans="4:12" ht="13.15">
      <c r="D50" s="85" t="s">
        <v>121</v>
      </c>
      <c r="E50" s="85">
        <v>23147</v>
      </c>
      <c r="F50" s="85">
        <v>21544.5</v>
      </c>
      <c r="G50" s="85">
        <f t="shared" ref="G50:G53" si="0">E50-F50</f>
        <v>1602.5</v>
      </c>
      <c r="H50" s="86">
        <f t="shared" ref="H50:H53" si="1">G50/E50%</f>
        <v>6.9231433879120408</v>
      </c>
    </row>
    <row r="51" spans="4:12" ht="13.15">
      <c r="D51" s="85" t="s">
        <v>79</v>
      </c>
      <c r="E51" s="85">
        <v>3835</v>
      </c>
      <c r="F51" s="85">
        <v>3512.9</v>
      </c>
      <c r="G51" s="85">
        <f t="shared" si="0"/>
        <v>322.09999999999991</v>
      </c>
      <c r="H51" s="86">
        <f t="shared" si="1"/>
        <v>8.3989569752281596</v>
      </c>
    </row>
    <row r="52" spans="4:12" ht="13.15">
      <c r="D52" s="85" t="s">
        <v>51</v>
      </c>
      <c r="E52" s="85">
        <v>16820</v>
      </c>
      <c r="F52" s="85">
        <v>15668</v>
      </c>
      <c r="G52" s="85">
        <f t="shared" si="0"/>
        <v>1152</v>
      </c>
      <c r="H52" s="86">
        <f t="shared" si="1"/>
        <v>6.8489892984542218</v>
      </c>
    </row>
    <row r="53" spans="4:12" ht="13.15">
      <c r="D53" s="85" t="s">
        <v>97</v>
      </c>
      <c r="E53" s="85">
        <v>12100</v>
      </c>
      <c r="F53" s="85">
        <v>11256</v>
      </c>
      <c r="G53" s="85">
        <f t="shared" si="0"/>
        <v>844</v>
      </c>
      <c r="H53" s="86">
        <f t="shared" si="1"/>
        <v>6.9752066115702478</v>
      </c>
    </row>
    <row r="55" spans="4:12" ht="13.15">
      <c r="K55" s="20">
        <f>75049+20150</f>
        <v>95199</v>
      </c>
      <c r="L55" s="20">
        <f>69798+18696</f>
        <v>88494</v>
      </c>
    </row>
    <row r="56" spans="4:12" ht="13.15">
      <c r="L56" s="20">
        <f>L55/K55</f>
        <v>0.92956858790533514</v>
      </c>
    </row>
    <row r="58" spans="4:12" ht="13.15">
      <c r="K58" s="20">
        <f>93843-88494</f>
        <v>5349</v>
      </c>
    </row>
    <row r="1010" spans="5:9" ht="13.15">
      <c r="E1010" s="87">
        <v>16820</v>
      </c>
      <c r="F1010" s="88">
        <v>15668</v>
      </c>
      <c r="G1010" s="89">
        <f>F1010/E1010*100</f>
        <v>93.151010701545772</v>
      </c>
    </row>
    <row r="1014" spans="5:9" ht="13.15">
      <c r="I1014" s="20">
        <f>85106-70431</f>
        <v>14675</v>
      </c>
    </row>
  </sheetData>
  <autoFilter ref="A2:N3" xr:uid="{00000000-0001-0000-0600-000000000000}"/>
  <mergeCells count="14">
    <mergeCell ref="M2:M3"/>
    <mergeCell ref="A1:N1"/>
    <mergeCell ref="B2:B3"/>
    <mergeCell ref="C2:C3"/>
    <mergeCell ref="E2:E3"/>
    <mergeCell ref="J2:J3"/>
    <mergeCell ref="K2:K3"/>
    <mergeCell ref="N2:N3"/>
    <mergeCell ref="I45:J45"/>
    <mergeCell ref="K45:L45"/>
    <mergeCell ref="A2:A3"/>
    <mergeCell ref="I44:J44"/>
    <mergeCell ref="K44:L44"/>
    <mergeCell ref="L2:L3"/>
  </mergeCell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47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sheetData>
    <row r="1" spans="1:16" ht="13.15">
      <c r="A1" s="266" t="s">
        <v>40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  <c r="O1" s="1"/>
      <c r="P1" s="1"/>
    </row>
    <row r="2" spans="1:16" ht="36">
      <c r="A2" s="267" t="s">
        <v>25</v>
      </c>
      <c r="B2" s="267" t="s">
        <v>26</v>
      </c>
      <c r="C2" s="267" t="s">
        <v>27</v>
      </c>
      <c r="D2" s="267" t="s">
        <v>22</v>
      </c>
      <c r="E2" s="268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267" t="s">
        <v>33</v>
      </c>
      <c r="K2" s="267" t="s">
        <v>34</v>
      </c>
      <c r="L2" s="267" t="s">
        <v>35</v>
      </c>
      <c r="M2" s="267" t="s">
        <v>36</v>
      </c>
      <c r="N2" s="269" t="s">
        <v>37</v>
      </c>
      <c r="O2" s="1" t="s">
        <v>122</v>
      </c>
      <c r="P2" s="1"/>
    </row>
    <row r="3" spans="1:16" ht="37.5">
      <c r="A3" s="321"/>
      <c r="B3" s="321"/>
      <c r="C3" s="321"/>
      <c r="D3" s="321"/>
      <c r="E3" s="321"/>
      <c r="F3" s="5" t="s">
        <v>42</v>
      </c>
      <c r="G3" s="5" t="s">
        <v>43</v>
      </c>
      <c r="H3" s="5" t="s">
        <v>44</v>
      </c>
      <c r="I3" s="5" t="s">
        <v>32</v>
      </c>
      <c r="J3" s="321"/>
      <c r="K3" s="321"/>
      <c r="L3" s="321"/>
      <c r="M3" s="321"/>
      <c r="N3" s="321"/>
      <c r="O3" s="1"/>
      <c r="P3" s="1"/>
    </row>
    <row r="4" spans="1:16" ht="14.45" customHeight="1">
      <c r="A4" s="185">
        <v>46144</v>
      </c>
      <c r="B4" s="7" t="s">
        <v>103</v>
      </c>
      <c r="C4" s="7" t="s">
        <v>20</v>
      </c>
      <c r="D4" s="7" t="s">
        <v>106</v>
      </c>
      <c r="E4" s="7">
        <v>7500</v>
      </c>
      <c r="F4" s="7">
        <v>80</v>
      </c>
      <c r="G4" s="7">
        <v>190</v>
      </c>
      <c r="H4" s="7">
        <v>35</v>
      </c>
      <c r="I4" s="7">
        <v>235</v>
      </c>
      <c r="J4" s="7">
        <f>SUM(F4:I4)</f>
        <v>540</v>
      </c>
      <c r="K4" s="8">
        <v>6960</v>
      </c>
      <c r="L4" s="7">
        <v>4</v>
      </c>
      <c r="M4" s="7" t="s">
        <v>49</v>
      </c>
      <c r="N4" s="29">
        <f>6960/7500*100</f>
        <v>92.800000000000011</v>
      </c>
      <c r="O4" s="7">
        <f>K4+J4</f>
        <v>7500</v>
      </c>
      <c r="P4" s="7">
        <f>O4-E4</f>
        <v>0</v>
      </c>
    </row>
    <row r="5" spans="1:16" ht="14.45" customHeight="1">
      <c r="A5" s="186">
        <v>46144</v>
      </c>
      <c r="B5" s="7" t="s">
        <v>123</v>
      </c>
      <c r="C5" s="7" t="s">
        <v>20</v>
      </c>
      <c r="D5" s="7" t="s">
        <v>124</v>
      </c>
      <c r="E5" s="7">
        <v>330</v>
      </c>
      <c r="F5" s="7">
        <v>0</v>
      </c>
      <c r="G5" s="7">
        <v>0</v>
      </c>
      <c r="H5" s="7">
        <v>3</v>
      </c>
      <c r="I5" s="7">
        <v>7</v>
      </c>
      <c r="J5" s="7">
        <f>SUM(F5:I5)</f>
        <v>10</v>
      </c>
      <c r="K5" s="8">
        <v>320</v>
      </c>
      <c r="L5" s="7">
        <v>1</v>
      </c>
      <c r="M5" s="7" t="s">
        <v>125</v>
      </c>
      <c r="N5" s="29">
        <f>320/330*100</f>
        <v>96.969696969696969</v>
      </c>
      <c r="O5" s="7">
        <f>K5+J5</f>
        <v>330</v>
      </c>
      <c r="P5" s="7">
        <f>O5-E5</f>
        <v>0</v>
      </c>
    </row>
    <row r="6" spans="1:16" ht="14.45" customHeight="1">
      <c r="A6" s="185">
        <v>46146</v>
      </c>
      <c r="B6" s="7" t="s">
        <v>103</v>
      </c>
      <c r="C6" s="7" t="s">
        <v>20</v>
      </c>
      <c r="D6" s="7" t="s">
        <v>106</v>
      </c>
      <c r="E6" s="7">
        <v>8300</v>
      </c>
      <c r="F6" s="7">
        <v>85</v>
      </c>
      <c r="G6" s="7">
        <v>187</v>
      </c>
      <c r="H6" s="7">
        <v>25</v>
      </c>
      <c r="I6" s="7">
        <v>283</v>
      </c>
      <c r="J6" s="7">
        <f>SUM(F6:I6)</f>
        <v>580</v>
      </c>
      <c r="K6" s="8">
        <v>7720</v>
      </c>
      <c r="L6" s="7">
        <v>5</v>
      </c>
      <c r="M6" s="7" t="s">
        <v>53</v>
      </c>
      <c r="N6" s="29">
        <f>7720/8300*100</f>
        <v>93.012048192771076</v>
      </c>
      <c r="O6" s="7">
        <f>K6+J6</f>
        <v>8300</v>
      </c>
      <c r="P6" s="7">
        <f>O6-E6</f>
        <v>0</v>
      </c>
    </row>
    <row r="7" spans="1:16" ht="14.45" customHeight="1">
      <c r="A7" s="185">
        <v>46146</v>
      </c>
      <c r="B7" s="7" t="s">
        <v>103</v>
      </c>
      <c r="C7" s="7" t="s">
        <v>20</v>
      </c>
      <c r="D7" s="7" t="s">
        <v>68</v>
      </c>
      <c r="E7" s="7">
        <v>3534</v>
      </c>
      <c r="F7" s="7">
        <v>20</v>
      </c>
      <c r="G7" s="7">
        <v>43</v>
      </c>
      <c r="H7" s="7">
        <v>14</v>
      </c>
      <c r="I7" s="7">
        <v>190</v>
      </c>
      <c r="J7" s="7">
        <f>SUM(F7:I7)</f>
        <v>267</v>
      </c>
      <c r="K7" s="8">
        <v>3267</v>
      </c>
      <c r="L7" s="7">
        <v>4</v>
      </c>
      <c r="M7" s="7" t="s">
        <v>63</v>
      </c>
      <c r="N7" s="29">
        <f>3267/3500*100</f>
        <v>93.342857142857142</v>
      </c>
      <c r="O7" s="7">
        <f>K7+J7</f>
        <v>3534</v>
      </c>
      <c r="P7" s="7">
        <f>O7-E7</f>
        <v>0</v>
      </c>
    </row>
    <row r="8" spans="1:16" ht="14.45" customHeight="1">
      <c r="A8" s="186">
        <v>46146</v>
      </c>
      <c r="B8" s="7" t="s">
        <v>123</v>
      </c>
      <c r="C8" s="7" t="s">
        <v>20</v>
      </c>
      <c r="D8" s="7" t="s">
        <v>124</v>
      </c>
      <c r="E8" s="7">
        <v>200</v>
      </c>
      <c r="F8" s="7">
        <v>0</v>
      </c>
      <c r="G8" s="7">
        <v>0</v>
      </c>
      <c r="H8" s="7">
        <v>3</v>
      </c>
      <c r="I8" s="7">
        <v>7</v>
      </c>
      <c r="J8" s="7">
        <f>SUM(F8:I8)</f>
        <v>10</v>
      </c>
      <c r="K8" s="8">
        <v>190</v>
      </c>
      <c r="L8" s="7">
        <v>1</v>
      </c>
      <c r="M8" s="7" t="s">
        <v>66</v>
      </c>
      <c r="N8" s="29">
        <f>190/200*100</f>
        <v>95</v>
      </c>
      <c r="O8" s="7">
        <f>K8+J8</f>
        <v>200</v>
      </c>
      <c r="P8" s="7">
        <f>O8-E8</f>
        <v>0</v>
      </c>
    </row>
    <row r="9" spans="1:16" ht="14.45" customHeight="1">
      <c r="A9" s="185">
        <v>46148</v>
      </c>
      <c r="B9" s="7" t="s">
        <v>103</v>
      </c>
      <c r="C9" s="7" t="s">
        <v>20</v>
      </c>
      <c r="D9" s="7" t="s">
        <v>68</v>
      </c>
      <c r="E9" s="7">
        <v>8200</v>
      </c>
      <c r="F9" s="7">
        <v>95</v>
      </c>
      <c r="G9" s="7">
        <v>140</v>
      </c>
      <c r="H9" s="7">
        <v>25</v>
      </c>
      <c r="I9" s="7">
        <v>260</v>
      </c>
      <c r="J9" s="7">
        <f>SUM(F9:I9)</f>
        <v>520</v>
      </c>
      <c r="K9" s="8">
        <v>7680</v>
      </c>
      <c r="L9" s="7">
        <v>4</v>
      </c>
      <c r="M9" s="7" t="s">
        <v>49</v>
      </c>
      <c r="N9" s="29">
        <v>93.5</v>
      </c>
      <c r="O9" s="7">
        <f>K9+J9</f>
        <v>8200</v>
      </c>
      <c r="P9" s="7">
        <f>O9-E9</f>
        <v>0</v>
      </c>
    </row>
    <row r="10" spans="1:16" ht="14.45" customHeight="1">
      <c r="A10" s="186">
        <v>46148</v>
      </c>
      <c r="B10" s="7" t="s">
        <v>126</v>
      </c>
      <c r="C10" s="7" t="s">
        <v>20</v>
      </c>
      <c r="D10" s="7" t="s">
        <v>124</v>
      </c>
      <c r="E10" s="7">
        <v>550</v>
      </c>
      <c r="F10" s="7">
        <v>0</v>
      </c>
      <c r="G10" s="7">
        <v>0</v>
      </c>
      <c r="H10" s="7">
        <v>10</v>
      </c>
      <c r="I10" s="7">
        <v>17</v>
      </c>
      <c r="J10" s="7">
        <f>SUM(F10:I10)</f>
        <v>27</v>
      </c>
      <c r="K10" s="8">
        <v>523</v>
      </c>
      <c r="L10" s="7">
        <v>1</v>
      </c>
      <c r="M10" s="7" t="s">
        <v>50</v>
      </c>
      <c r="N10" s="29">
        <v>95.09</v>
      </c>
      <c r="O10" s="7">
        <f>K10+J10</f>
        <v>550</v>
      </c>
      <c r="P10" s="7">
        <f>O10-E10</f>
        <v>0</v>
      </c>
    </row>
    <row r="11" spans="1:16" ht="14.45" customHeight="1">
      <c r="A11" s="187">
        <v>46149</v>
      </c>
      <c r="B11" s="7" t="s">
        <v>127</v>
      </c>
      <c r="C11" s="7" t="s">
        <v>20</v>
      </c>
      <c r="D11" s="7" t="s">
        <v>68</v>
      </c>
      <c r="E11" s="7">
        <v>8600</v>
      </c>
      <c r="F11" s="7">
        <v>110</v>
      </c>
      <c r="G11" s="7">
        <v>190</v>
      </c>
      <c r="H11" s="7">
        <v>20</v>
      </c>
      <c r="I11" s="7">
        <v>260</v>
      </c>
      <c r="J11" s="7">
        <f>SUM(F11:I11)</f>
        <v>580</v>
      </c>
      <c r="K11" s="54">
        <v>8020</v>
      </c>
      <c r="L11" s="7">
        <v>4</v>
      </c>
      <c r="M11" s="7" t="s">
        <v>49</v>
      </c>
      <c r="N11" s="29">
        <f>8020/8600*100</f>
        <v>93.255813953488371</v>
      </c>
      <c r="O11" s="7">
        <f>K11+J11</f>
        <v>8600</v>
      </c>
      <c r="P11" s="7">
        <f>O11-E11</f>
        <v>0</v>
      </c>
    </row>
    <row r="12" spans="1:16" ht="14.45" customHeight="1">
      <c r="A12" s="187">
        <v>46150</v>
      </c>
      <c r="B12" s="7">
        <v>1234</v>
      </c>
      <c r="C12" s="7" t="s">
        <v>20</v>
      </c>
      <c r="D12" s="7" t="s">
        <v>48</v>
      </c>
      <c r="E12" s="7">
        <v>7000</v>
      </c>
      <c r="F12" s="7">
        <v>12</v>
      </c>
      <c r="G12" s="7">
        <v>188</v>
      </c>
      <c r="H12" s="7">
        <v>25</v>
      </c>
      <c r="I12" s="7">
        <v>235</v>
      </c>
      <c r="J12" s="7">
        <f>SUM(F12:I12)</f>
        <v>460</v>
      </c>
      <c r="K12" s="14">
        <v>6540</v>
      </c>
      <c r="L12" s="7">
        <v>4</v>
      </c>
      <c r="M12" s="7" t="s">
        <v>49</v>
      </c>
      <c r="N12" s="29">
        <v>93.4</v>
      </c>
      <c r="O12" s="7">
        <f>K12+J12</f>
        <v>7000</v>
      </c>
      <c r="P12" s="7">
        <f>O12-E12</f>
        <v>0</v>
      </c>
    </row>
    <row r="13" spans="1:16" ht="14.45" customHeight="1">
      <c r="A13" s="187">
        <v>46151</v>
      </c>
      <c r="B13" s="7" t="s">
        <v>96</v>
      </c>
      <c r="C13" s="7" t="s">
        <v>20</v>
      </c>
      <c r="D13" s="7" t="s">
        <v>48</v>
      </c>
      <c r="E13" s="7">
        <v>6700</v>
      </c>
      <c r="F13" s="7">
        <v>42</v>
      </c>
      <c r="G13" s="7">
        <v>183</v>
      </c>
      <c r="H13" s="7">
        <v>20</v>
      </c>
      <c r="I13" s="7">
        <v>198</v>
      </c>
      <c r="J13" s="7">
        <f>SUM(F13:I13)</f>
        <v>443</v>
      </c>
      <c r="K13" s="8">
        <v>6257</v>
      </c>
      <c r="L13" s="7">
        <v>4</v>
      </c>
      <c r="M13" s="7" t="s">
        <v>49</v>
      </c>
      <c r="N13" s="29">
        <v>93.3</v>
      </c>
      <c r="O13" s="7">
        <f>K13+J13</f>
        <v>6700</v>
      </c>
      <c r="P13" s="7">
        <f>O13-E13</f>
        <v>0</v>
      </c>
    </row>
    <row r="14" spans="1:16" ht="14.45" customHeight="1">
      <c r="A14" s="187">
        <v>46154</v>
      </c>
      <c r="B14" s="7" t="s">
        <v>96</v>
      </c>
      <c r="C14" s="7" t="s">
        <v>20</v>
      </c>
      <c r="D14" s="7" t="s">
        <v>48</v>
      </c>
      <c r="E14" s="7">
        <v>7000</v>
      </c>
      <c r="F14" s="7">
        <v>40</v>
      </c>
      <c r="G14" s="7">
        <v>197</v>
      </c>
      <c r="H14" s="7">
        <v>25</v>
      </c>
      <c r="I14" s="7">
        <v>168</v>
      </c>
      <c r="J14" s="7">
        <f>SUM(F14:I14)</f>
        <v>430</v>
      </c>
      <c r="K14" s="54">
        <v>6570</v>
      </c>
      <c r="L14" s="7">
        <v>7</v>
      </c>
      <c r="M14" s="7" t="s">
        <v>63</v>
      </c>
      <c r="N14" s="29">
        <f>6570/7000*100</f>
        <v>93.857142857142861</v>
      </c>
      <c r="O14" s="7">
        <f>K14+J14</f>
        <v>7000</v>
      </c>
      <c r="P14" s="7">
        <f>O14-E14</f>
        <v>0</v>
      </c>
    </row>
    <row r="15" spans="1:16" ht="14.45" customHeight="1">
      <c r="A15" s="187">
        <v>46155</v>
      </c>
      <c r="B15" s="7" t="s">
        <v>127</v>
      </c>
      <c r="C15" s="7" t="s">
        <v>20</v>
      </c>
      <c r="D15" s="7" t="s">
        <v>48</v>
      </c>
      <c r="E15" s="7">
        <v>7000</v>
      </c>
      <c r="F15" s="7">
        <v>43</v>
      </c>
      <c r="G15" s="7">
        <v>332</v>
      </c>
      <c r="H15" s="7">
        <v>35</v>
      </c>
      <c r="I15" s="7">
        <v>120</v>
      </c>
      <c r="J15" s="7">
        <f>SUM(F15:I15)</f>
        <v>530</v>
      </c>
      <c r="K15" s="8">
        <v>6470</v>
      </c>
      <c r="L15" s="7">
        <v>6</v>
      </c>
      <c r="M15" s="7" t="s">
        <v>49</v>
      </c>
      <c r="N15" s="29">
        <v>92.4</v>
      </c>
      <c r="O15" s="7">
        <f>K15+J15</f>
        <v>7000</v>
      </c>
      <c r="P15" s="7">
        <f>O15-E15</f>
        <v>0</v>
      </c>
    </row>
    <row r="16" spans="1:16" ht="14.45" customHeight="1">
      <c r="A16" s="187">
        <v>46156</v>
      </c>
      <c r="B16" s="7">
        <v>1234</v>
      </c>
      <c r="C16" s="7" t="s">
        <v>20</v>
      </c>
      <c r="D16" s="7" t="s">
        <v>48</v>
      </c>
      <c r="E16" s="7">
        <v>2250</v>
      </c>
      <c r="F16" s="7">
        <v>45</v>
      </c>
      <c r="G16" s="7">
        <v>94</v>
      </c>
      <c r="H16" s="7">
        <v>11</v>
      </c>
      <c r="I16" s="7">
        <v>74</v>
      </c>
      <c r="J16" s="7">
        <f>SUM(F16:I16)</f>
        <v>224</v>
      </c>
      <c r="K16" s="8">
        <v>2026</v>
      </c>
      <c r="L16" s="7">
        <v>6</v>
      </c>
      <c r="M16" s="7" t="s">
        <v>128</v>
      </c>
      <c r="N16" s="29">
        <f>K16/E16*100</f>
        <v>90.044444444444451</v>
      </c>
      <c r="O16" s="7">
        <f>K16+J16</f>
        <v>2250</v>
      </c>
      <c r="P16" s="7">
        <f>O16-E16</f>
        <v>0</v>
      </c>
    </row>
    <row r="17" spans="1:16" ht="14.45" customHeight="1">
      <c r="A17" s="187">
        <v>46157</v>
      </c>
      <c r="B17" s="7" t="s">
        <v>127</v>
      </c>
      <c r="C17" s="7" t="s">
        <v>20</v>
      </c>
      <c r="D17" s="7" t="s">
        <v>68</v>
      </c>
      <c r="E17" s="7">
        <v>2000</v>
      </c>
      <c r="F17" s="7">
        <v>0</v>
      </c>
      <c r="G17" s="7">
        <v>89</v>
      </c>
      <c r="H17" s="7">
        <v>40</v>
      </c>
      <c r="I17" s="7">
        <v>41</v>
      </c>
      <c r="J17" s="7">
        <f>SUM(F17:I17)</f>
        <v>170</v>
      </c>
      <c r="K17" s="8">
        <v>1830</v>
      </c>
      <c r="L17" s="7">
        <v>6</v>
      </c>
      <c r="M17" s="7" t="s">
        <v>49</v>
      </c>
      <c r="N17" s="29">
        <f>K17/E17*100</f>
        <v>91.5</v>
      </c>
      <c r="O17" s="7">
        <f>K17+J17</f>
        <v>2000</v>
      </c>
      <c r="P17" s="7">
        <f>O17-E17</f>
        <v>0</v>
      </c>
    </row>
    <row r="18" spans="1:16" ht="14.45" customHeight="1">
      <c r="A18" s="187">
        <v>46158</v>
      </c>
      <c r="B18" s="7" t="s">
        <v>127</v>
      </c>
      <c r="C18" s="7" t="s">
        <v>20</v>
      </c>
      <c r="D18" s="7" t="s">
        <v>68</v>
      </c>
      <c r="E18" s="7">
        <v>7000</v>
      </c>
      <c r="F18" s="7">
        <v>40</v>
      </c>
      <c r="G18" s="7">
        <v>288</v>
      </c>
      <c r="H18" s="7">
        <v>30</v>
      </c>
      <c r="I18" s="7">
        <v>146</v>
      </c>
      <c r="J18" s="7">
        <f>SUM(F18:I18)</f>
        <v>504</v>
      </c>
      <c r="K18" s="8">
        <v>6500</v>
      </c>
      <c r="L18" s="7">
        <v>6</v>
      </c>
      <c r="M18" s="7" t="s">
        <v>63</v>
      </c>
      <c r="N18" s="29">
        <f>K18/E18*100</f>
        <v>92.857142857142861</v>
      </c>
      <c r="O18" s="7">
        <f>K18+J18</f>
        <v>7004</v>
      </c>
      <c r="P18" s="7">
        <f>O18-E18</f>
        <v>4</v>
      </c>
    </row>
    <row r="19" spans="1:16" ht="14.45" customHeight="1">
      <c r="A19" s="187">
        <v>46160</v>
      </c>
      <c r="B19" s="7" t="s">
        <v>127</v>
      </c>
      <c r="C19" s="7" t="s">
        <v>20</v>
      </c>
      <c r="D19" s="7" t="s">
        <v>68</v>
      </c>
      <c r="E19" s="7">
        <v>8790</v>
      </c>
      <c r="F19" s="7">
        <v>47</v>
      </c>
      <c r="G19" s="7">
        <v>320</v>
      </c>
      <c r="H19" s="7">
        <v>35</v>
      </c>
      <c r="I19" s="7">
        <v>132</v>
      </c>
      <c r="J19" s="7">
        <f>SUM(F19:I19)</f>
        <v>534</v>
      </c>
      <c r="K19" s="54">
        <v>8250</v>
      </c>
      <c r="L19" s="7">
        <v>6</v>
      </c>
      <c r="M19" s="7" t="s">
        <v>129</v>
      </c>
      <c r="N19" s="29">
        <f>K19/E19*100</f>
        <v>93.856655290102381</v>
      </c>
      <c r="O19" s="7">
        <f>K19+J19</f>
        <v>8784</v>
      </c>
      <c r="P19" s="7">
        <f>O19-E19</f>
        <v>-6</v>
      </c>
    </row>
    <row r="20" spans="1:16" ht="14.45" customHeight="1">
      <c r="A20" s="187">
        <v>46161</v>
      </c>
      <c r="B20" s="7" t="s">
        <v>130</v>
      </c>
      <c r="C20" s="7" t="s">
        <v>20</v>
      </c>
      <c r="D20" s="7" t="s">
        <v>48</v>
      </c>
      <c r="E20" s="7">
        <v>2300</v>
      </c>
      <c r="F20" s="7">
        <v>23</v>
      </c>
      <c r="G20" s="7">
        <v>70</v>
      </c>
      <c r="H20" s="7">
        <v>17</v>
      </c>
      <c r="I20" s="7">
        <v>40</v>
      </c>
      <c r="J20" s="7">
        <f>SUM(F20:I20)</f>
        <v>150</v>
      </c>
      <c r="K20" s="8">
        <v>2150</v>
      </c>
      <c r="L20" s="7">
        <v>6</v>
      </c>
      <c r="M20" s="7" t="s">
        <v>128</v>
      </c>
      <c r="N20" s="29">
        <f>K20/E20*100</f>
        <v>93.478260869565219</v>
      </c>
      <c r="O20" s="7">
        <f>K20+J20</f>
        <v>2300</v>
      </c>
      <c r="P20" s="7">
        <f>O20-E20</f>
        <v>0</v>
      </c>
    </row>
    <row r="21" spans="1:16" ht="14.45" customHeight="1">
      <c r="A21" s="187">
        <v>46162</v>
      </c>
      <c r="B21" s="7" t="s">
        <v>127</v>
      </c>
      <c r="C21" s="7" t="s">
        <v>20</v>
      </c>
      <c r="D21" s="7" t="s">
        <v>48</v>
      </c>
      <c r="E21" s="7">
        <v>5800</v>
      </c>
      <c r="F21" s="7">
        <v>69</v>
      </c>
      <c r="G21" s="7">
        <v>210</v>
      </c>
      <c r="H21" s="7">
        <v>31</v>
      </c>
      <c r="I21" s="7">
        <v>90</v>
      </c>
      <c r="J21" s="7">
        <f>SUM(F21:I21)</f>
        <v>400</v>
      </c>
      <c r="K21" s="54">
        <v>5400</v>
      </c>
      <c r="L21" s="7">
        <v>6</v>
      </c>
      <c r="M21" s="7" t="s">
        <v>49</v>
      </c>
      <c r="N21" s="29">
        <f>K21/E21*100</f>
        <v>93.103448275862064</v>
      </c>
      <c r="O21" s="7">
        <f>K21+J21</f>
        <v>5800</v>
      </c>
      <c r="P21" s="7">
        <f>O21-E21</f>
        <v>0</v>
      </c>
    </row>
    <row r="22" spans="1:16" ht="14.45" customHeight="1">
      <c r="A22" s="187">
        <v>46164</v>
      </c>
      <c r="B22" s="7">
        <v>1234</v>
      </c>
      <c r="C22" s="7" t="s">
        <v>20</v>
      </c>
      <c r="D22" s="7" t="s">
        <v>48</v>
      </c>
      <c r="E22" s="7">
        <v>6650</v>
      </c>
      <c r="F22" s="7">
        <v>70</v>
      </c>
      <c r="G22" s="7">
        <v>205</v>
      </c>
      <c r="H22" s="7">
        <v>30</v>
      </c>
      <c r="I22" s="7">
        <v>145</v>
      </c>
      <c r="J22" s="7">
        <f>SUM(F22:I22)</f>
        <v>450</v>
      </c>
      <c r="K22" s="8">
        <v>6200</v>
      </c>
      <c r="L22" s="7">
        <v>6</v>
      </c>
      <c r="M22" s="7" t="s">
        <v>49</v>
      </c>
      <c r="N22" s="29">
        <f>K22/E22*100</f>
        <v>93.233082706766908</v>
      </c>
      <c r="O22" s="7">
        <f>K22+J22</f>
        <v>6650</v>
      </c>
      <c r="P22" s="7">
        <f>O22-E22</f>
        <v>0</v>
      </c>
    </row>
    <row r="23" spans="1:16" ht="14.45" customHeight="1">
      <c r="A23" s="187">
        <v>46165</v>
      </c>
      <c r="B23" s="7">
        <v>1234</v>
      </c>
      <c r="C23" s="7" t="s">
        <v>20</v>
      </c>
      <c r="D23" s="7" t="s">
        <v>48</v>
      </c>
      <c r="E23" s="7">
        <v>6000</v>
      </c>
      <c r="F23" s="7">
        <v>75</v>
      </c>
      <c r="G23" s="7">
        <f>197-15</f>
        <v>182</v>
      </c>
      <c r="H23" s="7">
        <v>20</v>
      </c>
      <c r="I23" s="7">
        <v>108</v>
      </c>
      <c r="J23" s="7">
        <f>SUM(F23:I23)</f>
        <v>385</v>
      </c>
      <c r="K23" s="8">
        <v>5615</v>
      </c>
      <c r="L23" s="7">
        <v>6</v>
      </c>
      <c r="M23" s="7" t="s">
        <v>49</v>
      </c>
      <c r="N23" s="29">
        <f>K23/E23*100</f>
        <v>93.583333333333329</v>
      </c>
      <c r="O23" s="7">
        <f>K23+J23</f>
        <v>6000</v>
      </c>
      <c r="P23" s="7">
        <f>O23-E23</f>
        <v>0</v>
      </c>
    </row>
    <row r="24" spans="1:16" ht="14.45" customHeight="1">
      <c r="A24" s="187">
        <v>46167</v>
      </c>
      <c r="B24" s="7">
        <v>1234</v>
      </c>
      <c r="C24" s="7" t="s">
        <v>20</v>
      </c>
      <c r="D24" s="7" t="s">
        <v>48</v>
      </c>
      <c r="E24" s="7">
        <v>2000</v>
      </c>
      <c r="F24" s="7">
        <v>2</v>
      </c>
      <c r="G24" s="7">
        <v>37</v>
      </c>
      <c r="H24" s="7">
        <v>10</v>
      </c>
      <c r="I24" s="7">
        <v>69</v>
      </c>
      <c r="J24" s="7">
        <v>118</v>
      </c>
      <c r="K24" s="8">
        <v>1882</v>
      </c>
      <c r="L24" s="7">
        <v>5</v>
      </c>
      <c r="M24" s="7" t="s">
        <v>49</v>
      </c>
      <c r="N24" s="29">
        <f>K24/E24*100</f>
        <v>94.1</v>
      </c>
      <c r="O24" s="7">
        <f>K24+J24</f>
        <v>2000</v>
      </c>
      <c r="P24" s="7">
        <f>O24-E24</f>
        <v>0</v>
      </c>
    </row>
    <row r="25" spans="1:16" ht="14.45" customHeight="1">
      <c r="A25" s="187">
        <v>46168</v>
      </c>
      <c r="B25" s="7">
        <v>1234</v>
      </c>
      <c r="C25" s="7" t="s">
        <v>20</v>
      </c>
      <c r="D25" s="7" t="s">
        <v>48</v>
      </c>
      <c r="E25" s="7">
        <v>4100</v>
      </c>
      <c r="F25" s="7">
        <v>40</v>
      </c>
      <c r="G25" s="7">
        <v>82</v>
      </c>
      <c r="H25" s="7">
        <v>20</v>
      </c>
      <c r="I25" s="7">
        <v>108</v>
      </c>
      <c r="J25" s="7">
        <f>SUM(F25:I25)</f>
        <v>250</v>
      </c>
      <c r="K25" s="8">
        <v>3850</v>
      </c>
      <c r="L25" s="7">
        <v>5</v>
      </c>
      <c r="M25" s="7" t="s">
        <v>128</v>
      </c>
      <c r="N25" s="29">
        <f>K25/E25*100</f>
        <v>93.902439024390233</v>
      </c>
      <c r="O25" s="7">
        <f>K25+J25</f>
        <v>4100</v>
      </c>
      <c r="P25" s="7">
        <f>O25-E25</f>
        <v>0</v>
      </c>
    </row>
    <row r="26" spans="1:16" ht="14.45" customHeight="1">
      <c r="A26" s="187">
        <v>46169</v>
      </c>
      <c r="B26" s="7">
        <v>1234</v>
      </c>
      <c r="C26" s="7" t="s">
        <v>20</v>
      </c>
      <c r="D26" s="7" t="s">
        <v>48</v>
      </c>
      <c r="E26" s="7">
        <v>6500</v>
      </c>
      <c r="F26" s="7">
        <v>38</v>
      </c>
      <c r="G26" s="7">
        <v>186</v>
      </c>
      <c r="H26" s="7">
        <v>30</v>
      </c>
      <c r="I26" s="7">
        <v>196</v>
      </c>
      <c r="J26" s="7">
        <f>SUM(F26:I26)</f>
        <v>450</v>
      </c>
      <c r="K26" s="8">
        <v>6050</v>
      </c>
      <c r="L26" s="7">
        <v>5</v>
      </c>
      <c r="M26" s="7" t="s">
        <v>49</v>
      </c>
      <c r="N26" s="29">
        <f>K26/E26*100</f>
        <v>93.07692307692308</v>
      </c>
      <c r="O26" s="7">
        <f>K26+J26</f>
        <v>6500</v>
      </c>
      <c r="P26" s="7">
        <f>O26-E26</f>
        <v>0</v>
      </c>
    </row>
    <row r="27" spans="1:16" ht="14.45" customHeight="1">
      <c r="A27" s="187">
        <v>46170</v>
      </c>
      <c r="B27" s="7">
        <v>1234</v>
      </c>
      <c r="C27" s="7" t="s">
        <v>20</v>
      </c>
      <c r="D27" s="7" t="s">
        <v>48</v>
      </c>
      <c r="E27" s="7">
        <v>6850</v>
      </c>
      <c r="F27" s="7">
        <v>85</v>
      </c>
      <c r="G27" s="7">
        <v>109</v>
      </c>
      <c r="H27" s="7">
        <v>91</v>
      </c>
      <c r="I27" s="7">
        <v>207</v>
      </c>
      <c r="J27" s="7">
        <f>SUM(F27:I27)</f>
        <v>492</v>
      </c>
      <c r="K27" s="8">
        <v>6358</v>
      </c>
      <c r="L27" s="7">
        <v>5</v>
      </c>
      <c r="M27" s="7" t="s">
        <v>49</v>
      </c>
      <c r="N27" s="29">
        <f>K27/E27*100</f>
        <v>92.817518248175176</v>
      </c>
      <c r="O27" s="7">
        <f>K27+J27</f>
        <v>6850</v>
      </c>
      <c r="P27" s="7">
        <f>O27-E27</f>
        <v>0</v>
      </c>
    </row>
    <row r="28" spans="1:16" ht="14.45" customHeight="1">
      <c r="A28" s="187">
        <v>46171</v>
      </c>
      <c r="B28" s="7">
        <v>1234</v>
      </c>
      <c r="C28" s="7" t="s">
        <v>20</v>
      </c>
      <c r="D28" s="7" t="s">
        <v>48</v>
      </c>
      <c r="E28" s="23">
        <v>2650</v>
      </c>
      <c r="F28" s="23">
        <v>30</v>
      </c>
      <c r="G28" s="23">
        <v>35</v>
      </c>
      <c r="H28" s="23">
        <v>33</v>
      </c>
      <c r="I28" s="23">
        <v>75</v>
      </c>
      <c r="J28" s="7">
        <f>SUM(F28:I28)</f>
        <v>173</v>
      </c>
      <c r="K28" s="25">
        <v>2477</v>
      </c>
      <c r="L28" s="23">
        <v>5</v>
      </c>
      <c r="M28" s="7" t="s">
        <v>49</v>
      </c>
      <c r="N28" s="29">
        <f>K28/E28*100</f>
        <v>93.471698113207552</v>
      </c>
      <c r="O28" s="7">
        <f>K28+J28</f>
        <v>2650</v>
      </c>
      <c r="P28" s="7">
        <f>O28-E28</f>
        <v>0</v>
      </c>
    </row>
    <row r="29" spans="1:16" ht="15">
      <c r="A29" s="26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7"/>
      <c r="N29" s="27"/>
      <c r="O29" s="17"/>
      <c r="P29" s="17"/>
    </row>
    <row r="30" spans="1:16" ht="14.45">
      <c r="A30" s="40"/>
      <c r="B30" s="41"/>
      <c r="C30" s="41"/>
      <c r="D30" s="41"/>
      <c r="E30" s="42"/>
      <c r="F30" s="42"/>
      <c r="G30" s="42"/>
      <c r="H30" s="42"/>
      <c r="I30" s="42"/>
      <c r="J30" s="41"/>
      <c r="K30" s="41"/>
      <c r="L30" s="41"/>
      <c r="M30" s="43"/>
      <c r="N30" s="44" t="e">
        <f>AVERAGE(#REF!)</f>
        <v>#REF!</v>
      </c>
      <c r="O30" s="45"/>
      <c r="P30" s="1"/>
    </row>
    <row r="31" spans="1:16" ht="14.45">
      <c r="A31" s="45"/>
      <c r="B31" s="45"/>
      <c r="C31" s="45"/>
      <c r="D31" s="45"/>
      <c r="E31" s="46"/>
      <c r="F31" s="46"/>
      <c r="G31" s="46"/>
      <c r="H31" s="46"/>
      <c r="I31" s="47" t="s">
        <v>57</v>
      </c>
      <c r="J31" s="48"/>
      <c r="K31" s="48"/>
      <c r="L31" s="48"/>
      <c r="M31" s="49"/>
      <c r="N31" s="44" t="s">
        <v>58</v>
      </c>
      <c r="O31" s="45"/>
      <c r="P31" s="1"/>
    </row>
    <row r="32" spans="1:16" ht="13.9">
      <c r="A32" s="45"/>
      <c r="B32" s="45"/>
      <c r="C32" s="45"/>
      <c r="D32" s="45"/>
      <c r="E32" s="46"/>
      <c r="F32" s="46"/>
      <c r="G32" s="46"/>
      <c r="H32" s="46"/>
      <c r="I32" s="272" t="s">
        <v>59</v>
      </c>
      <c r="J32" s="320"/>
      <c r="K32" s="273"/>
      <c r="L32" s="320"/>
      <c r="M32" s="50"/>
      <c r="N32" s="51"/>
      <c r="O32" s="45"/>
      <c r="P32" s="1"/>
    </row>
    <row r="33" spans="2:12" ht="13.9">
      <c r="B33" s="90">
        <f>16820+E33</f>
        <v>70744</v>
      </c>
      <c r="C33" s="91">
        <f>15868+F33</f>
        <v>66095</v>
      </c>
      <c r="D33" s="92">
        <f>C33/B33*100</f>
        <v>93.428417957706657</v>
      </c>
      <c r="E33" s="93">
        <v>53924</v>
      </c>
      <c r="F33" s="94">
        <v>50227</v>
      </c>
      <c r="G33" s="95">
        <f>F33/E33*100</f>
        <v>93.144054595356423</v>
      </c>
      <c r="H33" s="46"/>
      <c r="I33" s="270" t="s">
        <v>60</v>
      </c>
      <c r="J33" s="322"/>
      <c r="K33" s="271"/>
      <c r="L33" s="322"/>
    </row>
    <row r="34" spans="2:12" ht="13.15">
      <c r="B34" s="1"/>
      <c r="C34" s="1"/>
      <c r="D34" s="1"/>
      <c r="E34" s="11"/>
      <c r="F34" s="11"/>
      <c r="G34" s="11"/>
      <c r="H34" s="11"/>
      <c r="I34" s="11"/>
      <c r="J34" s="1"/>
      <c r="K34" s="1"/>
      <c r="L34" s="1"/>
    </row>
    <row r="35" spans="2:12" ht="13.15">
      <c r="B35" s="1"/>
      <c r="C35" s="1"/>
      <c r="D35" s="1"/>
      <c r="E35" s="11"/>
      <c r="F35" s="11"/>
      <c r="G35" s="11"/>
      <c r="H35" s="11"/>
      <c r="I35" s="11"/>
      <c r="J35" s="1"/>
      <c r="K35" s="1"/>
      <c r="L35" s="1"/>
    </row>
    <row r="36" spans="2:12" ht="13.15">
      <c r="C36" s="278" t="s">
        <v>20</v>
      </c>
      <c r="D36" s="85" t="s">
        <v>22</v>
      </c>
      <c r="E36" s="85" t="s">
        <v>116</v>
      </c>
      <c r="F36" s="85" t="s">
        <v>117</v>
      </c>
      <c r="G36" s="85" t="s">
        <v>118</v>
      </c>
      <c r="H36" s="85" t="s">
        <v>119</v>
      </c>
    </row>
    <row r="37" spans="2:12" ht="13.15">
      <c r="C37" s="326"/>
      <c r="D37" s="85" t="s">
        <v>51</v>
      </c>
      <c r="E37" s="85">
        <v>53924</v>
      </c>
      <c r="F37" s="85">
        <v>50227</v>
      </c>
      <c r="G37" s="85">
        <f t="shared" ref="G37:G38" si="0">E37-F37</f>
        <v>3697</v>
      </c>
      <c r="H37" s="86">
        <f t="shared" ref="H37:H38" si="1">G37/E37%</f>
        <v>6.8559454046435722</v>
      </c>
    </row>
    <row r="38" spans="2:12" ht="13.15">
      <c r="C38" s="321"/>
      <c r="D38" s="85" t="s">
        <v>97</v>
      </c>
      <c r="E38" s="85">
        <v>72800</v>
      </c>
      <c r="F38" s="85">
        <v>67845</v>
      </c>
      <c r="G38" s="85">
        <f t="shared" si="0"/>
        <v>4955</v>
      </c>
      <c r="H38" s="86">
        <f t="shared" si="1"/>
        <v>6.8063186813186816</v>
      </c>
    </row>
    <row r="39" spans="2:12" ht="13.15">
      <c r="K39" s="20">
        <f>24349+50700</f>
        <v>75049</v>
      </c>
      <c r="L39" s="20">
        <f>22570+47228</f>
        <v>69798</v>
      </c>
    </row>
    <row r="40" spans="2:12" ht="13.15">
      <c r="C40" s="278" t="s">
        <v>19</v>
      </c>
      <c r="D40" s="85" t="s">
        <v>22</v>
      </c>
      <c r="E40" s="85" t="s">
        <v>116</v>
      </c>
      <c r="F40" s="85" t="s">
        <v>117</v>
      </c>
      <c r="G40" s="85" t="s">
        <v>118</v>
      </c>
      <c r="H40" s="85" t="s">
        <v>119</v>
      </c>
    </row>
    <row r="41" spans="2:12" ht="13.15">
      <c r="C41" s="326"/>
      <c r="D41" s="85" t="s">
        <v>121</v>
      </c>
      <c r="E41" s="85">
        <v>23147</v>
      </c>
      <c r="F41" s="85">
        <v>21544.5</v>
      </c>
      <c r="G41" s="85">
        <f t="shared" ref="G41:G44" si="2">E41-F41</f>
        <v>1602.5</v>
      </c>
      <c r="H41" s="86">
        <f t="shared" ref="H41:H44" si="3">G41/E41%</f>
        <v>6.9231433879120408</v>
      </c>
      <c r="K41" s="20">
        <f>L39/K39</f>
        <v>0.93003237884582068</v>
      </c>
    </row>
    <row r="42" spans="2:12" ht="13.15">
      <c r="C42" s="326"/>
      <c r="D42" s="85" t="s">
        <v>79</v>
      </c>
      <c r="E42" s="85">
        <v>3835</v>
      </c>
      <c r="F42" s="85">
        <v>3512.9</v>
      </c>
      <c r="G42" s="85">
        <f t="shared" si="2"/>
        <v>322.09999999999991</v>
      </c>
      <c r="H42" s="86">
        <f t="shared" si="3"/>
        <v>8.3989569752281596</v>
      </c>
    </row>
    <row r="43" spans="2:12" ht="13.15">
      <c r="C43" s="326"/>
      <c r="D43" s="85" t="s">
        <v>51</v>
      </c>
      <c r="E43" s="85">
        <v>16820</v>
      </c>
      <c r="F43" s="85">
        <v>15668</v>
      </c>
      <c r="G43" s="85">
        <f t="shared" si="2"/>
        <v>1152</v>
      </c>
      <c r="H43" s="86">
        <f t="shared" si="3"/>
        <v>6.8489892984542218</v>
      </c>
    </row>
    <row r="44" spans="2:12" ht="13.15">
      <c r="C44" s="321"/>
      <c r="D44" s="85" t="s">
        <v>97</v>
      </c>
      <c r="E44" s="85">
        <v>12100</v>
      </c>
      <c r="F44" s="85">
        <v>11256</v>
      </c>
      <c r="G44" s="85">
        <f t="shared" si="2"/>
        <v>844</v>
      </c>
      <c r="H44" s="86">
        <f t="shared" si="3"/>
        <v>6.9752066115702478</v>
      </c>
    </row>
    <row r="47" spans="2:12" ht="13.15">
      <c r="C47" s="20" t="s">
        <v>131</v>
      </c>
    </row>
  </sheetData>
  <mergeCells count="17">
    <mergeCell ref="K32:L32"/>
    <mergeCell ref="I33:J33"/>
    <mergeCell ref="K33:L33"/>
    <mergeCell ref="C36:C38"/>
    <mergeCell ref="C40:C44"/>
    <mergeCell ref="I32:J32"/>
    <mergeCell ref="A1:N1"/>
    <mergeCell ref="A2:A3"/>
    <mergeCell ref="B2:B3"/>
    <mergeCell ref="C2:C3"/>
    <mergeCell ref="D2:D3"/>
    <mergeCell ref="E2:E3"/>
    <mergeCell ref="J2:J3"/>
    <mergeCell ref="M2:M3"/>
    <mergeCell ref="N2:N3"/>
    <mergeCell ref="K2:K3"/>
    <mergeCell ref="L2:L3"/>
  </mergeCells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51"/>
  <sheetViews>
    <sheetView showGridLines="0" workbookViewId="0">
      <pane ySplit="3" topLeftCell="A4" activePane="bottomLeft" state="frozen"/>
      <selection pane="bottomLeft" activeCell="J55" sqref="J55"/>
    </sheetView>
  </sheetViews>
  <sheetFormatPr defaultColWidth="12.5703125" defaultRowHeight="15.75" customHeight="1"/>
  <cols>
    <col min="1" max="1" width="12.5703125" style="102"/>
    <col min="4" max="4" width="15.140625" customWidth="1"/>
    <col min="9" max="9" width="11.42578125" customWidth="1"/>
    <col min="12" max="12" width="14.42578125" customWidth="1"/>
    <col min="13" max="13" width="12.5703125" bestFit="1" customWidth="1"/>
    <col min="15" max="15" width="9.140625"/>
    <col min="16" max="17" width="9.140625" bestFit="1" customWidth="1"/>
    <col min="20" max="20" width="12.5703125" bestFit="1" customWidth="1"/>
    <col min="16384" max="16384" width="12.5703125" bestFit="1" customWidth="1"/>
  </cols>
  <sheetData>
    <row r="1" spans="1:17" ht="22.5" customHeight="1">
      <c r="A1" s="279" t="s">
        <v>40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8"/>
      <c r="O1" s="66"/>
    </row>
    <row r="2" spans="1:17" ht="18">
      <c r="A2" s="264" t="s">
        <v>25</v>
      </c>
      <c r="B2" s="264" t="s">
        <v>26</v>
      </c>
      <c r="C2" s="264" t="s">
        <v>27</v>
      </c>
      <c r="D2" s="264" t="s">
        <v>22</v>
      </c>
      <c r="E2" s="281" t="s">
        <v>28</v>
      </c>
      <c r="F2" s="96" t="s">
        <v>29</v>
      </c>
      <c r="G2" s="96" t="s">
        <v>30</v>
      </c>
      <c r="H2" s="96" t="s">
        <v>31</v>
      </c>
      <c r="I2" s="281" t="s">
        <v>32</v>
      </c>
      <c r="J2" s="264" t="s">
        <v>33</v>
      </c>
      <c r="K2" s="264" t="s">
        <v>34</v>
      </c>
      <c r="L2" s="264" t="s">
        <v>35</v>
      </c>
      <c r="M2" s="264" t="s">
        <v>36</v>
      </c>
      <c r="N2" s="283" t="s">
        <v>37</v>
      </c>
      <c r="O2" s="66"/>
    </row>
    <row r="3" spans="1:17" ht="18.75">
      <c r="A3" s="280"/>
      <c r="B3" s="321"/>
      <c r="C3" s="321"/>
      <c r="D3" s="321"/>
      <c r="E3" s="321"/>
      <c r="F3" s="96" t="s">
        <v>42</v>
      </c>
      <c r="G3" s="96" t="s">
        <v>43</v>
      </c>
      <c r="H3" s="96" t="s">
        <v>44</v>
      </c>
      <c r="I3" s="282"/>
      <c r="J3" s="321"/>
      <c r="K3" s="321"/>
      <c r="L3" s="321"/>
      <c r="M3" s="321"/>
      <c r="N3" s="321"/>
      <c r="O3" s="66"/>
    </row>
    <row r="4" spans="1:17" ht="13.15" customHeight="1">
      <c r="A4" s="192">
        <v>46174</v>
      </c>
      <c r="B4" s="64" t="s">
        <v>55</v>
      </c>
      <c r="C4" s="64" t="s">
        <v>132</v>
      </c>
      <c r="D4" s="64" t="s">
        <v>133</v>
      </c>
      <c r="E4" s="64">
        <v>1450</v>
      </c>
      <c r="F4" s="64">
        <v>5</v>
      </c>
      <c r="G4" s="64">
        <v>18</v>
      </c>
      <c r="H4" s="64">
        <v>1</v>
      </c>
      <c r="I4" s="64">
        <v>46</v>
      </c>
      <c r="J4" s="64">
        <f>SUM(F4:I4)</f>
        <v>70</v>
      </c>
      <c r="K4" s="68">
        <v>1380</v>
      </c>
      <c r="L4" s="64">
        <v>3</v>
      </c>
      <c r="M4" s="64" t="s">
        <v>53</v>
      </c>
      <c r="N4" s="109">
        <f>K4/E4</f>
        <v>0.9517241379310345</v>
      </c>
      <c r="O4" s="64">
        <f>J4+K4</f>
        <v>1450</v>
      </c>
      <c r="P4" s="108">
        <f>O4-E4</f>
        <v>0</v>
      </c>
    </row>
    <row r="5" spans="1:17" ht="13.15" customHeight="1">
      <c r="A5" s="192">
        <v>46174</v>
      </c>
      <c r="B5" s="64" t="s">
        <v>55</v>
      </c>
      <c r="C5" s="64" t="s">
        <v>134</v>
      </c>
      <c r="D5" s="64" t="s">
        <v>135</v>
      </c>
      <c r="E5" s="64">
        <v>727.5</v>
      </c>
      <c r="F5" s="64">
        <v>4</v>
      </c>
      <c r="G5" s="64">
        <v>12</v>
      </c>
      <c r="H5" s="64">
        <v>0.5</v>
      </c>
      <c r="I5" s="64">
        <v>31</v>
      </c>
      <c r="J5" s="64">
        <f>SUM(F5:I5)</f>
        <v>47.5</v>
      </c>
      <c r="K5" s="68">
        <v>680</v>
      </c>
      <c r="L5" s="64">
        <v>3</v>
      </c>
      <c r="M5" s="64" t="s">
        <v>53</v>
      </c>
      <c r="N5" s="109">
        <f>K5/E5</f>
        <v>0.93470790378006874</v>
      </c>
      <c r="O5" s="64">
        <f>J5+K5</f>
        <v>727.5</v>
      </c>
      <c r="P5" s="108">
        <f>O5-E5</f>
        <v>0</v>
      </c>
    </row>
    <row r="6" spans="1:17" ht="13.15" customHeight="1">
      <c r="A6" s="192">
        <v>46144</v>
      </c>
      <c r="B6" s="64" t="s">
        <v>55</v>
      </c>
      <c r="C6" s="64" t="s">
        <v>134</v>
      </c>
      <c r="D6" s="64" t="s">
        <v>135</v>
      </c>
      <c r="E6" s="64">
        <v>2910</v>
      </c>
      <c r="F6" s="64">
        <v>0</v>
      </c>
      <c r="G6" s="64">
        <v>47</v>
      </c>
      <c r="H6" s="64">
        <v>3</v>
      </c>
      <c r="I6" s="64">
        <v>123</v>
      </c>
      <c r="J6" s="64">
        <f>SUM(F6:I6)</f>
        <v>173</v>
      </c>
      <c r="K6" s="68">
        <v>2737</v>
      </c>
      <c r="L6" s="64">
        <v>3</v>
      </c>
      <c r="M6" s="64" t="s">
        <v>53</v>
      </c>
      <c r="N6" s="109">
        <f>K6/E6</f>
        <v>0.94054982817869415</v>
      </c>
      <c r="O6" s="64">
        <f>J6+K6</f>
        <v>2910</v>
      </c>
      <c r="P6" s="108">
        <f>O6-E6</f>
        <v>0</v>
      </c>
    </row>
    <row r="7" spans="1:17" ht="13.15" customHeight="1">
      <c r="A7" s="193">
        <v>46176</v>
      </c>
      <c r="B7" s="64" t="s">
        <v>55</v>
      </c>
      <c r="C7" s="64" t="s">
        <v>134</v>
      </c>
      <c r="D7" s="64" t="s">
        <v>135</v>
      </c>
      <c r="E7" s="64">
        <v>2958.5</v>
      </c>
      <c r="F7" s="64">
        <v>0</v>
      </c>
      <c r="G7" s="64">
        <v>73</v>
      </c>
      <c r="H7" s="64">
        <v>2</v>
      </c>
      <c r="I7" s="64">
        <v>100.5</v>
      </c>
      <c r="J7" s="64">
        <f>SUM(F7:I7)</f>
        <v>175.5</v>
      </c>
      <c r="K7" s="68">
        <v>2783</v>
      </c>
      <c r="L7" s="64">
        <v>3</v>
      </c>
      <c r="M7" s="64" t="s">
        <v>53</v>
      </c>
      <c r="N7" s="109">
        <f>K7/E7</f>
        <v>0.94067939834375525</v>
      </c>
      <c r="O7" s="64">
        <f>J7+K7</f>
        <v>2958.5</v>
      </c>
      <c r="P7" s="108">
        <f>O7-E7</f>
        <v>0</v>
      </c>
    </row>
    <row r="8" spans="1:17" ht="13.15" customHeight="1">
      <c r="A8" s="195">
        <v>46176</v>
      </c>
      <c r="B8" s="64" t="s">
        <v>55</v>
      </c>
      <c r="C8" s="64" t="s">
        <v>132</v>
      </c>
      <c r="D8" s="64" t="s">
        <v>136</v>
      </c>
      <c r="E8" s="64">
        <v>500</v>
      </c>
      <c r="F8" s="64">
        <v>0</v>
      </c>
      <c r="G8" s="64">
        <v>0.5</v>
      </c>
      <c r="H8" s="64">
        <v>0.5</v>
      </c>
      <c r="I8" s="64">
        <v>31</v>
      </c>
      <c r="J8" s="64">
        <f>SUM(F8:I8)</f>
        <v>32</v>
      </c>
      <c r="K8" s="68">
        <v>468</v>
      </c>
      <c r="L8" s="64">
        <v>3</v>
      </c>
      <c r="M8" s="64" t="s">
        <v>53</v>
      </c>
      <c r="N8" s="109">
        <f>K8/E8</f>
        <v>0.93600000000000005</v>
      </c>
      <c r="O8" s="64">
        <f>J8+K8</f>
        <v>500</v>
      </c>
      <c r="P8" s="108">
        <f>O8-E8</f>
        <v>0</v>
      </c>
    </row>
    <row r="9" spans="1:17" ht="13.15" customHeight="1">
      <c r="A9" s="196">
        <v>46176</v>
      </c>
      <c r="B9" s="64" t="s">
        <v>55</v>
      </c>
      <c r="C9" s="64" t="s">
        <v>132</v>
      </c>
      <c r="D9" s="64" t="s">
        <v>133</v>
      </c>
      <c r="E9" s="64">
        <v>510</v>
      </c>
      <c r="F9" s="64">
        <v>0</v>
      </c>
      <c r="G9" s="64">
        <v>15</v>
      </c>
      <c r="H9" s="64">
        <v>0.5</v>
      </c>
      <c r="I9" s="64">
        <v>18.5</v>
      </c>
      <c r="J9" s="64">
        <f>SUM(F9:I9)</f>
        <v>34</v>
      </c>
      <c r="K9" s="68">
        <v>476</v>
      </c>
      <c r="L9" s="64">
        <v>3</v>
      </c>
      <c r="M9" s="64" t="s">
        <v>53</v>
      </c>
      <c r="N9" s="109">
        <f>K9/E9</f>
        <v>0.93333333333333335</v>
      </c>
      <c r="O9" s="64">
        <f>J9+K9</f>
        <v>510</v>
      </c>
      <c r="P9" s="108">
        <f>O9-E9</f>
        <v>0</v>
      </c>
    </row>
    <row r="10" spans="1:17" ht="13.15" customHeight="1">
      <c r="A10" s="193">
        <v>46177</v>
      </c>
      <c r="B10" s="64" t="s">
        <v>55</v>
      </c>
      <c r="C10" s="64" t="s">
        <v>132</v>
      </c>
      <c r="D10" s="64" t="s">
        <v>135</v>
      </c>
      <c r="E10" s="64">
        <v>2522</v>
      </c>
      <c r="F10" s="64">
        <v>5</v>
      </c>
      <c r="G10" s="64">
        <v>30</v>
      </c>
      <c r="H10" s="64">
        <v>2</v>
      </c>
      <c r="I10" s="64">
        <v>120</v>
      </c>
      <c r="J10" s="64">
        <f>SUM(F10:I10)</f>
        <v>157</v>
      </c>
      <c r="K10" s="68">
        <v>2365</v>
      </c>
      <c r="L10" s="64">
        <v>3</v>
      </c>
      <c r="M10" s="64" t="s">
        <v>53</v>
      </c>
      <c r="N10" s="109">
        <f>K10/E10</f>
        <v>0.93774781919111816</v>
      </c>
      <c r="O10" s="64">
        <f>J10+K10</f>
        <v>2522</v>
      </c>
      <c r="P10" s="108">
        <f>O10-E10</f>
        <v>0</v>
      </c>
    </row>
    <row r="11" spans="1:17" ht="13.15" customHeight="1">
      <c r="A11" s="196">
        <v>46177</v>
      </c>
      <c r="B11" s="64" t="s">
        <v>55</v>
      </c>
      <c r="C11" s="64" t="s">
        <v>134</v>
      </c>
      <c r="D11" s="64" t="s">
        <v>135</v>
      </c>
      <c r="E11" s="64">
        <v>2958.5</v>
      </c>
      <c r="F11" s="64">
        <v>8</v>
      </c>
      <c r="G11" s="64">
        <v>106</v>
      </c>
      <c r="H11" s="64">
        <v>2</v>
      </c>
      <c r="I11" s="64">
        <v>67.5</v>
      </c>
      <c r="J11" s="64">
        <f>SUM(F11:I11)</f>
        <v>183.5</v>
      </c>
      <c r="K11" s="68">
        <v>2775</v>
      </c>
      <c r="L11" s="64">
        <v>3</v>
      </c>
      <c r="M11" s="64" t="s">
        <v>53</v>
      </c>
      <c r="N11" s="109">
        <f>K11/E11</f>
        <v>0.93797532533378403</v>
      </c>
      <c r="O11" s="64">
        <f>J11+K11</f>
        <v>2958.5</v>
      </c>
      <c r="P11" s="108">
        <f>O11-E11</f>
        <v>0</v>
      </c>
    </row>
    <row r="12" spans="1:17" ht="13.15" customHeight="1">
      <c r="A12" s="193">
        <v>46178</v>
      </c>
      <c r="B12" s="64" t="s">
        <v>55</v>
      </c>
      <c r="C12" s="64" t="s">
        <v>134</v>
      </c>
      <c r="D12" s="64" t="s">
        <v>135</v>
      </c>
      <c r="E12" s="64">
        <v>2667.5</v>
      </c>
      <c r="F12" s="64">
        <v>0</v>
      </c>
      <c r="G12" s="64">
        <v>80</v>
      </c>
      <c r="H12" s="64">
        <v>2</v>
      </c>
      <c r="I12" s="64">
        <v>122.5</v>
      </c>
      <c r="J12" s="64">
        <f>SUM(F12:I12)</f>
        <v>204.5</v>
      </c>
      <c r="K12" s="68">
        <v>2463</v>
      </c>
      <c r="L12" s="64">
        <v>3</v>
      </c>
      <c r="M12" s="64" t="s">
        <v>53</v>
      </c>
      <c r="N12" s="109">
        <f>K12/E12</f>
        <v>0.92333645735707592</v>
      </c>
      <c r="O12" s="64">
        <f>J12+K12</f>
        <v>2667.5</v>
      </c>
      <c r="P12" s="108">
        <f>O12-E12</f>
        <v>0</v>
      </c>
    </row>
    <row r="13" spans="1:17" ht="13.15" customHeight="1">
      <c r="A13" s="196">
        <v>46178</v>
      </c>
      <c r="B13" s="64" t="s">
        <v>55</v>
      </c>
      <c r="C13" s="64" t="s">
        <v>132</v>
      </c>
      <c r="D13" s="64" t="s">
        <v>135</v>
      </c>
      <c r="E13" s="64">
        <v>1309.5</v>
      </c>
      <c r="F13" s="64">
        <v>0</v>
      </c>
      <c r="G13" s="64">
        <v>10</v>
      </c>
      <c r="H13" s="64">
        <v>1</v>
      </c>
      <c r="I13" s="64">
        <v>79.5</v>
      </c>
      <c r="J13" s="64">
        <f>SUM(F13:I13)</f>
        <v>90.5</v>
      </c>
      <c r="K13" s="68">
        <v>1219</v>
      </c>
      <c r="L13" s="64">
        <v>3</v>
      </c>
      <c r="M13" s="64" t="s">
        <v>53</v>
      </c>
      <c r="N13" s="109">
        <f>K13/E13</f>
        <v>0.93088965253913702</v>
      </c>
      <c r="O13" s="64">
        <f>J13+K13</f>
        <v>1309.5</v>
      </c>
      <c r="P13" s="108">
        <f>O13-E13</f>
        <v>0</v>
      </c>
    </row>
    <row r="14" spans="1:17" ht="13.15" customHeight="1">
      <c r="A14" s="192">
        <v>46179</v>
      </c>
      <c r="B14" s="64" t="s">
        <v>55</v>
      </c>
      <c r="C14" s="64" t="s">
        <v>134</v>
      </c>
      <c r="D14" s="64" t="s">
        <v>135</v>
      </c>
      <c r="E14" s="64">
        <v>2764.5</v>
      </c>
      <c r="F14" s="64">
        <v>5</v>
      </c>
      <c r="G14" s="64">
        <v>64</v>
      </c>
      <c r="H14" s="64">
        <v>2</v>
      </c>
      <c r="I14" s="64">
        <v>98.5</v>
      </c>
      <c r="J14" s="64">
        <f>SUM(F14:I14)</f>
        <v>169.5</v>
      </c>
      <c r="K14" s="68">
        <v>2595</v>
      </c>
      <c r="L14" s="64">
        <v>3</v>
      </c>
      <c r="M14" s="64" t="s">
        <v>53</v>
      </c>
      <c r="N14" s="109">
        <f>K14/E14</f>
        <v>0.93868692349430272</v>
      </c>
      <c r="O14" s="64">
        <f>J14+K14</f>
        <v>2764.5</v>
      </c>
      <c r="P14" s="108">
        <f>O14-E14</f>
        <v>0</v>
      </c>
    </row>
    <row r="15" spans="1:17" ht="15.75" customHeight="1">
      <c r="A15" s="192">
        <v>46181</v>
      </c>
      <c r="B15" s="64" t="s">
        <v>55</v>
      </c>
      <c r="C15" s="64" t="s">
        <v>134</v>
      </c>
      <c r="D15" s="64" t="s">
        <v>135</v>
      </c>
      <c r="E15" s="64">
        <v>2279.5</v>
      </c>
      <c r="F15" s="64">
        <v>3</v>
      </c>
      <c r="G15" s="64">
        <v>75</v>
      </c>
      <c r="H15" s="64">
        <v>2</v>
      </c>
      <c r="I15" s="64">
        <v>74.5</v>
      </c>
      <c r="J15" s="64">
        <f>SUM(F15:I15)</f>
        <v>154.5</v>
      </c>
      <c r="K15" s="68">
        <v>2125</v>
      </c>
      <c r="L15" s="64">
        <v>3</v>
      </c>
      <c r="M15" s="64" t="s">
        <v>53</v>
      </c>
      <c r="N15" s="118">
        <f>SUM(K15:K16)/SUM(E15:E16)</f>
        <v>0.92060047024778446</v>
      </c>
      <c r="O15" s="64">
        <f>J15+K15</f>
        <v>2279.5</v>
      </c>
      <c r="P15" s="108">
        <f>O15-E15</f>
        <v>0</v>
      </c>
      <c r="Q15" s="194" t="s">
        <v>137</v>
      </c>
    </row>
    <row r="16" spans="1:17" ht="13.15" customHeight="1">
      <c r="A16" s="192">
        <v>46181</v>
      </c>
      <c r="B16" s="64" t="s">
        <v>55</v>
      </c>
      <c r="C16" s="64" t="s">
        <v>134</v>
      </c>
      <c r="D16" s="64" t="s">
        <v>135</v>
      </c>
      <c r="E16" s="64">
        <v>485</v>
      </c>
      <c r="F16" s="64">
        <v>0</v>
      </c>
      <c r="G16" s="64">
        <v>3</v>
      </c>
      <c r="H16" s="64">
        <v>2</v>
      </c>
      <c r="I16" s="64">
        <v>60</v>
      </c>
      <c r="J16" s="64">
        <f>SUM(F16:I16)</f>
        <v>65</v>
      </c>
      <c r="K16" s="68">
        <v>420</v>
      </c>
      <c r="L16" s="64">
        <v>3</v>
      </c>
      <c r="M16" s="64" t="s">
        <v>53</v>
      </c>
      <c r="N16" s="184">
        <f>SUM(K15:K16)/SUM(E15:E16)</f>
        <v>0.92060047024778446</v>
      </c>
      <c r="O16" s="64">
        <f>J16+K16</f>
        <v>485</v>
      </c>
      <c r="P16" s="108">
        <f>O16-E16</f>
        <v>0</v>
      </c>
      <c r="Q16" s="194" t="s">
        <v>137</v>
      </c>
    </row>
    <row r="17" spans="1:16" ht="15.75" customHeight="1">
      <c r="A17" s="192">
        <v>46182</v>
      </c>
      <c r="B17" s="64" t="s">
        <v>55</v>
      </c>
      <c r="C17" s="64" t="s">
        <v>132</v>
      </c>
      <c r="D17" s="64" t="s">
        <v>135</v>
      </c>
      <c r="E17" s="64">
        <v>2619</v>
      </c>
      <c r="F17" s="64">
        <v>5</v>
      </c>
      <c r="G17" s="64">
        <v>85</v>
      </c>
      <c r="H17" s="64">
        <v>2</v>
      </c>
      <c r="I17" s="64">
        <v>92</v>
      </c>
      <c r="J17" s="64">
        <f>SUM(F17:I17)</f>
        <v>184</v>
      </c>
      <c r="K17" s="68">
        <v>2435</v>
      </c>
      <c r="L17" s="64">
        <v>5</v>
      </c>
      <c r="M17" s="64" t="s">
        <v>53</v>
      </c>
      <c r="N17" s="109">
        <f>K17/E17</f>
        <v>0.92974417716685753</v>
      </c>
      <c r="O17" s="64">
        <f>J17+K17</f>
        <v>2619</v>
      </c>
      <c r="P17" s="108">
        <f>O17-E17</f>
        <v>0</v>
      </c>
    </row>
    <row r="18" spans="1:16" ht="15.75" customHeight="1">
      <c r="A18" s="192">
        <v>46182</v>
      </c>
      <c r="B18" s="64" t="s">
        <v>55</v>
      </c>
      <c r="C18" s="64" t="s">
        <v>134</v>
      </c>
      <c r="D18" s="64" t="s">
        <v>135</v>
      </c>
      <c r="E18" s="64">
        <v>2667.5</v>
      </c>
      <c r="F18" s="64">
        <v>5</v>
      </c>
      <c r="G18" s="64">
        <v>105</v>
      </c>
      <c r="H18" s="64">
        <v>2</v>
      </c>
      <c r="I18" s="64">
        <v>84.5</v>
      </c>
      <c r="J18" s="64">
        <f>SUM(F18:I18)</f>
        <v>196.5</v>
      </c>
      <c r="K18" s="68">
        <v>2471</v>
      </c>
      <c r="L18" s="64">
        <v>5</v>
      </c>
      <c r="M18" s="64" t="s">
        <v>53</v>
      </c>
      <c r="N18" s="109">
        <f>K18/E18</f>
        <v>0.92633552014995313</v>
      </c>
      <c r="O18" s="64">
        <f>J18+K18</f>
        <v>2667.5</v>
      </c>
      <c r="P18" s="108">
        <f>O18-E18</f>
        <v>0</v>
      </c>
    </row>
    <row r="19" spans="1:16" ht="13.15" customHeight="1">
      <c r="A19" s="192">
        <v>46183</v>
      </c>
      <c r="B19" s="64" t="s">
        <v>55</v>
      </c>
      <c r="C19" s="64" t="s">
        <v>134</v>
      </c>
      <c r="D19" s="64" t="s">
        <v>135</v>
      </c>
      <c r="E19" s="64">
        <v>2570.2800000000002</v>
      </c>
      <c r="F19" s="64">
        <v>2</v>
      </c>
      <c r="G19" s="64">
        <v>104</v>
      </c>
      <c r="H19" s="64">
        <v>1.78</v>
      </c>
      <c r="I19" s="64">
        <v>108.5</v>
      </c>
      <c r="J19" s="64">
        <f>SUM(F19:I19)</f>
        <v>216.28</v>
      </c>
      <c r="K19" s="68">
        <v>2354</v>
      </c>
      <c r="L19" s="64">
        <v>3</v>
      </c>
      <c r="M19" s="64" t="s">
        <v>53</v>
      </c>
      <c r="N19" s="109">
        <f>K19/E19</f>
        <v>0.91585352568591738</v>
      </c>
      <c r="O19" s="64">
        <f>J19+K19</f>
        <v>2570.2800000000002</v>
      </c>
      <c r="P19" s="108">
        <f>O19-E19</f>
        <v>0</v>
      </c>
    </row>
    <row r="20" spans="1:16" ht="15.75" customHeight="1">
      <c r="A20" s="192">
        <v>46183</v>
      </c>
      <c r="B20" s="64" t="s">
        <v>55</v>
      </c>
      <c r="C20" s="64" t="s">
        <v>132</v>
      </c>
      <c r="D20" s="64" t="s">
        <v>135</v>
      </c>
      <c r="E20" s="64">
        <v>2619</v>
      </c>
      <c r="F20" s="64">
        <v>5</v>
      </c>
      <c r="G20" s="64">
        <v>45</v>
      </c>
      <c r="H20" s="64">
        <v>2</v>
      </c>
      <c r="I20" s="64">
        <v>107</v>
      </c>
      <c r="J20" s="64">
        <f>SUM(F20:I20)</f>
        <v>159</v>
      </c>
      <c r="K20" s="68">
        <v>2460</v>
      </c>
      <c r="L20" s="64">
        <v>3</v>
      </c>
      <c r="M20" s="64" t="s">
        <v>53</v>
      </c>
      <c r="N20" s="109">
        <f>K20/E20</f>
        <v>0.93928980526918671</v>
      </c>
      <c r="O20" s="64">
        <f>J20+K20</f>
        <v>2619</v>
      </c>
      <c r="P20" s="108">
        <f>O20-E20</f>
        <v>0</v>
      </c>
    </row>
    <row r="21" spans="1:16" ht="13.15" customHeight="1">
      <c r="A21" s="192">
        <v>46184</v>
      </c>
      <c r="B21" s="64" t="s">
        <v>55</v>
      </c>
      <c r="C21" s="64" t="s">
        <v>132</v>
      </c>
      <c r="D21" s="64" t="s">
        <v>135</v>
      </c>
      <c r="E21" s="64">
        <v>2085.5</v>
      </c>
      <c r="F21" s="64">
        <v>2</v>
      </c>
      <c r="G21" s="64">
        <v>35</v>
      </c>
      <c r="H21" s="64">
        <v>2</v>
      </c>
      <c r="I21" s="64">
        <v>96.5</v>
      </c>
      <c r="J21" s="64">
        <f>SUM(F21:I21)</f>
        <v>135.5</v>
      </c>
      <c r="K21" s="68">
        <v>1950</v>
      </c>
      <c r="L21" s="64">
        <v>3</v>
      </c>
      <c r="M21" s="64" t="s">
        <v>53</v>
      </c>
      <c r="N21" s="109">
        <f>K21/E21</f>
        <v>0.93502757132582115</v>
      </c>
      <c r="O21" s="64">
        <f>J21+K21</f>
        <v>2085.5</v>
      </c>
      <c r="P21" s="108">
        <f>O21-E21</f>
        <v>0</v>
      </c>
    </row>
    <row r="22" spans="1:16" ht="13.15" customHeight="1">
      <c r="A22" s="192">
        <v>46185</v>
      </c>
      <c r="B22" s="64" t="s">
        <v>55</v>
      </c>
      <c r="C22" s="64" t="s">
        <v>132</v>
      </c>
      <c r="D22" s="64" t="s">
        <v>135</v>
      </c>
      <c r="E22" s="64">
        <v>2619</v>
      </c>
      <c r="F22" s="64">
        <v>5</v>
      </c>
      <c r="G22" s="64">
        <v>40</v>
      </c>
      <c r="H22" s="64">
        <v>2</v>
      </c>
      <c r="I22" s="64">
        <v>112</v>
      </c>
      <c r="J22" s="64">
        <f>SUM(F22:I22)</f>
        <v>159</v>
      </c>
      <c r="K22" s="68">
        <v>2460</v>
      </c>
      <c r="L22" s="64">
        <v>3</v>
      </c>
      <c r="M22" s="64" t="s">
        <v>53</v>
      </c>
      <c r="N22" s="109">
        <f>K22/E22</f>
        <v>0.93928980526918671</v>
      </c>
      <c r="O22" s="64">
        <f>J22+K22</f>
        <v>2619</v>
      </c>
      <c r="P22" s="108">
        <f>O22-E22</f>
        <v>0</v>
      </c>
    </row>
    <row r="23" spans="1:16" ht="13.15" customHeight="1">
      <c r="A23" s="192">
        <v>46186</v>
      </c>
      <c r="B23" s="64" t="s">
        <v>55</v>
      </c>
      <c r="C23" s="64" t="s">
        <v>132</v>
      </c>
      <c r="D23" s="64" t="s">
        <v>135</v>
      </c>
      <c r="E23" s="64">
        <v>650</v>
      </c>
      <c r="F23" s="64">
        <v>2</v>
      </c>
      <c r="G23" s="64">
        <v>15</v>
      </c>
      <c r="H23" s="64">
        <v>1</v>
      </c>
      <c r="I23" s="64">
        <v>37</v>
      </c>
      <c r="J23" s="64">
        <f>SUM(F23:I23)</f>
        <v>55</v>
      </c>
      <c r="K23" s="68">
        <v>595</v>
      </c>
      <c r="L23" s="64">
        <v>3</v>
      </c>
      <c r="M23" s="64" t="s">
        <v>53</v>
      </c>
      <c r="N23" s="109">
        <f>K23/E23</f>
        <v>0.91538461538461535</v>
      </c>
      <c r="O23" s="64">
        <f>J23+K23</f>
        <v>650</v>
      </c>
      <c r="P23" s="108">
        <f>O23-E23</f>
        <v>0</v>
      </c>
    </row>
    <row r="24" spans="1:16" ht="13.15" customHeight="1">
      <c r="A24" s="192">
        <v>46186</v>
      </c>
      <c r="B24" s="64" t="s">
        <v>55</v>
      </c>
      <c r="C24" s="64" t="s">
        <v>134</v>
      </c>
      <c r="D24" s="64" t="s">
        <v>136</v>
      </c>
      <c r="E24" s="64">
        <v>420</v>
      </c>
      <c r="F24" s="64">
        <v>3</v>
      </c>
      <c r="G24" s="64">
        <v>8</v>
      </c>
      <c r="H24" s="64">
        <v>1</v>
      </c>
      <c r="I24" s="64">
        <v>25</v>
      </c>
      <c r="J24" s="64">
        <f>SUM(F24:I24)</f>
        <v>37</v>
      </c>
      <c r="K24" s="68">
        <v>383</v>
      </c>
      <c r="L24" s="64">
        <v>3</v>
      </c>
      <c r="M24" s="64" t="s">
        <v>53</v>
      </c>
      <c r="N24" s="109">
        <f>K24/$E$24</f>
        <v>0.91190476190476188</v>
      </c>
      <c r="O24" s="64">
        <f>J24+K24</f>
        <v>420</v>
      </c>
      <c r="P24" s="108">
        <f>O24-E24</f>
        <v>0</v>
      </c>
    </row>
    <row r="25" spans="1:16" ht="13.15" customHeight="1">
      <c r="A25" s="192">
        <v>46188</v>
      </c>
      <c r="B25" s="64" t="s">
        <v>55</v>
      </c>
      <c r="C25" s="64" t="s">
        <v>134</v>
      </c>
      <c r="D25" s="64" t="s">
        <v>138</v>
      </c>
      <c r="E25" s="64">
        <v>580</v>
      </c>
      <c r="F25" s="64">
        <v>0</v>
      </c>
      <c r="G25" s="64">
        <v>26</v>
      </c>
      <c r="H25" s="64">
        <v>1</v>
      </c>
      <c r="I25" s="64">
        <v>33</v>
      </c>
      <c r="J25" s="64">
        <f>SUM(F25:I25)</f>
        <v>60</v>
      </c>
      <c r="K25" s="68">
        <v>520</v>
      </c>
      <c r="L25" s="64">
        <v>3</v>
      </c>
      <c r="M25" s="64" t="s">
        <v>53</v>
      </c>
      <c r="N25" s="109">
        <f>K25/E25</f>
        <v>0.89655172413793105</v>
      </c>
      <c r="O25" s="64">
        <f>J25+K25</f>
        <v>580</v>
      </c>
      <c r="P25" s="108">
        <f>O25-E25</f>
        <v>0</v>
      </c>
    </row>
    <row r="26" spans="1:16" ht="13.15" customHeight="1">
      <c r="A26" s="192">
        <v>46189</v>
      </c>
      <c r="B26" s="64" t="s">
        <v>55</v>
      </c>
      <c r="C26" s="64" t="s">
        <v>134</v>
      </c>
      <c r="D26" s="64" t="s">
        <v>136</v>
      </c>
      <c r="E26" s="64">
        <v>1550</v>
      </c>
      <c r="F26" s="64">
        <v>3</v>
      </c>
      <c r="G26" s="64">
        <v>22</v>
      </c>
      <c r="H26" s="64">
        <v>2</v>
      </c>
      <c r="I26" s="64">
        <v>78</v>
      </c>
      <c r="J26" s="64">
        <f>SUM(F26:I26)</f>
        <v>105</v>
      </c>
      <c r="K26" s="100">
        <v>1445</v>
      </c>
      <c r="L26" s="64">
        <v>5</v>
      </c>
      <c r="M26" s="64" t="s">
        <v>53</v>
      </c>
      <c r="N26" s="109">
        <f>K26/E26</f>
        <v>0.93225806451612903</v>
      </c>
      <c r="O26" s="64">
        <f>J26+K26</f>
        <v>1550</v>
      </c>
      <c r="P26" s="108">
        <f>O26-E26</f>
        <v>0</v>
      </c>
    </row>
    <row r="27" spans="1:16" ht="13.15" customHeight="1">
      <c r="A27" s="192">
        <v>46189</v>
      </c>
      <c r="B27" s="64" t="s">
        <v>55</v>
      </c>
      <c r="C27" s="64" t="s">
        <v>132</v>
      </c>
      <c r="D27" s="64" t="s">
        <v>133</v>
      </c>
      <c r="E27" s="64">
        <v>1100</v>
      </c>
      <c r="F27" s="64">
        <v>2</v>
      </c>
      <c r="G27" s="64">
        <v>21</v>
      </c>
      <c r="H27" s="64">
        <v>2</v>
      </c>
      <c r="I27" s="64">
        <v>78</v>
      </c>
      <c r="J27" s="64">
        <f>SUM(F27:I27)</f>
        <v>103</v>
      </c>
      <c r="K27" s="100">
        <v>997</v>
      </c>
      <c r="L27" s="64">
        <v>5</v>
      </c>
      <c r="M27" s="64" t="s">
        <v>53</v>
      </c>
      <c r="N27" s="109">
        <f>K27/E27</f>
        <v>0.90636363636363637</v>
      </c>
      <c r="O27" s="64">
        <f>J27+K27</f>
        <v>1100</v>
      </c>
      <c r="P27" s="108">
        <f>O27-E27</f>
        <v>0</v>
      </c>
    </row>
    <row r="28" spans="1:16" ht="13.15" customHeight="1">
      <c r="A28" s="192">
        <v>46190</v>
      </c>
      <c r="B28" s="64" t="s">
        <v>55</v>
      </c>
      <c r="C28" s="64" t="s">
        <v>134</v>
      </c>
      <c r="D28" s="64" t="s">
        <v>136</v>
      </c>
      <c r="E28" s="64">
        <v>2450</v>
      </c>
      <c r="F28" s="64">
        <v>0</v>
      </c>
      <c r="G28" s="64">
        <v>43</v>
      </c>
      <c r="H28" s="64">
        <v>2</v>
      </c>
      <c r="I28" s="64">
        <v>103</v>
      </c>
      <c r="J28" s="64">
        <f>SUM(F28:I28)</f>
        <v>148</v>
      </c>
      <c r="K28" s="100">
        <v>2302</v>
      </c>
      <c r="L28" s="64">
        <v>3</v>
      </c>
      <c r="M28" s="64" t="s">
        <v>53</v>
      </c>
      <c r="N28" s="109">
        <f>K28/E28</f>
        <v>0.93959183673469393</v>
      </c>
      <c r="O28" s="64">
        <f>J28+K28</f>
        <v>2450</v>
      </c>
      <c r="P28" s="108">
        <f>O28-E28</f>
        <v>0</v>
      </c>
    </row>
    <row r="29" spans="1:16" ht="13.15" customHeight="1">
      <c r="A29" s="192">
        <v>46191</v>
      </c>
      <c r="B29" s="64" t="s">
        <v>55</v>
      </c>
      <c r="C29" s="64" t="s">
        <v>134</v>
      </c>
      <c r="D29" s="64" t="s">
        <v>136</v>
      </c>
      <c r="E29" s="64">
        <v>3500</v>
      </c>
      <c r="F29" s="64">
        <v>4</v>
      </c>
      <c r="G29" s="64">
        <v>72</v>
      </c>
      <c r="H29" s="64">
        <v>2</v>
      </c>
      <c r="I29" s="64">
        <v>142</v>
      </c>
      <c r="J29" s="64">
        <f>SUM(F29:I29)</f>
        <v>220</v>
      </c>
      <c r="K29" s="100">
        <v>3280</v>
      </c>
      <c r="L29" s="64">
        <v>3</v>
      </c>
      <c r="M29" s="64" t="s">
        <v>49</v>
      </c>
      <c r="N29" s="109">
        <f>K29/E29</f>
        <v>0.93714285714285717</v>
      </c>
      <c r="O29" s="64">
        <f>J29+K29</f>
        <v>3500</v>
      </c>
      <c r="P29" s="108">
        <f>O29-E29</f>
        <v>0</v>
      </c>
    </row>
    <row r="30" spans="1:16" ht="13.15" customHeight="1">
      <c r="A30" s="192">
        <v>46192</v>
      </c>
      <c r="B30" s="64" t="s">
        <v>55</v>
      </c>
      <c r="C30" s="64" t="s">
        <v>134</v>
      </c>
      <c r="D30" s="64" t="s">
        <v>136</v>
      </c>
      <c r="E30" s="64">
        <v>630</v>
      </c>
      <c r="F30" s="64">
        <v>0</v>
      </c>
      <c r="G30" s="64">
        <v>11</v>
      </c>
      <c r="H30" s="64">
        <v>2</v>
      </c>
      <c r="I30" s="64">
        <v>29</v>
      </c>
      <c r="J30" s="64">
        <f>SUM(F30:I30)</f>
        <v>42</v>
      </c>
      <c r="K30" s="100">
        <v>588</v>
      </c>
      <c r="L30" s="64">
        <v>3</v>
      </c>
      <c r="M30" s="64" t="s">
        <v>53</v>
      </c>
      <c r="N30" s="109">
        <f>K30/E30</f>
        <v>0.93333333333333335</v>
      </c>
      <c r="O30" s="64">
        <f>J30+K30</f>
        <v>630</v>
      </c>
      <c r="P30" s="108">
        <f>O30-E30</f>
        <v>0</v>
      </c>
    </row>
    <row r="31" spans="1:16" ht="13.15" customHeight="1">
      <c r="A31" s="192">
        <v>46192</v>
      </c>
      <c r="B31" s="64" t="s">
        <v>55</v>
      </c>
      <c r="C31" s="64" t="s">
        <v>134</v>
      </c>
      <c r="D31" s="64" t="s">
        <v>135</v>
      </c>
      <c r="E31" s="64">
        <v>3104</v>
      </c>
      <c r="F31" s="64">
        <v>0</v>
      </c>
      <c r="G31" s="64">
        <v>105</v>
      </c>
      <c r="H31" s="64">
        <v>3</v>
      </c>
      <c r="I31" s="64">
        <v>121</v>
      </c>
      <c r="J31" s="64">
        <f>SUM(F31:I31)</f>
        <v>229</v>
      </c>
      <c r="K31" s="100">
        <v>2875</v>
      </c>
      <c r="L31" s="64">
        <v>3</v>
      </c>
      <c r="M31" s="64" t="s">
        <v>53</v>
      </c>
      <c r="N31" s="109">
        <f>K31/E31</f>
        <v>0.92622422680412375</v>
      </c>
      <c r="O31" s="64">
        <f>J31+K31</f>
        <v>3104</v>
      </c>
      <c r="P31" s="108">
        <f>O31-E31</f>
        <v>0</v>
      </c>
    </row>
    <row r="32" spans="1:16" ht="13.15" customHeight="1">
      <c r="A32" s="192">
        <v>46193</v>
      </c>
      <c r="B32" s="64" t="s">
        <v>55</v>
      </c>
      <c r="C32" s="64" t="s">
        <v>134</v>
      </c>
      <c r="D32" s="64" t="s">
        <v>135</v>
      </c>
      <c r="E32" s="64">
        <v>3492</v>
      </c>
      <c r="F32" s="64">
        <v>0</v>
      </c>
      <c r="G32" s="64">
        <v>106</v>
      </c>
      <c r="H32" s="64">
        <v>4</v>
      </c>
      <c r="I32" s="64">
        <v>118</v>
      </c>
      <c r="J32" s="64">
        <f>SUM(F32:I32)</f>
        <v>228</v>
      </c>
      <c r="K32" s="100">
        <v>3264</v>
      </c>
      <c r="L32" s="64">
        <v>4</v>
      </c>
      <c r="M32" s="64" t="s">
        <v>53</v>
      </c>
      <c r="N32" s="109">
        <f>K32/E32</f>
        <v>0.93470790378006874</v>
      </c>
      <c r="O32" s="64">
        <f>J32+K32</f>
        <v>3492</v>
      </c>
      <c r="P32" s="108">
        <f>O32-E32</f>
        <v>0</v>
      </c>
    </row>
    <row r="33" spans="1:16" ht="13.15" customHeight="1">
      <c r="A33" s="192">
        <v>46195</v>
      </c>
      <c r="B33" s="64" t="s">
        <v>55</v>
      </c>
      <c r="C33" s="64" t="s">
        <v>134</v>
      </c>
      <c r="D33" s="64" t="s">
        <v>135</v>
      </c>
      <c r="E33" s="64">
        <v>2619</v>
      </c>
      <c r="F33" s="64">
        <v>0</v>
      </c>
      <c r="G33" s="64">
        <v>48</v>
      </c>
      <c r="H33" s="64">
        <v>2</v>
      </c>
      <c r="I33" s="64">
        <v>105</v>
      </c>
      <c r="J33" s="64">
        <f>SUM(F33:I33)</f>
        <v>155</v>
      </c>
      <c r="K33" s="100">
        <v>2464</v>
      </c>
      <c r="L33" s="64">
        <v>3</v>
      </c>
      <c r="M33" s="64" t="s">
        <v>53</v>
      </c>
      <c r="N33" s="109">
        <f>K33/E33</f>
        <v>0.94081710576555933</v>
      </c>
      <c r="O33" s="64">
        <f>J33+K33</f>
        <v>2619</v>
      </c>
      <c r="P33" s="108">
        <f>O33-E33</f>
        <v>0</v>
      </c>
    </row>
    <row r="34" spans="1:16" ht="13.15" customHeight="1">
      <c r="A34" s="192">
        <v>46196</v>
      </c>
      <c r="B34" s="64" t="s">
        <v>55</v>
      </c>
      <c r="C34" s="64" t="s">
        <v>134</v>
      </c>
      <c r="D34" s="64" t="s">
        <v>135</v>
      </c>
      <c r="E34" s="64">
        <v>582</v>
      </c>
      <c r="F34" s="64">
        <v>0</v>
      </c>
      <c r="G34" s="64">
        <v>6</v>
      </c>
      <c r="H34" s="64">
        <v>1</v>
      </c>
      <c r="I34" s="64">
        <v>37</v>
      </c>
      <c r="J34" s="64">
        <f>SUM(F34:I34)</f>
        <v>44</v>
      </c>
      <c r="K34" s="100">
        <v>538</v>
      </c>
      <c r="L34" s="64">
        <v>2</v>
      </c>
      <c r="M34" s="64" t="s">
        <v>53</v>
      </c>
      <c r="N34" s="109">
        <f>K34/E34</f>
        <v>0.92439862542955331</v>
      </c>
      <c r="O34" s="64">
        <f>J34+K34</f>
        <v>582</v>
      </c>
      <c r="P34" s="108">
        <f>O34-E34</f>
        <v>0</v>
      </c>
    </row>
    <row r="35" spans="1:16" ht="13.15" customHeight="1">
      <c r="A35" s="193">
        <v>46199</v>
      </c>
      <c r="B35" s="64" t="s">
        <v>55</v>
      </c>
      <c r="C35" s="64" t="s">
        <v>134</v>
      </c>
      <c r="D35" s="64" t="s">
        <v>135</v>
      </c>
      <c r="E35" s="64">
        <v>1092</v>
      </c>
      <c r="F35" s="107">
        <v>0</v>
      </c>
      <c r="G35" s="64">
        <v>25</v>
      </c>
      <c r="H35" s="64">
        <v>4</v>
      </c>
      <c r="I35" s="64">
        <v>48</v>
      </c>
      <c r="J35" s="64">
        <f>SUM(F35:I35)</f>
        <v>77</v>
      </c>
      <c r="K35" s="100">
        <v>1015</v>
      </c>
      <c r="L35" s="64">
        <v>2</v>
      </c>
      <c r="M35" s="64" t="s">
        <v>53</v>
      </c>
      <c r="N35" s="109">
        <f>K35/E35</f>
        <v>0.92948717948717952</v>
      </c>
      <c r="O35" s="64">
        <f>J35+K35</f>
        <v>1092</v>
      </c>
      <c r="P35" s="108">
        <f>O35-E35</f>
        <v>0</v>
      </c>
    </row>
    <row r="36" spans="1:16" ht="13.15" customHeight="1">
      <c r="A36" s="193">
        <v>46199</v>
      </c>
      <c r="B36" s="64" t="s">
        <v>55</v>
      </c>
      <c r="C36" s="64" t="s">
        <v>132</v>
      </c>
      <c r="D36" s="64" t="s">
        <v>133</v>
      </c>
      <c r="E36" s="64">
        <v>310</v>
      </c>
      <c r="F36" s="64">
        <v>2</v>
      </c>
      <c r="G36" s="64">
        <v>2</v>
      </c>
      <c r="H36" s="64">
        <v>1</v>
      </c>
      <c r="I36" s="64">
        <v>8</v>
      </c>
      <c r="J36" s="64">
        <f>SUM(F36:I36)</f>
        <v>13</v>
      </c>
      <c r="K36" s="100">
        <v>297</v>
      </c>
      <c r="L36" s="64">
        <v>2</v>
      </c>
      <c r="M36" s="64" t="s">
        <v>53</v>
      </c>
      <c r="N36" s="109">
        <f>K36/E36</f>
        <v>0.95806451612903221</v>
      </c>
      <c r="O36" s="64">
        <f>J36+K36</f>
        <v>310</v>
      </c>
      <c r="P36" s="108">
        <f>O36-E36</f>
        <v>0</v>
      </c>
    </row>
    <row r="37" spans="1:16" ht="13.15" customHeight="1">
      <c r="A37" s="193">
        <v>46200</v>
      </c>
      <c r="B37" s="64" t="s">
        <v>55</v>
      </c>
      <c r="C37" s="64" t="s">
        <v>132</v>
      </c>
      <c r="D37" s="64" t="s">
        <v>135</v>
      </c>
      <c r="E37" s="64">
        <v>2134</v>
      </c>
      <c r="F37" s="64">
        <v>2</v>
      </c>
      <c r="G37" s="64">
        <v>48</v>
      </c>
      <c r="H37" s="64">
        <v>2</v>
      </c>
      <c r="I37" s="64">
        <v>113</v>
      </c>
      <c r="J37" s="64">
        <f>SUM(F37:I37)</f>
        <v>165</v>
      </c>
      <c r="K37" s="100">
        <v>1969</v>
      </c>
      <c r="L37" s="64">
        <v>3</v>
      </c>
      <c r="M37" s="64" t="s">
        <v>53</v>
      </c>
      <c r="N37" s="109">
        <f>K37/E37</f>
        <v>0.92268041237113407</v>
      </c>
      <c r="O37" s="64">
        <f>J37+K37</f>
        <v>2134</v>
      </c>
      <c r="P37" s="108">
        <f>O37-E37</f>
        <v>0</v>
      </c>
    </row>
    <row r="38" spans="1:16" ht="13.15" customHeight="1">
      <c r="A38" s="193">
        <v>46203</v>
      </c>
      <c r="B38" s="64" t="s">
        <v>55</v>
      </c>
      <c r="C38" s="64" t="s">
        <v>132</v>
      </c>
      <c r="D38" s="64" t="s">
        <v>139</v>
      </c>
      <c r="E38" s="64">
        <v>229</v>
      </c>
      <c r="F38" s="64">
        <v>0</v>
      </c>
      <c r="G38" s="64">
        <v>0.5</v>
      </c>
      <c r="H38" s="64">
        <v>0.5</v>
      </c>
      <c r="I38" s="64">
        <v>21</v>
      </c>
      <c r="J38" s="64">
        <f>SUM(F38:I38)</f>
        <v>22</v>
      </c>
      <c r="K38" s="100">
        <v>207</v>
      </c>
      <c r="L38" s="64">
        <v>3</v>
      </c>
      <c r="M38" s="64" t="s">
        <v>53</v>
      </c>
      <c r="N38" s="109">
        <f>K38/E38</f>
        <v>0.90393013100436681</v>
      </c>
      <c r="O38" s="64">
        <f>J38+K38</f>
        <v>229</v>
      </c>
      <c r="P38" s="108">
        <f>O38-E38</f>
        <v>0</v>
      </c>
    </row>
    <row r="39" spans="1:16" ht="13.15" customHeight="1">
      <c r="A39" s="193">
        <v>46203</v>
      </c>
      <c r="B39" s="64" t="s">
        <v>55</v>
      </c>
      <c r="C39" s="64" t="s">
        <v>134</v>
      </c>
      <c r="D39" s="64" t="s">
        <v>135</v>
      </c>
      <c r="E39" s="64">
        <v>970</v>
      </c>
      <c r="F39" s="64">
        <v>0</v>
      </c>
      <c r="G39" s="64">
        <v>24</v>
      </c>
      <c r="H39" s="64">
        <v>2</v>
      </c>
      <c r="I39" s="64">
        <v>53</v>
      </c>
      <c r="J39" s="64">
        <f>SUM(F39:I39)</f>
        <v>79</v>
      </c>
      <c r="K39" s="100">
        <v>891</v>
      </c>
      <c r="L39" s="64">
        <v>3</v>
      </c>
      <c r="M39" s="64" t="s">
        <v>53</v>
      </c>
      <c r="N39" s="109">
        <f>K39/E39</f>
        <v>0.91855670103092779</v>
      </c>
      <c r="O39" s="64">
        <f>J39+K39</f>
        <v>970</v>
      </c>
      <c r="P39" s="108">
        <f>O39-E39</f>
        <v>0</v>
      </c>
    </row>
    <row r="40" spans="1:16" ht="13.15" customHeight="1">
      <c r="A40" s="193">
        <v>46203</v>
      </c>
      <c r="B40" s="117" t="s">
        <v>140</v>
      </c>
      <c r="C40" s="117" t="s">
        <v>132</v>
      </c>
      <c r="D40" s="117" t="s">
        <v>141</v>
      </c>
      <c r="E40" s="117">
        <v>100</v>
      </c>
      <c r="F40" s="117">
        <v>0</v>
      </c>
      <c r="G40" s="117">
        <v>0.5</v>
      </c>
      <c r="H40" s="117">
        <v>0.5</v>
      </c>
      <c r="I40" s="117">
        <v>5</v>
      </c>
      <c r="J40" s="117">
        <f>SUM(F40:I40)</f>
        <v>6</v>
      </c>
      <c r="K40" s="120">
        <v>94</v>
      </c>
      <c r="L40" s="117">
        <v>3</v>
      </c>
      <c r="M40" s="64" t="s">
        <v>53</v>
      </c>
      <c r="N40" s="118">
        <f>K40/E40</f>
        <v>0.94</v>
      </c>
      <c r="O40" s="117">
        <f>J40+K40</f>
        <v>100</v>
      </c>
      <c r="P40" s="119">
        <f>O40-E40</f>
        <v>0</v>
      </c>
    </row>
    <row r="41" spans="1:16" ht="12.75">
      <c r="A41" s="110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108"/>
    </row>
    <row r="42" spans="1:16" ht="13.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108"/>
    </row>
    <row r="43" spans="1:16" ht="13.15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</row>
    <row r="44" spans="1:16" ht="13.1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</row>
    <row r="45" spans="1:16" ht="13.1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</row>
    <row r="46" spans="1:16" ht="13.1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</row>
    <row r="47" spans="1:16" ht="13.15">
      <c r="A47" s="66"/>
      <c r="B47" s="66"/>
      <c r="C47" s="66"/>
      <c r="I47" s="66"/>
      <c r="J47" s="66"/>
      <c r="K47" s="66"/>
      <c r="L47" s="66"/>
      <c r="M47" s="66"/>
      <c r="N47" s="66"/>
      <c r="O47" s="66"/>
    </row>
    <row r="48" spans="1:16" ht="13.15">
      <c r="A48" s="66"/>
      <c r="B48" s="66"/>
      <c r="C48" s="66"/>
      <c r="D48" s="85" t="s">
        <v>22</v>
      </c>
      <c r="E48" s="85" t="s">
        <v>116</v>
      </c>
      <c r="F48" s="85" t="s">
        <v>117</v>
      </c>
      <c r="G48" s="85" t="s">
        <v>118</v>
      </c>
      <c r="H48" s="85" t="s">
        <v>119</v>
      </c>
      <c r="I48" s="66"/>
      <c r="J48" s="66"/>
      <c r="K48" s="66"/>
      <c r="L48" s="66"/>
      <c r="M48" s="66"/>
      <c r="N48" s="66"/>
      <c r="O48" s="66"/>
    </row>
    <row r="49" spans="4:8" ht="13.15">
      <c r="D49" s="85" t="s">
        <v>121</v>
      </c>
      <c r="E49" s="85">
        <v>50435</v>
      </c>
      <c r="F49" s="85">
        <v>47012</v>
      </c>
      <c r="G49" s="85">
        <f t="shared" ref="G49:G51" si="0">E49-F49</f>
        <v>3423</v>
      </c>
      <c r="H49" s="86">
        <f t="shared" ref="H49:H51" si="1">G49/E49%</f>
        <v>6.7869535045107563</v>
      </c>
    </row>
    <row r="50" spans="4:8" ht="13.15">
      <c r="D50" s="85" t="s">
        <v>142</v>
      </c>
      <c r="E50" s="85">
        <v>3950</v>
      </c>
      <c r="F50" s="85">
        <v>3670</v>
      </c>
      <c r="G50" s="85">
        <f t="shared" si="0"/>
        <v>280</v>
      </c>
      <c r="H50" s="86">
        <f t="shared" si="1"/>
        <v>7.0886075949367084</v>
      </c>
    </row>
    <row r="51" spans="4:8" ht="13.15">
      <c r="D51" s="85" t="s">
        <v>51</v>
      </c>
      <c r="E51" s="85">
        <v>9050</v>
      </c>
      <c r="F51" s="85">
        <v>8466</v>
      </c>
      <c r="G51" s="85">
        <f t="shared" si="0"/>
        <v>584</v>
      </c>
      <c r="H51" s="86">
        <f t="shared" si="1"/>
        <v>6.4530386740331496</v>
      </c>
    </row>
  </sheetData>
  <mergeCells count="12">
    <mergeCell ref="A1:N1"/>
    <mergeCell ref="A2:A3"/>
    <mergeCell ref="B2:B3"/>
    <mergeCell ref="C2:C3"/>
    <mergeCell ref="D2:D3"/>
    <mergeCell ref="E2:E3"/>
    <mergeCell ref="J2:J3"/>
    <mergeCell ref="I2:I3"/>
    <mergeCell ref="K2:K3"/>
    <mergeCell ref="L2:L3"/>
    <mergeCell ref="M2:M3"/>
    <mergeCell ref="N2:N3"/>
  </mergeCells>
  <dataValidations count="2">
    <dataValidation type="list" allowBlank="1" showInputMessage="1" showErrorMessage="1" sqref="M29" xr:uid="{9701A216-2994-4769-AF6C-2AF94B3E8FD6}">
      <formula1>"Day,Night,No Grinding,Not Counted Yet"</formula1>
    </dataValidation>
    <dataValidation allowBlank="1" showInputMessage="1" showErrorMessage="1" sqref="M30:M40" xr:uid="{770A7408-96CC-44E1-B0A0-ADD208E51AE6}"/>
  </dataValidations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R48"/>
  <sheetViews>
    <sheetView showGridLines="0" workbookViewId="0">
      <pane ySplit="3" topLeftCell="A4" activePane="bottomLeft" state="frozen"/>
      <selection pane="bottomLeft" activeCell="L33" sqref="L33"/>
    </sheetView>
  </sheetViews>
  <sheetFormatPr defaultColWidth="12.5703125" defaultRowHeight="15.75" customHeight="1"/>
  <cols>
    <col min="12" max="12" width="13.28515625" customWidth="1"/>
    <col min="15" max="18" width="12.5703125" style="18"/>
  </cols>
  <sheetData>
    <row r="1" spans="1:16" ht="24.75" customHeight="1">
      <c r="A1" s="279" t="s">
        <v>40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8"/>
    </row>
    <row r="2" spans="1:16" ht="18">
      <c r="A2" s="264" t="s">
        <v>25</v>
      </c>
      <c r="B2" s="264" t="s">
        <v>26</v>
      </c>
      <c r="C2" s="264" t="s">
        <v>27</v>
      </c>
      <c r="D2" s="264" t="s">
        <v>22</v>
      </c>
      <c r="E2" s="281" t="s">
        <v>28</v>
      </c>
      <c r="F2" s="96" t="s">
        <v>29</v>
      </c>
      <c r="G2" s="96" t="s">
        <v>30</v>
      </c>
      <c r="H2" s="96" t="s">
        <v>31</v>
      </c>
      <c r="I2" s="281" t="s">
        <v>32</v>
      </c>
      <c r="J2" s="264" t="s">
        <v>33</v>
      </c>
      <c r="K2" s="264" t="s">
        <v>34</v>
      </c>
      <c r="L2" s="264" t="s">
        <v>35</v>
      </c>
      <c r="M2" s="264" t="s">
        <v>36</v>
      </c>
      <c r="N2" s="283" t="s">
        <v>37</v>
      </c>
    </row>
    <row r="3" spans="1:16" ht="18.75">
      <c r="A3" s="321"/>
      <c r="B3" s="321"/>
      <c r="C3" s="321"/>
      <c r="D3" s="321"/>
      <c r="E3" s="321"/>
      <c r="F3" s="96" t="s">
        <v>42</v>
      </c>
      <c r="G3" s="96" t="s">
        <v>43</v>
      </c>
      <c r="H3" s="96" t="s">
        <v>44</v>
      </c>
      <c r="I3" s="282"/>
      <c r="J3" s="321"/>
      <c r="K3" s="321"/>
      <c r="L3" s="321"/>
      <c r="M3" s="321"/>
      <c r="N3" s="321"/>
    </row>
    <row r="4" spans="1:16" ht="13.15" customHeight="1">
      <c r="A4" s="197">
        <v>46174</v>
      </c>
      <c r="B4" s="85" t="s">
        <v>127</v>
      </c>
      <c r="C4" s="85" t="s">
        <v>20</v>
      </c>
      <c r="D4" s="85" t="s">
        <v>105</v>
      </c>
      <c r="E4" s="85">
        <v>6650</v>
      </c>
      <c r="F4" s="85">
        <v>20</v>
      </c>
      <c r="G4" s="85">
        <v>190</v>
      </c>
      <c r="H4" s="85">
        <v>30</v>
      </c>
      <c r="I4" s="85">
        <v>210</v>
      </c>
      <c r="J4" s="85">
        <f>SUM(F4:I4)</f>
        <v>450</v>
      </c>
      <c r="K4" s="97">
        <v>6200</v>
      </c>
      <c r="L4" s="85">
        <v>5</v>
      </c>
      <c r="M4" s="85" t="s">
        <v>49</v>
      </c>
      <c r="N4" s="98">
        <f>K4/E4</f>
        <v>0.93233082706766912</v>
      </c>
      <c r="O4" s="85">
        <f>J4+K4</f>
        <v>6650</v>
      </c>
      <c r="P4" s="85">
        <f>O4-E4</f>
        <v>0</v>
      </c>
    </row>
    <row r="5" spans="1:16" ht="13.15" customHeight="1">
      <c r="A5" s="197">
        <v>46175</v>
      </c>
      <c r="B5" s="85" t="s">
        <v>127</v>
      </c>
      <c r="C5" s="85" t="s">
        <v>20</v>
      </c>
      <c r="D5" s="85" t="s">
        <v>105</v>
      </c>
      <c r="E5" s="85">
        <v>5200</v>
      </c>
      <c r="F5" s="85">
        <v>40</v>
      </c>
      <c r="G5" s="85">
        <v>165</v>
      </c>
      <c r="H5" s="85">
        <v>25</v>
      </c>
      <c r="I5" s="85">
        <v>170</v>
      </c>
      <c r="J5" s="85">
        <f>SUM(F5:I5)</f>
        <v>400</v>
      </c>
      <c r="K5" s="97">
        <v>4800</v>
      </c>
      <c r="L5" s="85">
        <v>5</v>
      </c>
      <c r="M5" s="85" t="s">
        <v>49</v>
      </c>
      <c r="N5" s="98">
        <f>K5/E5</f>
        <v>0.92307692307692313</v>
      </c>
      <c r="O5" s="85">
        <f>J5+K5</f>
        <v>5200</v>
      </c>
      <c r="P5" s="85">
        <f>O5-E5</f>
        <v>0</v>
      </c>
    </row>
    <row r="6" spans="1:16" ht="15.75" customHeight="1">
      <c r="A6" s="197">
        <v>46176</v>
      </c>
      <c r="B6" s="85" t="s">
        <v>127</v>
      </c>
      <c r="C6" s="85" t="s">
        <v>20</v>
      </c>
      <c r="D6" s="85" t="s">
        <v>105</v>
      </c>
      <c r="E6" s="85">
        <v>6100</v>
      </c>
      <c r="F6" s="85">
        <v>42</v>
      </c>
      <c r="G6" s="85">
        <v>201</v>
      </c>
      <c r="H6" s="85">
        <v>32</v>
      </c>
      <c r="I6" s="85">
        <v>125</v>
      </c>
      <c r="J6" s="85">
        <f>SUM(F6:I6)</f>
        <v>400</v>
      </c>
      <c r="K6" s="97">
        <v>5700</v>
      </c>
      <c r="L6" s="85">
        <v>5</v>
      </c>
      <c r="M6" s="85" t="s">
        <v>49</v>
      </c>
      <c r="N6" s="98">
        <f>K6/E6</f>
        <v>0.93442622950819676</v>
      </c>
      <c r="O6" s="85">
        <f>J6+K6</f>
        <v>6100</v>
      </c>
      <c r="P6" s="85">
        <f>O6-E6</f>
        <v>0</v>
      </c>
    </row>
    <row r="7" spans="1:16" ht="15.75" customHeight="1">
      <c r="A7" s="197">
        <v>46177</v>
      </c>
      <c r="B7" s="85" t="s">
        <v>127</v>
      </c>
      <c r="C7" s="85" t="s">
        <v>20</v>
      </c>
      <c r="D7" s="85" t="s">
        <v>105</v>
      </c>
      <c r="E7" s="85">
        <v>4400</v>
      </c>
      <c r="F7" s="85">
        <v>37</v>
      </c>
      <c r="G7" s="85">
        <v>124</v>
      </c>
      <c r="H7" s="85">
        <v>27</v>
      </c>
      <c r="I7" s="85">
        <v>112</v>
      </c>
      <c r="J7" s="85">
        <f>SUM(F7:I7)</f>
        <v>300</v>
      </c>
      <c r="K7" s="97">
        <v>4100</v>
      </c>
      <c r="L7" s="85">
        <v>5</v>
      </c>
      <c r="M7" s="85" t="s">
        <v>49</v>
      </c>
      <c r="N7" s="98">
        <f>K7/E7</f>
        <v>0.93181818181818177</v>
      </c>
      <c r="O7" s="85">
        <f>J7+K7</f>
        <v>4400</v>
      </c>
      <c r="P7" s="85">
        <f>O7-E7</f>
        <v>0</v>
      </c>
    </row>
    <row r="8" spans="1:16" ht="15.75" customHeight="1">
      <c r="A8" s="197">
        <v>46178</v>
      </c>
      <c r="B8" s="85" t="s">
        <v>127</v>
      </c>
      <c r="C8" s="85" t="s">
        <v>20</v>
      </c>
      <c r="D8" s="85" t="s">
        <v>105</v>
      </c>
      <c r="E8" s="85">
        <v>1400</v>
      </c>
      <c r="F8" s="85">
        <v>10</v>
      </c>
      <c r="G8" s="85">
        <v>35</v>
      </c>
      <c r="H8" s="85">
        <v>5</v>
      </c>
      <c r="I8" s="85">
        <v>20</v>
      </c>
      <c r="J8" s="85">
        <f>SUM(F8:I8)</f>
        <v>70</v>
      </c>
      <c r="K8" s="97">
        <v>1330</v>
      </c>
      <c r="L8" s="85">
        <v>5</v>
      </c>
      <c r="M8" s="85" t="s">
        <v>49</v>
      </c>
      <c r="N8" s="98">
        <f>K8/E8</f>
        <v>0.95</v>
      </c>
      <c r="O8" s="85">
        <f>J8+K8</f>
        <v>1400</v>
      </c>
      <c r="P8" s="85">
        <f>O8-E8</f>
        <v>0</v>
      </c>
    </row>
    <row r="9" spans="1:16" ht="15.75" customHeight="1">
      <c r="A9" s="197">
        <v>46178</v>
      </c>
      <c r="B9" s="7" t="s">
        <v>123</v>
      </c>
      <c r="C9" s="85" t="s">
        <v>20</v>
      </c>
      <c r="D9" s="85" t="s">
        <v>143</v>
      </c>
      <c r="E9" s="85">
        <v>204</v>
      </c>
      <c r="F9" s="85">
        <v>0</v>
      </c>
      <c r="G9" s="85">
        <v>0</v>
      </c>
      <c r="H9" s="85">
        <v>1</v>
      </c>
      <c r="I9" s="85">
        <v>3</v>
      </c>
      <c r="J9" s="85">
        <f>SUM(F9:I9)</f>
        <v>4</v>
      </c>
      <c r="K9" s="97">
        <v>200</v>
      </c>
      <c r="L9" s="85">
        <v>1</v>
      </c>
      <c r="M9" s="85" t="s">
        <v>49</v>
      </c>
      <c r="N9" s="98">
        <f>K9/E9</f>
        <v>0.98039215686274506</v>
      </c>
      <c r="O9" s="85">
        <f>J9+K9</f>
        <v>204</v>
      </c>
      <c r="P9" s="85">
        <f>O9-E9</f>
        <v>0</v>
      </c>
    </row>
    <row r="10" spans="1:16" ht="13.15" customHeight="1">
      <c r="A10" s="197">
        <v>46179</v>
      </c>
      <c r="B10" s="85">
        <v>1234</v>
      </c>
      <c r="C10" s="85" t="s">
        <v>20</v>
      </c>
      <c r="D10" s="85" t="s">
        <v>105</v>
      </c>
      <c r="E10" s="85">
        <v>6250</v>
      </c>
      <c r="F10" s="85">
        <v>60</v>
      </c>
      <c r="G10" s="85">
        <v>125</v>
      </c>
      <c r="H10" s="85">
        <v>17</v>
      </c>
      <c r="I10" s="85">
        <v>188</v>
      </c>
      <c r="J10" s="85">
        <f>SUM(F10:I10)</f>
        <v>390</v>
      </c>
      <c r="K10" s="97">
        <v>5860</v>
      </c>
      <c r="L10" s="85">
        <v>5</v>
      </c>
      <c r="M10" s="85" t="s">
        <v>53</v>
      </c>
      <c r="N10" s="98">
        <f>K10/E10</f>
        <v>0.93759999999999999</v>
      </c>
      <c r="O10" s="85">
        <f>J10+K10</f>
        <v>6250</v>
      </c>
      <c r="P10" s="85">
        <f>O10-E10</f>
        <v>0</v>
      </c>
    </row>
    <row r="11" spans="1:16" ht="15.75" customHeight="1">
      <c r="A11" s="197">
        <v>46181</v>
      </c>
      <c r="B11" s="85" t="s">
        <v>123</v>
      </c>
      <c r="C11" s="85" t="s">
        <v>20</v>
      </c>
      <c r="D11" s="85" t="s">
        <v>143</v>
      </c>
      <c r="E11" s="85">
        <v>160</v>
      </c>
      <c r="F11" s="85" t="s">
        <v>144</v>
      </c>
      <c r="G11" s="85" t="s">
        <v>144</v>
      </c>
      <c r="H11" s="85">
        <v>2</v>
      </c>
      <c r="I11" s="85">
        <v>3</v>
      </c>
      <c r="J11" s="85">
        <f>SUM(F11:I11)</f>
        <v>5</v>
      </c>
      <c r="K11" s="97">
        <v>155</v>
      </c>
      <c r="L11" s="85">
        <v>1</v>
      </c>
      <c r="M11" s="85" t="s">
        <v>49</v>
      </c>
      <c r="N11" s="98">
        <f>K11/E11</f>
        <v>0.96875</v>
      </c>
      <c r="O11" s="85">
        <f>J11+K11</f>
        <v>160</v>
      </c>
      <c r="P11" s="85">
        <f>O11-E11</f>
        <v>0</v>
      </c>
    </row>
    <row r="12" spans="1:16" ht="13.15" customHeight="1">
      <c r="A12" s="197">
        <v>46180</v>
      </c>
      <c r="B12" s="85" t="s">
        <v>123</v>
      </c>
      <c r="C12" s="85" t="s">
        <v>20</v>
      </c>
      <c r="D12" s="85" t="s">
        <v>145</v>
      </c>
      <c r="E12" s="85">
        <v>70</v>
      </c>
      <c r="F12" s="85" t="s">
        <v>144</v>
      </c>
      <c r="G12" s="85" t="s">
        <v>144</v>
      </c>
      <c r="H12" s="85">
        <v>1</v>
      </c>
      <c r="I12" s="85">
        <v>4</v>
      </c>
      <c r="J12" s="85">
        <f>SUM(F12:I12)</f>
        <v>5</v>
      </c>
      <c r="K12" s="97">
        <v>65</v>
      </c>
      <c r="L12" s="85">
        <v>1</v>
      </c>
      <c r="M12" s="85" t="s">
        <v>53</v>
      </c>
      <c r="N12" s="98">
        <f>K12/E12</f>
        <v>0.9285714285714286</v>
      </c>
      <c r="O12" s="85">
        <f>J12+K12</f>
        <v>70</v>
      </c>
      <c r="P12" s="85">
        <f>O12-E12</f>
        <v>0</v>
      </c>
    </row>
    <row r="13" spans="1:16" ht="13.15" customHeight="1">
      <c r="A13" s="197">
        <v>46182</v>
      </c>
      <c r="B13" s="85" t="s">
        <v>127</v>
      </c>
      <c r="C13" s="85" t="s">
        <v>20</v>
      </c>
      <c r="D13" s="85" t="s">
        <v>105</v>
      </c>
      <c r="E13" s="85">
        <v>6650</v>
      </c>
      <c r="F13" s="85">
        <v>85</v>
      </c>
      <c r="G13" s="85">
        <v>285</v>
      </c>
      <c r="H13" s="85">
        <v>35</v>
      </c>
      <c r="I13" s="85">
        <v>95</v>
      </c>
      <c r="J13" s="85">
        <f>SUM(F13:I13)</f>
        <v>500</v>
      </c>
      <c r="K13" s="97">
        <v>6150</v>
      </c>
      <c r="L13" s="85">
        <v>5</v>
      </c>
      <c r="M13" s="85" t="s">
        <v>49</v>
      </c>
      <c r="N13" s="98">
        <f>K13/E13</f>
        <v>0.92481203007518797</v>
      </c>
      <c r="O13" s="85">
        <f>J13+K13</f>
        <v>6650</v>
      </c>
      <c r="P13" s="85">
        <f>O13-E13</f>
        <v>0</v>
      </c>
    </row>
    <row r="14" spans="1:16" ht="13.15" customHeight="1">
      <c r="A14" s="197">
        <v>46183</v>
      </c>
      <c r="B14" s="85" t="s">
        <v>127</v>
      </c>
      <c r="C14" s="85" t="s">
        <v>20</v>
      </c>
      <c r="D14" s="85" t="s">
        <v>105</v>
      </c>
      <c r="E14" s="85">
        <v>5200</v>
      </c>
      <c r="F14" s="85">
        <v>22</v>
      </c>
      <c r="G14" s="85">
        <v>231</v>
      </c>
      <c r="H14" s="85">
        <v>25</v>
      </c>
      <c r="I14" s="85">
        <v>102</v>
      </c>
      <c r="J14" s="85">
        <f>SUM(F14:I14)</f>
        <v>380</v>
      </c>
      <c r="K14" s="97">
        <v>4820</v>
      </c>
      <c r="L14" s="85">
        <v>5</v>
      </c>
      <c r="M14" s="85" t="s">
        <v>49</v>
      </c>
      <c r="N14" s="98">
        <f>K14/E14</f>
        <v>0.92692307692307696</v>
      </c>
      <c r="O14" s="85">
        <f>J14+K14</f>
        <v>5200</v>
      </c>
      <c r="P14" s="85">
        <f>O14-E14</f>
        <v>0</v>
      </c>
    </row>
    <row r="15" spans="1:16" ht="13.15" customHeight="1">
      <c r="A15" s="197">
        <v>46184</v>
      </c>
      <c r="B15" s="85" t="s">
        <v>146</v>
      </c>
      <c r="C15" s="85" t="s">
        <v>20</v>
      </c>
      <c r="D15" s="85" t="s">
        <v>105</v>
      </c>
      <c r="E15" s="85">
        <v>4500</v>
      </c>
      <c r="F15" s="85">
        <v>23</v>
      </c>
      <c r="G15" s="85">
        <v>170</v>
      </c>
      <c r="H15" s="85">
        <v>30</v>
      </c>
      <c r="I15" s="85">
        <v>92</v>
      </c>
      <c r="J15" s="85">
        <f>SUM(F15:I15)</f>
        <v>315</v>
      </c>
      <c r="K15" s="97">
        <v>4185</v>
      </c>
      <c r="L15" s="85">
        <v>5</v>
      </c>
      <c r="M15" s="85" t="s">
        <v>49</v>
      </c>
      <c r="N15" s="98">
        <f>K15/E15</f>
        <v>0.93</v>
      </c>
      <c r="O15" s="85">
        <f>J15+K15</f>
        <v>4500</v>
      </c>
      <c r="P15" s="85">
        <f>O15-E15</f>
        <v>0</v>
      </c>
    </row>
    <row r="16" spans="1:16" ht="13.15" customHeight="1">
      <c r="A16" s="197">
        <v>46186</v>
      </c>
      <c r="B16" s="85" t="s">
        <v>127</v>
      </c>
      <c r="C16" s="85" t="s">
        <v>20</v>
      </c>
      <c r="D16" s="85" t="s">
        <v>94</v>
      </c>
      <c r="E16" s="85">
        <v>2000</v>
      </c>
      <c r="F16" s="85">
        <v>22</v>
      </c>
      <c r="G16" s="85">
        <v>58</v>
      </c>
      <c r="H16" s="85">
        <v>15</v>
      </c>
      <c r="I16" s="85">
        <v>65</v>
      </c>
      <c r="J16" s="85">
        <f>SUM(F16:I16)</f>
        <v>160</v>
      </c>
      <c r="K16" s="97">
        <v>1840</v>
      </c>
      <c r="L16" s="85">
        <v>5</v>
      </c>
      <c r="M16" s="85" t="s">
        <v>49</v>
      </c>
      <c r="N16" s="98">
        <f>K16/E16</f>
        <v>0.92</v>
      </c>
      <c r="O16" s="85">
        <f>J16+K16</f>
        <v>2000</v>
      </c>
      <c r="P16" s="85">
        <f>O16-E16</f>
        <v>0</v>
      </c>
    </row>
    <row r="17" spans="1:16" ht="13.15" customHeight="1">
      <c r="A17" s="197">
        <v>46188</v>
      </c>
      <c r="B17" s="85" t="s">
        <v>127</v>
      </c>
      <c r="C17" s="85" t="s">
        <v>20</v>
      </c>
      <c r="D17" s="85" t="s">
        <v>94</v>
      </c>
      <c r="E17" s="85">
        <v>5200</v>
      </c>
      <c r="F17" s="85">
        <v>104</v>
      </c>
      <c r="G17" s="85">
        <v>181</v>
      </c>
      <c r="H17" s="85">
        <v>20</v>
      </c>
      <c r="I17" s="85">
        <v>155</v>
      </c>
      <c r="J17" s="85">
        <f>SUM(F17:I17)</f>
        <v>460</v>
      </c>
      <c r="K17" s="97">
        <v>4740</v>
      </c>
      <c r="L17" s="85">
        <v>5</v>
      </c>
      <c r="M17" s="85" t="s">
        <v>49</v>
      </c>
      <c r="N17" s="98">
        <f>K17/E17</f>
        <v>0.91153846153846152</v>
      </c>
      <c r="O17" s="85">
        <f>J17+K17</f>
        <v>5200</v>
      </c>
      <c r="P17" s="85">
        <f>O17-E17</f>
        <v>0</v>
      </c>
    </row>
    <row r="18" spans="1:16" s="102" customFormat="1" ht="13.15" customHeight="1">
      <c r="A18" s="197">
        <v>46189</v>
      </c>
      <c r="B18" s="101" t="s">
        <v>127</v>
      </c>
      <c r="C18" s="85" t="s">
        <v>20</v>
      </c>
      <c r="D18" s="101" t="s">
        <v>94</v>
      </c>
      <c r="E18" s="101">
        <v>1700</v>
      </c>
      <c r="F18" s="101">
        <v>25</v>
      </c>
      <c r="G18" s="101">
        <v>70</v>
      </c>
      <c r="H18" s="101">
        <v>30</v>
      </c>
      <c r="I18" s="101">
        <v>15</v>
      </c>
      <c r="J18" s="101">
        <v>140</v>
      </c>
      <c r="K18" s="104">
        <v>1560</v>
      </c>
      <c r="L18" s="101">
        <v>5</v>
      </c>
      <c r="M18" s="101" t="s">
        <v>49</v>
      </c>
      <c r="N18" s="98">
        <f>K18/E18</f>
        <v>0.91764705882352937</v>
      </c>
      <c r="O18" s="64">
        <f>J18+K18</f>
        <v>1700</v>
      </c>
      <c r="P18" s="64">
        <f>O18-E18</f>
        <v>0</v>
      </c>
    </row>
    <row r="19" spans="1:16" s="102" customFormat="1" ht="13.15" customHeight="1">
      <c r="A19" s="197">
        <v>46190</v>
      </c>
      <c r="B19" s="103" t="s">
        <v>127</v>
      </c>
      <c r="C19" s="85" t="s">
        <v>20</v>
      </c>
      <c r="D19" s="103" t="s">
        <v>51</v>
      </c>
      <c r="E19" s="103">
        <v>6000</v>
      </c>
      <c r="F19" s="103">
        <v>90</v>
      </c>
      <c r="G19" s="103">
        <v>240</v>
      </c>
      <c r="H19" s="103">
        <v>35</v>
      </c>
      <c r="I19" s="103">
        <v>235</v>
      </c>
      <c r="J19" s="103">
        <v>600</v>
      </c>
      <c r="K19" s="105">
        <v>5400</v>
      </c>
      <c r="L19" s="103">
        <v>5</v>
      </c>
      <c r="M19" s="103" t="s">
        <v>49</v>
      </c>
      <c r="N19" s="98">
        <f>K19/E19</f>
        <v>0.9</v>
      </c>
      <c r="O19" s="64">
        <f>J19+K19</f>
        <v>6000</v>
      </c>
      <c r="P19" s="64">
        <f>O19-E19</f>
        <v>0</v>
      </c>
    </row>
    <row r="20" spans="1:16" ht="13.15" customHeight="1">
      <c r="A20" s="197">
        <v>46191</v>
      </c>
      <c r="B20" s="85" t="s">
        <v>127</v>
      </c>
      <c r="C20" s="85" t="s">
        <v>20</v>
      </c>
      <c r="D20" s="85" t="s">
        <v>94</v>
      </c>
      <c r="E20" s="85">
        <v>6500</v>
      </c>
      <c r="F20" s="85">
        <v>95</v>
      </c>
      <c r="G20" s="85">
        <v>220</v>
      </c>
      <c r="H20" s="85">
        <v>39</v>
      </c>
      <c r="I20" s="85">
        <v>176</v>
      </c>
      <c r="J20" s="85">
        <f>SUM(F20:I20)</f>
        <v>530</v>
      </c>
      <c r="K20" s="106">
        <v>5970</v>
      </c>
      <c r="L20" s="85">
        <v>5</v>
      </c>
      <c r="M20" s="85" t="s">
        <v>49</v>
      </c>
      <c r="N20" s="98">
        <f>K20/E20</f>
        <v>0.91846153846153844</v>
      </c>
      <c r="O20" s="85">
        <f>J20+K20</f>
        <v>6500</v>
      </c>
      <c r="P20" s="85">
        <f>O20-E20</f>
        <v>0</v>
      </c>
    </row>
    <row r="21" spans="1:16" ht="13.15" customHeight="1">
      <c r="A21" s="197">
        <v>46192</v>
      </c>
      <c r="B21" s="85" t="s">
        <v>127</v>
      </c>
      <c r="C21" s="85" t="s">
        <v>20</v>
      </c>
      <c r="D21" s="85" t="s">
        <v>51</v>
      </c>
      <c r="E21" s="85">
        <v>6650</v>
      </c>
      <c r="F21" s="85">
        <v>78</v>
      </c>
      <c r="G21" s="85">
        <v>202</v>
      </c>
      <c r="H21" s="85">
        <v>40</v>
      </c>
      <c r="I21" s="85">
        <v>190</v>
      </c>
      <c r="J21" s="85">
        <f>SUM(F21:I21)</f>
        <v>510</v>
      </c>
      <c r="K21" s="106">
        <v>6140</v>
      </c>
      <c r="L21" s="85">
        <v>5</v>
      </c>
      <c r="M21" s="85" t="s">
        <v>49</v>
      </c>
      <c r="N21" s="98">
        <f>K21/E21</f>
        <v>0.92330827067669174</v>
      </c>
      <c r="O21" s="85">
        <f>J21+K21</f>
        <v>6650</v>
      </c>
      <c r="P21" s="85">
        <f>O21-E21</f>
        <v>0</v>
      </c>
    </row>
    <row r="22" spans="1:16" ht="15.75" customHeight="1">
      <c r="A22" s="198">
        <v>46195</v>
      </c>
      <c r="B22" s="85" t="s">
        <v>127</v>
      </c>
      <c r="C22" s="85" t="s">
        <v>20</v>
      </c>
      <c r="D22" s="85" t="s">
        <v>94</v>
      </c>
      <c r="E22" s="85">
        <v>3350</v>
      </c>
      <c r="F22" s="85">
        <v>20</v>
      </c>
      <c r="G22" s="85">
        <v>160</v>
      </c>
      <c r="H22" s="85">
        <v>30</v>
      </c>
      <c r="I22" s="85">
        <v>60</v>
      </c>
      <c r="J22" s="85">
        <f>SUM(F22:I22)</f>
        <v>270</v>
      </c>
      <c r="K22" s="106">
        <v>3080</v>
      </c>
      <c r="L22" s="85">
        <v>5</v>
      </c>
      <c r="M22" s="85" t="s">
        <v>49</v>
      </c>
      <c r="N22" s="98">
        <f>K22/E22</f>
        <v>0.91940298507462681</v>
      </c>
      <c r="O22" s="85">
        <f>J22+K22</f>
        <v>3350</v>
      </c>
      <c r="P22" s="85">
        <f>O22-E22</f>
        <v>0</v>
      </c>
    </row>
    <row r="23" spans="1:16" ht="15.75" customHeight="1">
      <c r="A23" s="198">
        <v>46195</v>
      </c>
      <c r="B23" s="85" t="s">
        <v>147</v>
      </c>
      <c r="C23" s="85" t="s">
        <v>20</v>
      </c>
      <c r="D23" s="85" t="s">
        <v>143</v>
      </c>
      <c r="E23" s="85">
        <v>200</v>
      </c>
      <c r="F23" s="85">
        <v>0</v>
      </c>
      <c r="G23" s="85">
        <v>0</v>
      </c>
      <c r="H23" s="85">
        <v>15</v>
      </c>
      <c r="I23" s="85">
        <v>5</v>
      </c>
      <c r="J23" s="85">
        <f>SUM(F23:I23)</f>
        <v>20</v>
      </c>
      <c r="K23" s="106">
        <v>180</v>
      </c>
      <c r="L23" s="85">
        <v>1</v>
      </c>
      <c r="M23" s="85" t="s">
        <v>49</v>
      </c>
      <c r="N23" s="98">
        <f>K23/E23</f>
        <v>0.9</v>
      </c>
      <c r="O23" s="85">
        <f>J23+K23</f>
        <v>200</v>
      </c>
      <c r="P23" s="85">
        <f>O23-E23</f>
        <v>0</v>
      </c>
    </row>
    <row r="24" spans="1:16" ht="13.15" customHeight="1">
      <c r="A24" s="198">
        <v>46196</v>
      </c>
      <c r="B24" s="85" t="s">
        <v>127</v>
      </c>
      <c r="C24" s="85" t="s">
        <v>20</v>
      </c>
      <c r="D24" s="85" t="s">
        <v>94</v>
      </c>
      <c r="E24" s="85">
        <v>5000</v>
      </c>
      <c r="F24" s="85">
        <v>55</v>
      </c>
      <c r="G24" s="85">
        <v>198</v>
      </c>
      <c r="H24" s="85">
        <v>25</v>
      </c>
      <c r="I24" s="85">
        <v>122</v>
      </c>
      <c r="J24" s="85">
        <f>SUM(F24:I24)</f>
        <v>400</v>
      </c>
      <c r="K24" s="106">
        <v>4600</v>
      </c>
      <c r="L24" s="85">
        <v>5</v>
      </c>
      <c r="M24" s="85" t="s">
        <v>49</v>
      </c>
      <c r="N24" s="98">
        <f>K24/E24</f>
        <v>0.92</v>
      </c>
      <c r="O24" s="85">
        <f>J24+K24</f>
        <v>5000</v>
      </c>
      <c r="P24" s="85">
        <f>O24-E24</f>
        <v>0</v>
      </c>
    </row>
    <row r="25" spans="1:16" ht="13.15" customHeight="1">
      <c r="A25" s="198">
        <v>46197</v>
      </c>
      <c r="B25" s="85" t="s">
        <v>127</v>
      </c>
      <c r="C25" s="85" t="s">
        <v>20</v>
      </c>
      <c r="D25" s="85" t="s">
        <v>94</v>
      </c>
      <c r="E25" s="85">
        <v>5500</v>
      </c>
      <c r="F25" s="99">
        <v>46</v>
      </c>
      <c r="G25" s="85">
        <v>209</v>
      </c>
      <c r="H25" s="85">
        <v>15</v>
      </c>
      <c r="I25" s="85">
        <v>110</v>
      </c>
      <c r="J25" s="85">
        <f>SUM(F25:I25)</f>
        <v>380</v>
      </c>
      <c r="K25" s="106">
        <v>5120</v>
      </c>
      <c r="L25" s="85">
        <v>5</v>
      </c>
      <c r="M25" s="85" t="s">
        <v>49</v>
      </c>
      <c r="N25" s="98">
        <f>K25/E25</f>
        <v>0.93090909090909091</v>
      </c>
      <c r="O25" s="85">
        <f>J25+K25</f>
        <v>5500</v>
      </c>
      <c r="P25" s="85">
        <f>O25-E25</f>
        <v>0</v>
      </c>
    </row>
    <row r="26" spans="1:16" ht="13.15" customHeight="1">
      <c r="A26" s="198">
        <v>46199</v>
      </c>
      <c r="B26" s="85" t="s">
        <v>127</v>
      </c>
      <c r="C26" s="85" t="s">
        <v>20</v>
      </c>
      <c r="D26" s="85" t="s">
        <v>97</v>
      </c>
      <c r="E26" s="85">
        <v>5400</v>
      </c>
      <c r="F26" s="85">
        <v>32</v>
      </c>
      <c r="G26" s="85">
        <v>210</v>
      </c>
      <c r="H26" s="85">
        <v>19</v>
      </c>
      <c r="I26" s="85">
        <v>139</v>
      </c>
      <c r="J26" s="85">
        <f>SUM(F26:I26)</f>
        <v>400</v>
      </c>
      <c r="K26" s="106">
        <v>5000</v>
      </c>
      <c r="L26" s="85">
        <v>5</v>
      </c>
      <c r="M26" s="85" t="s">
        <v>49</v>
      </c>
      <c r="N26" s="98">
        <f>K26/E26</f>
        <v>0.92592592592592593</v>
      </c>
      <c r="O26" s="85">
        <f>J26+K26</f>
        <v>5400</v>
      </c>
      <c r="P26" s="85">
        <f>O26-E26</f>
        <v>0</v>
      </c>
    </row>
    <row r="27" spans="1:16" ht="13.15" customHeight="1">
      <c r="A27" s="198">
        <v>46200</v>
      </c>
      <c r="B27" s="85" t="s">
        <v>127</v>
      </c>
      <c r="C27" s="85" t="s">
        <v>20</v>
      </c>
      <c r="D27" s="85" t="s">
        <v>105</v>
      </c>
      <c r="E27" s="85">
        <v>5500</v>
      </c>
      <c r="F27" s="85">
        <v>47</v>
      </c>
      <c r="G27" s="85">
        <v>165</v>
      </c>
      <c r="H27" s="85">
        <v>45</v>
      </c>
      <c r="I27" s="85">
        <v>143</v>
      </c>
      <c r="J27" s="85">
        <f>SUM(F27:I27)</f>
        <v>400</v>
      </c>
      <c r="K27" s="106">
        <v>5100</v>
      </c>
      <c r="L27" s="85">
        <v>5</v>
      </c>
      <c r="M27" s="85" t="s">
        <v>63</v>
      </c>
      <c r="N27" s="98">
        <f>K27/E27</f>
        <v>0.92727272727272725</v>
      </c>
      <c r="O27" s="85">
        <f>J27+K27</f>
        <v>5500</v>
      </c>
      <c r="P27" s="85">
        <f>O27-E27</f>
        <v>0</v>
      </c>
    </row>
    <row r="28" spans="1:16" ht="13.15" customHeight="1">
      <c r="A28" s="198">
        <v>46201</v>
      </c>
      <c r="B28" s="85" t="s">
        <v>127</v>
      </c>
      <c r="C28" s="85" t="s">
        <v>20</v>
      </c>
      <c r="D28" s="85" t="s">
        <v>105</v>
      </c>
      <c r="E28" s="85">
        <v>7550</v>
      </c>
      <c r="F28" s="85">
        <v>48</v>
      </c>
      <c r="G28" s="85">
        <v>205</v>
      </c>
      <c r="H28" s="85">
        <v>32</v>
      </c>
      <c r="I28" s="85">
        <v>185</v>
      </c>
      <c r="J28" s="85">
        <f>SUM(F28:I28)</f>
        <v>470</v>
      </c>
      <c r="K28" s="106">
        <v>7080</v>
      </c>
      <c r="L28" s="85">
        <v>5</v>
      </c>
      <c r="M28" s="85" t="s">
        <v>49</v>
      </c>
      <c r="N28" s="98">
        <f>K28/E28</f>
        <v>0.93774834437086096</v>
      </c>
      <c r="O28" s="85">
        <f>J28+K28</f>
        <v>7550</v>
      </c>
      <c r="P28" s="85">
        <f>O28-E28</f>
        <v>0</v>
      </c>
    </row>
    <row r="29" spans="1:16" ht="13.15" customHeight="1">
      <c r="A29" s="198">
        <v>46203</v>
      </c>
      <c r="B29" s="85" t="s">
        <v>127</v>
      </c>
      <c r="C29" s="85" t="s">
        <v>20</v>
      </c>
      <c r="D29" s="85" t="s">
        <v>105</v>
      </c>
      <c r="E29" s="85">
        <v>1700</v>
      </c>
      <c r="F29" s="85">
        <v>24</v>
      </c>
      <c r="G29" s="85">
        <v>76</v>
      </c>
      <c r="H29" s="85">
        <v>18</v>
      </c>
      <c r="I29" s="85">
        <v>42</v>
      </c>
      <c r="J29" s="85">
        <f>SUM(F29:I29)</f>
        <v>160</v>
      </c>
      <c r="K29" s="106">
        <v>1540</v>
      </c>
      <c r="L29" s="85">
        <v>5</v>
      </c>
      <c r="M29" s="85" t="s">
        <v>49</v>
      </c>
      <c r="N29" s="98">
        <f>K29/E29</f>
        <v>0.90588235294117647</v>
      </c>
      <c r="O29" s="85">
        <f>J29+K29</f>
        <v>1700</v>
      </c>
      <c r="P29" s="85">
        <f>O29-E29</f>
        <v>0</v>
      </c>
    </row>
    <row r="30" spans="1:16" ht="12.75">
      <c r="A30" s="85"/>
      <c r="B30" s="85"/>
      <c r="C30" s="85"/>
      <c r="D30" s="85"/>
      <c r="E30" s="85"/>
      <c r="F30" s="85"/>
      <c r="G30" s="85"/>
      <c r="H30" s="85"/>
      <c r="I30" s="85"/>
      <c r="J30" s="85">
        <f t="shared" ref="J4:J40" si="0">SUM(F30:I30)</f>
        <v>0</v>
      </c>
      <c r="K30" s="85"/>
      <c r="L30" s="85"/>
      <c r="M30" s="85"/>
      <c r="N30" s="98"/>
      <c r="O30" s="85">
        <f t="shared" ref="O4:O40" si="1">J30+K30</f>
        <v>0</v>
      </c>
      <c r="P30" s="85">
        <f t="shared" ref="P4:P40" si="2">O30-E30</f>
        <v>0</v>
      </c>
    </row>
    <row r="31" spans="1:16" ht="13.15">
      <c r="A31" s="85"/>
      <c r="B31" s="85"/>
      <c r="C31" s="85"/>
      <c r="D31" s="85"/>
      <c r="E31" s="85"/>
      <c r="F31" s="85"/>
      <c r="G31" s="85"/>
      <c r="H31" s="85"/>
      <c r="I31" s="85"/>
      <c r="J31" s="85">
        <f t="shared" si="0"/>
        <v>0</v>
      </c>
      <c r="K31" s="85"/>
      <c r="L31" s="85"/>
      <c r="M31" s="85"/>
      <c r="N31" s="98"/>
      <c r="O31" s="85">
        <f t="shared" si="1"/>
        <v>0</v>
      </c>
      <c r="P31" s="85">
        <f t="shared" si="2"/>
        <v>0</v>
      </c>
    </row>
    <row r="32" spans="1:16" ht="13.15">
      <c r="A32" s="85"/>
      <c r="B32" s="85"/>
      <c r="C32" s="85"/>
      <c r="D32" s="85"/>
      <c r="E32" s="85"/>
      <c r="F32" s="85"/>
      <c r="G32" s="85"/>
      <c r="H32" s="85"/>
      <c r="I32" s="85"/>
      <c r="J32" s="85">
        <f t="shared" si="0"/>
        <v>0</v>
      </c>
      <c r="K32" s="85"/>
      <c r="L32" s="85"/>
      <c r="M32" s="85"/>
      <c r="N32" s="98"/>
      <c r="O32" s="85">
        <f t="shared" si="1"/>
        <v>0</v>
      </c>
      <c r="P32" s="85">
        <f t="shared" si="2"/>
        <v>0</v>
      </c>
    </row>
    <row r="33" spans="1:16" ht="13.15">
      <c r="A33" s="85"/>
      <c r="B33" s="85"/>
      <c r="C33" s="85"/>
      <c r="D33" s="85"/>
      <c r="E33" s="85"/>
      <c r="F33" s="85"/>
      <c r="G33" s="85"/>
      <c r="H33" s="85"/>
      <c r="I33" s="85"/>
      <c r="J33" s="85">
        <f t="shared" si="0"/>
        <v>0</v>
      </c>
      <c r="K33" s="85"/>
      <c r="L33" s="85"/>
      <c r="M33" s="85"/>
      <c r="N33" s="98"/>
      <c r="O33" s="85">
        <f t="shared" si="1"/>
        <v>0</v>
      </c>
      <c r="P33" s="85">
        <f t="shared" si="2"/>
        <v>0</v>
      </c>
    </row>
    <row r="34" spans="1:16" ht="13.15">
      <c r="A34" s="85"/>
      <c r="B34" s="85"/>
      <c r="C34" s="85"/>
      <c r="D34" s="85"/>
      <c r="E34" s="85"/>
      <c r="F34" s="85"/>
      <c r="G34" s="85"/>
      <c r="H34" s="85"/>
      <c r="I34" s="85"/>
      <c r="J34" s="85">
        <f t="shared" si="0"/>
        <v>0</v>
      </c>
      <c r="K34" s="85"/>
      <c r="L34" s="85"/>
      <c r="M34" s="85"/>
      <c r="N34" s="98"/>
      <c r="O34" s="85">
        <f t="shared" si="1"/>
        <v>0</v>
      </c>
      <c r="P34" s="85">
        <f t="shared" si="2"/>
        <v>0</v>
      </c>
    </row>
    <row r="35" spans="1:16" ht="13.15">
      <c r="A35" s="85"/>
      <c r="B35" s="85"/>
      <c r="C35" s="85"/>
      <c r="D35" s="85"/>
      <c r="E35" s="85"/>
      <c r="F35" s="85"/>
      <c r="G35" s="85"/>
      <c r="H35" s="85"/>
      <c r="I35" s="85"/>
      <c r="J35" s="85">
        <f t="shared" si="0"/>
        <v>0</v>
      </c>
      <c r="K35" s="85"/>
      <c r="L35" s="85"/>
      <c r="M35" s="85"/>
      <c r="N35" s="98"/>
      <c r="O35" s="85">
        <f t="shared" si="1"/>
        <v>0</v>
      </c>
      <c r="P35" s="85">
        <f t="shared" si="2"/>
        <v>0</v>
      </c>
    </row>
    <row r="36" spans="1:16" ht="13.15">
      <c r="A36" s="85"/>
      <c r="B36" s="85"/>
      <c r="C36" s="85"/>
      <c r="D36" s="85"/>
      <c r="E36" s="85"/>
      <c r="F36" s="85"/>
      <c r="G36" s="85"/>
      <c r="H36" s="85"/>
      <c r="I36" s="85"/>
      <c r="J36" s="85">
        <f t="shared" si="0"/>
        <v>0</v>
      </c>
      <c r="K36" s="85"/>
      <c r="L36" s="85"/>
      <c r="M36" s="85"/>
      <c r="N36" s="98"/>
      <c r="O36" s="85">
        <f t="shared" si="1"/>
        <v>0</v>
      </c>
      <c r="P36" s="85">
        <f t="shared" si="2"/>
        <v>0</v>
      </c>
    </row>
    <row r="37" spans="1:16" ht="13.15">
      <c r="A37" s="85"/>
      <c r="B37" s="85"/>
      <c r="C37" s="85"/>
      <c r="D37" s="85"/>
      <c r="E37" s="85"/>
      <c r="F37" s="85"/>
      <c r="G37" s="85"/>
      <c r="H37" s="85"/>
      <c r="I37" s="85"/>
      <c r="J37" s="85">
        <f t="shared" si="0"/>
        <v>0</v>
      </c>
      <c r="K37" s="85"/>
      <c r="L37" s="85"/>
      <c r="M37" s="85"/>
      <c r="N37" s="98"/>
      <c r="O37" s="85">
        <f t="shared" si="1"/>
        <v>0</v>
      </c>
      <c r="P37" s="85">
        <f t="shared" si="2"/>
        <v>0</v>
      </c>
    </row>
    <row r="38" spans="1:16" ht="13.15">
      <c r="A38" s="85"/>
      <c r="B38" s="85"/>
      <c r="C38" s="85"/>
      <c r="D38" s="85"/>
      <c r="E38" s="85"/>
      <c r="F38" s="85"/>
      <c r="G38" s="85"/>
      <c r="H38" s="85"/>
      <c r="I38" s="85"/>
      <c r="J38" s="85">
        <f t="shared" si="0"/>
        <v>0</v>
      </c>
      <c r="K38" s="85"/>
      <c r="L38" s="85"/>
      <c r="M38" s="85"/>
      <c r="N38" s="98"/>
      <c r="O38" s="85">
        <f t="shared" si="1"/>
        <v>0</v>
      </c>
      <c r="P38" s="85">
        <f t="shared" si="2"/>
        <v>0</v>
      </c>
    </row>
    <row r="39" spans="1:16" ht="13.15">
      <c r="A39" s="85"/>
      <c r="B39" s="85"/>
      <c r="C39" s="85"/>
      <c r="D39" s="85"/>
      <c r="E39" s="85"/>
      <c r="F39" s="85"/>
      <c r="G39" s="85"/>
      <c r="H39" s="85"/>
      <c r="I39" s="85"/>
      <c r="J39" s="85">
        <f t="shared" si="0"/>
        <v>0</v>
      </c>
      <c r="K39" s="85"/>
      <c r="L39" s="85"/>
      <c r="M39" s="85"/>
      <c r="N39" s="98"/>
      <c r="O39" s="85">
        <f t="shared" si="1"/>
        <v>0</v>
      </c>
      <c r="P39" s="85">
        <f t="shared" si="2"/>
        <v>0</v>
      </c>
    </row>
    <row r="40" spans="1:16" ht="13.15">
      <c r="A40" s="85"/>
      <c r="B40" s="85"/>
      <c r="C40" s="85"/>
      <c r="D40" s="85"/>
      <c r="E40" s="85"/>
      <c r="F40" s="85"/>
      <c r="G40" s="85"/>
      <c r="H40" s="85"/>
      <c r="I40" s="85"/>
      <c r="J40" s="85">
        <f t="shared" si="0"/>
        <v>0</v>
      </c>
      <c r="K40" s="85"/>
      <c r="L40" s="85"/>
      <c r="M40" s="85"/>
      <c r="N40" s="98"/>
      <c r="O40" s="85">
        <f t="shared" si="1"/>
        <v>0</v>
      </c>
      <c r="P40" s="85">
        <f t="shared" si="2"/>
        <v>0</v>
      </c>
    </row>
    <row r="41" spans="1:16" ht="13.15">
      <c r="A41" s="18"/>
      <c r="B41" s="18"/>
      <c r="C41" s="18"/>
      <c r="D41" s="18"/>
      <c r="E41" s="18">
        <f>SUM(E4:E28)</f>
        <v>107334</v>
      </c>
      <c r="F41" s="18"/>
      <c r="G41" s="18"/>
      <c r="H41" s="18"/>
      <c r="I41" s="18"/>
      <c r="J41" s="18"/>
      <c r="K41" s="18">
        <f>SUM(K16:K25)</f>
        <v>38630</v>
      </c>
      <c r="L41" s="18"/>
      <c r="M41" s="18"/>
      <c r="N41" s="18"/>
    </row>
    <row r="42" spans="1:16" ht="13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6" ht="13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6" ht="13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6" ht="13.15">
      <c r="A45" s="18"/>
      <c r="B45" s="18"/>
      <c r="C45" s="18"/>
      <c r="D45" s="85" t="s">
        <v>22</v>
      </c>
      <c r="E45" s="85" t="s">
        <v>116</v>
      </c>
      <c r="F45" s="85" t="s">
        <v>117</v>
      </c>
      <c r="G45" s="85" t="s">
        <v>118</v>
      </c>
      <c r="H45" s="85" t="s">
        <v>119</v>
      </c>
      <c r="I45" s="18"/>
      <c r="J45" s="18"/>
      <c r="K45" s="18"/>
      <c r="L45" s="18"/>
      <c r="M45" s="18"/>
      <c r="N45" s="18"/>
    </row>
    <row r="46" spans="1:16" ht="13.15">
      <c r="A46" s="18"/>
      <c r="B46" s="18"/>
      <c r="C46" s="18"/>
      <c r="D46" s="85" t="s">
        <v>51</v>
      </c>
      <c r="E46" s="85">
        <v>42100</v>
      </c>
      <c r="F46" s="85">
        <v>38630</v>
      </c>
      <c r="G46" s="85">
        <f t="shared" ref="G46:G48" si="3">E46-F46</f>
        <v>3470</v>
      </c>
      <c r="H46" s="86">
        <f t="shared" ref="H46:H48" si="4">G46/E46%</f>
        <v>8.2422802850356298</v>
      </c>
      <c r="I46" s="18"/>
      <c r="J46" s="18"/>
      <c r="K46" s="18"/>
      <c r="L46" s="18"/>
      <c r="M46" s="18"/>
      <c r="N46" s="18"/>
    </row>
    <row r="47" spans="1:16" ht="13.15">
      <c r="A47" s="18"/>
      <c r="B47" s="18"/>
      <c r="C47" s="18"/>
      <c r="D47" s="85" t="s">
        <v>97</v>
      </c>
      <c r="E47" s="85">
        <v>63670</v>
      </c>
      <c r="F47" s="85">
        <v>59145</v>
      </c>
      <c r="G47" s="85">
        <f t="shared" si="3"/>
        <v>4525</v>
      </c>
      <c r="H47" s="86">
        <f t="shared" si="4"/>
        <v>7.1069577509030939</v>
      </c>
      <c r="I47" s="18"/>
      <c r="J47" s="18"/>
      <c r="K47" s="18"/>
      <c r="L47" s="18"/>
      <c r="M47" s="18"/>
      <c r="N47" s="18"/>
    </row>
    <row r="48" spans="1:16" ht="13.15">
      <c r="A48" s="18"/>
      <c r="B48" s="18"/>
      <c r="C48" s="18"/>
      <c r="D48" s="85" t="s">
        <v>148</v>
      </c>
      <c r="E48" s="85">
        <v>634</v>
      </c>
      <c r="F48" s="85">
        <v>600</v>
      </c>
      <c r="G48" s="85">
        <f t="shared" si="3"/>
        <v>34</v>
      </c>
      <c r="H48" s="86">
        <f t="shared" si="4"/>
        <v>5.3627760252365935</v>
      </c>
      <c r="I48" s="18"/>
      <c r="J48" s="18"/>
      <c r="K48" s="18"/>
      <c r="L48" s="18"/>
      <c r="M48" s="18"/>
      <c r="N48" s="18"/>
    </row>
  </sheetData>
  <mergeCells count="12">
    <mergeCell ref="A1:N1"/>
    <mergeCell ref="A2:A3"/>
    <mergeCell ref="B2:B3"/>
    <mergeCell ref="C2:C3"/>
    <mergeCell ref="D2:D3"/>
    <mergeCell ref="E2:E3"/>
    <mergeCell ref="J2:J3"/>
    <mergeCell ref="K2:K3"/>
    <mergeCell ref="L2:L3"/>
    <mergeCell ref="M2:M3"/>
    <mergeCell ref="N2:N3"/>
    <mergeCell ref="I2:I3"/>
  </mergeCells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5883-8341-4E53-B898-795F78E51280}">
  <sheetPr>
    <outlinePr summaryBelow="0" summaryRight="0"/>
  </sheetPr>
  <dimension ref="A1:Q39"/>
  <sheetViews>
    <sheetView showGridLines="0" workbookViewId="0">
      <pane ySplit="3" topLeftCell="A4" activePane="bottomLeft" state="frozen"/>
      <selection pane="bottomLeft" activeCell="D41" sqref="D41"/>
    </sheetView>
  </sheetViews>
  <sheetFormatPr defaultColWidth="12.5703125" defaultRowHeight="15.75" customHeight="1"/>
  <cols>
    <col min="1" max="1" width="12.5703125" style="102"/>
    <col min="4" max="4" width="16.85546875" customWidth="1"/>
    <col min="5" max="8" width="9.140625"/>
    <col min="9" max="9" width="11.42578125" customWidth="1"/>
    <col min="10" max="10" width="9.140625"/>
    <col min="11" max="11" width="9.140625" style="115"/>
    <col min="12" max="12" width="14.42578125" customWidth="1"/>
    <col min="13" max="13" width="12.5703125" bestFit="1" customWidth="1"/>
    <col min="14" max="15" width="9.140625"/>
    <col min="16" max="17" width="9.140625" bestFit="1" customWidth="1"/>
    <col min="18" max="19" width="9.140625"/>
    <col min="20" max="20" width="12.5703125" bestFit="1" customWidth="1"/>
    <col min="21" max="16383" width="9.140625"/>
    <col min="16384" max="16384" width="12.5703125" bestFit="1" customWidth="1"/>
  </cols>
  <sheetData>
    <row r="1" spans="1:17" ht="22.5" customHeight="1">
      <c r="A1" s="279" t="s">
        <v>40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8"/>
      <c r="O1" s="66"/>
    </row>
    <row r="2" spans="1:17" ht="36">
      <c r="A2" s="264" t="s">
        <v>25</v>
      </c>
      <c r="B2" s="264" t="s">
        <v>26</v>
      </c>
      <c r="C2" s="264" t="s">
        <v>27</v>
      </c>
      <c r="D2" s="264" t="s">
        <v>22</v>
      </c>
      <c r="E2" s="281" t="s">
        <v>28</v>
      </c>
      <c r="F2" s="96" t="s">
        <v>29</v>
      </c>
      <c r="G2" s="96" t="s">
        <v>30</v>
      </c>
      <c r="H2" s="96" t="s">
        <v>31</v>
      </c>
      <c r="I2" s="281" t="s">
        <v>32</v>
      </c>
      <c r="J2" s="264" t="s">
        <v>33</v>
      </c>
      <c r="K2" s="264" t="s">
        <v>34</v>
      </c>
      <c r="L2" s="264" t="s">
        <v>35</v>
      </c>
      <c r="M2" s="264" t="s">
        <v>36</v>
      </c>
      <c r="N2" s="283" t="s">
        <v>37</v>
      </c>
      <c r="O2" s="66"/>
    </row>
    <row r="3" spans="1:17" ht="18.75">
      <c r="A3" s="284"/>
      <c r="B3" s="326"/>
      <c r="C3" s="326"/>
      <c r="D3" s="326"/>
      <c r="E3" s="326"/>
      <c r="F3" s="111" t="s">
        <v>42</v>
      </c>
      <c r="G3" s="111" t="s">
        <v>43</v>
      </c>
      <c r="H3" s="111" t="s">
        <v>44</v>
      </c>
      <c r="I3" s="268"/>
      <c r="J3" s="326"/>
      <c r="K3" s="326"/>
      <c r="L3" s="326"/>
      <c r="M3" s="326"/>
      <c r="N3" s="326"/>
      <c r="O3" s="66"/>
    </row>
    <row r="4" spans="1:17" ht="13.15" customHeight="1">
      <c r="A4" s="193">
        <v>46204</v>
      </c>
      <c r="B4" s="64" t="s">
        <v>56</v>
      </c>
      <c r="C4" s="64" t="s">
        <v>132</v>
      </c>
      <c r="D4" s="64" t="s">
        <v>47</v>
      </c>
      <c r="E4" s="64">
        <v>950</v>
      </c>
      <c r="F4" s="107">
        <v>0</v>
      </c>
      <c r="G4" s="64">
        <v>0</v>
      </c>
      <c r="H4" s="64">
        <v>1</v>
      </c>
      <c r="I4" s="64">
        <v>75</v>
      </c>
      <c r="J4" s="64">
        <f>SUM(F4:I4)</f>
        <v>76</v>
      </c>
      <c r="K4" s="100">
        <v>874</v>
      </c>
      <c r="L4" s="64">
        <v>3</v>
      </c>
      <c r="M4" s="64" t="s">
        <v>53</v>
      </c>
      <c r="N4" s="109">
        <f>K4/E4</f>
        <v>0.92</v>
      </c>
      <c r="O4" s="64">
        <f>J4+K4</f>
        <v>950</v>
      </c>
      <c r="P4" s="108">
        <f>O4-E4</f>
        <v>0</v>
      </c>
    </row>
    <row r="5" spans="1:17" ht="13.15" customHeight="1">
      <c r="A5" s="193">
        <v>46204</v>
      </c>
      <c r="B5" s="64" t="s">
        <v>56</v>
      </c>
      <c r="C5" s="64" t="s">
        <v>134</v>
      </c>
      <c r="D5" s="64" t="s">
        <v>135</v>
      </c>
      <c r="E5" s="64">
        <v>1261</v>
      </c>
      <c r="F5" s="64">
        <v>2</v>
      </c>
      <c r="G5" s="64">
        <v>28</v>
      </c>
      <c r="H5" s="64">
        <v>1</v>
      </c>
      <c r="I5" s="64">
        <v>40</v>
      </c>
      <c r="J5" s="64">
        <f>SUM(F5:I5)</f>
        <v>71</v>
      </c>
      <c r="K5" s="100">
        <v>1190</v>
      </c>
      <c r="L5" s="64">
        <v>3</v>
      </c>
      <c r="M5" s="64" t="s">
        <v>53</v>
      </c>
      <c r="N5" s="109">
        <f>K5/E5</f>
        <v>0.94369547977795398</v>
      </c>
      <c r="O5" s="64">
        <f>J5+K5</f>
        <v>1261</v>
      </c>
      <c r="P5" s="108">
        <f>O5-E5</f>
        <v>0</v>
      </c>
    </row>
    <row r="6" spans="1:17" ht="13.15" customHeight="1">
      <c r="A6" s="193">
        <v>46205</v>
      </c>
      <c r="B6" s="64" t="s">
        <v>56</v>
      </c>
      <c r="C6" s="64" t="s">
        <v>132</v>
      </c>
      <c r="D6" s="64" t="s">
        <v>94</v>
      </c>
      <c r="E6" s="64">
        <v>600</v>
      </c>
      <c r="F6" s="64">
        <v>0</v>
      </c>
      <c r="G6" s="64">
        <v>2</v>
      </c>
      <c r="H6" s="64">
        <v>0.5</v>
      </c>
      <c r="I6" s="64">
        <v>51.5</v>
      </c>
      <c r="J6" s="64">
        <f>SUM(F6:I6)</f>
        <v>54</v>
      </c>
      <c r="K6" s="100">
        <v>546</v>
      </c>
      <c r="L6" s="64">
        <v>3</v>
      </c>
      <c r="M6" s="64" t="s">
        <v>53</v>
      </c>
      <c r="N6" s="109">
        <f>K6/E6</f>
        <v>0.91</v>
      </c>
      <c r="O6" s="64">
        <f>J6+K6</f>
        <v>600</v>
      </c>
      <c r="P6" s="108">
        <f>O6-E6</f>
        <v>0</v>
      </c>
    </row>
    <row r="7" spans="1:17" ht="13.15" customHeight="1">
      <c r="A7" s="193">
        <v>46205</v>
      </c>
      <c r="B7" s="64" t="s">
        <v>56</v>
      </c>
      <c r="C7" s="64" t="s">
        <v>134</v>
      </c>
      <c r="D7" s="64" t="s">
        <v>48</v>
      </c>
      <c r="E7" s="64">
        <v>600</v>
      </c>
      <c r="F7" s="64">
        <v>0</v>
      </c>
      <c r="G7" s="64">
        <v>2</v>
      </c>
      <c r="H7" s="64">
        <v>1</v>
      </c>
      <c r="I7" s="64">
        <v>19</v>
      </c>
      <c r="J7" s="64">
        <f>SUM(F7:I7)</f>
        <v>22</v>
      </c>
      <c r="K7" s="100">
        <v>578</v>
      </c>
      <c r="L7" s="64">
        <v>3</v>
      </c>
      <c r="M7" s="64" t="s">
        <v>53</v>
      </c>
      <c r="N7" s="109">
        <f>K7/E7</f>
        <v>0.96333333333333337</v>
      </c>
      <c r="O7" s="64">
        <f>J7+K7</f>
        <v>600</v>
      </c>
      <c r="P7" s="108">
        <f>O7-E7</f>
        <v>0</v>
      </c>
    </row>
    <row r="8" spans="1:17" ht="13.15" customHeight="1">
      <c r="A8" s="193">
        <v>46206</v>
      </c>
      <c r="B8" s="64" t="s">
        <v>56</v>
      </c>
      <c r="C8" s="64" t="s">
        <v>134</v>
      </c>
      <c r="D8" s="64" t="s">
        <v>135</v>
      </c>
      <c r="E8" s="64">
        <v>1649</v>
      </c>
      <c r="F8" s="64">
        <v>1</v>
      </c>
      <c r="G8" s="64">
        <v>47</v>
      </c>
      <c r="H8" s="64">
        <v>1</v>
      </c>
      <c r="I8" s="64">
        <v>45</v>
      </c>
      <c r="J8" s="64">
        <f>SUM(F8:I8)</f>
        <v>94</v>
      </c>
      <c r="K8" s="100">
        <v>1555</v>
      </c>
      <c r="L8" s="64">
        <v>3</v>
      </c>
      <c r="M8" s="64" t="s">
        <v>53</v>
      </c>
      <c r="N8" s="109">
        <f>K8/E8</f>
        <v>0.94299575500303212</v>
      </c>
      <c r="O8" s="64">
        <f>J8+K8</f>
        <v>1649</v>
      </c>
      <c r="P8" s="108">
        <f>O8-E8</f>
        <v>0</v>
      </c>
    </row>
    <row r="9" spans="1:17" ht="13.15" customHeight="1">
      <c r="A9" s="193">
        <v>46206</v>
      </c>
      <c r="B9" s="64" t="s">
        <v>56</v>
      </c>
      <c r="C9" s="64" t="s">
        <v>132</v>
      </c>
      <c r="D9" s="64" t="s">
        <v>48</v>
      </c>
      <c r="E9" s="64">
        <v>1400</v>
      </c>
      <c r="F9" s="64">
        <v>0</v>
      </c>
      <c r="G9" s="64">
        <v>32</v>
      </c>
      <c r="H9" s="64">
        <v>2</v>
      </c>
      <c r="I9" s="64">
        <v>82</v>
      </c>
      <c r="J9" s="64">
        <f>SUM(F9:I9)</f>
        <v>116</v>
      </c>
      <c r="K9" s="100">
        <v>1284</v>
      </c>
      <c r="L9" s="64">
        <v>3</v>
      </c>
      <c r="M9" s="64" t="s">
        <v>53</v>
      </c>
      <c r="N9" s="109">
        <f>K9/E9</f>
        <v>0.91714285714285715</v>
      </c>
      <c r="O9" s="64">
        <f>J9+K9</f>
        <v>1400</v>
      </c>
      <c r="P9" s="108">
        <f>O9-E9</f>
        <v>0</v>
      </c>
    </row>
    <row r="10" spans="1:17" ht="13.15" customHeight="1">
      <c r="A10" s="193">
        <v>46207</v>
      </c>
      <c r="B10" s="64" t="s">
        <v>56</v>
      </c>
      <c r="C10" s="64" t="s">
        <v>132</v>
      </c>
      <c r="D10" s="64" t="s">
        <v>133</v>
      </c>
      <c r="E10" s="64">
        <v>1200</v>
      </c>
      <c r="F10" s="64">
        <v>0</v>
      </c>
      <c r="G10" s="64">
        <v>8</v>
      </c>
      <c r="H10" s="64">
        <v>2</v>
      </c>
      <c r="I10" s="64">
        <v>90</v>
      </c>
      <c r="J10" s="64">
        <f>SUM(F10:I10)</f>
        <v>100</v>
      </c>
      <c r="K10" s="100">
        <v>1100</v>
      </c>
      <c r="L10" s="64">
        <v>3</v>
      </c>
      <c r="M10" s="64" t="s">
        <v>53</v>
      </c>
      <c r="N10" s="109">
        <f>K10/E10</f>
        <v>0.91666666666666663</v>
      </c>
      <c r="O10" s="64">
        <f>J10+K10</f>
        <v>1200</v>
      </c>
      <c r="P10" s="108">
        <f>O10-E10</f>
        <v>0</v>
      </c>
    </row>
    <row r="11" spans="1:17" ht="13.15" customHeight="1">
      <c r="A11" s="193">
        <v>46207</v>
      </c>
      <c r="B11" s="64" t="s">
        <v>56</v>
      </c>
      <c r="C11" s="64" t="s">
        <v>134</v>
      </c>
      <c r="D11" s="64" t="s">
        <v>48</v>
      </c>
      <c r="E11" s="64">
        <v>2500</v>
      </c>
      <c r="F11" s="64">
        <v>2</v>
      </c>
      <c r="G11" s="64">
        <v>80</v>
      </c>
      <c r="H11" s="64">
        <v>3</v>
      </c>
      <c r="I11" s="64">
        <v>36</v>
      </c>
      <c r="J11" s="64">
        <f>SUM(F11:I11)</f>
        <v>121</v>
      </c>
      <c r="K11" s="100">
        <v>2379</v>
      </c>
      <c r="L11" s="64">
        <v>3</v>
      </c>
      <c r="M11" s="64" t="s">
        <v>53</v>
      </c>
      <c r="N11" s="109">
        <f>K11/E11</f>
        <v>0.9516</v>
      </c>
      <c r="O11" s="64">
        <f>J11+K11</f>
        <v>2500</v>
      </c>
      <c r="P11" s="108">
        <f>O11-E11</f>
        <v>0</v>
      </c>
    </row>
    <row r="12" spans="1:17" ht="13.15" customHeight="1">
      <c r="A12" s="193">
        <v>46209</v>
      </c>
      <c r="B12" s="64" t="s">
        <v>56</v>
      </c>
      <c r="C12" s="64" t="s">
        <v>134</v>
      </c>
      <c r="D12" s="64" t="s">
        <v>48</v>
      </c>
      <c r="E12" s="64">
        <v>1200</v>
      </c>
      <c r="F12" s="64">
        <v>0</v>
      </c>
      <c r="G12" s="64">
        <v>22</v>
      </c>
      <c r="H12" s="64">
        <v>3</v>
      </c>
      <c r="I12" s="64">
        <v>20</v>
      </c>
      <c r="J12" s="64">
        <f>SUM(F12:I12)</f>
        <v>45</v>
      </c>
      <c r="K12" s="100">
        <v>1155</v>
      </c>
      <c r="L12" s="64">
        <v>3</v>
      </c>
      <c r="M12" s="64" t="s">
        <v>53</v>
      </c>
      <c r="N12" s="109">
        <f>K12/E12</f>
        <v>0.96250000000000002</v>
      </c>
      <c r="O12" s="64">
        <f>J12+K12</f>
        <v>1200</v>
      </c>
      <c r="P12" s="108">
        <f>O12-E12</f>
        <v>0</v>
      </c>
    </row>
    <row r="13" spans="1:17" ht="13.15" customHeight="1">
      <c r="A13" s="193">
        <v>46210</v>
      </c>
      <c r="B13" s="64" t="s">
        <v>56</v>
      </c>
      <c r="C13" s="64" t="s">
        <v>134</v>
      </c>
      <c r="D13" s="64" t="s">
        <v>135</v>
      </c>
      <c r="E13" s="64">
        <v>3395</v>
      </c>
      <c r="F13" s="64">
        <v>5</v>
      </c>
      <c r="G13" s="64">
        <v>65</v>
      </c>
      <c r="H13" s="64">
        <v>3</v>
      </c>
      <c r="I13" s="64">
        <v>103</v>
      </c>
      <c r="J13" s="64">
        <f>SUM(F13:I13)</f>
        <v>176</v>
      </c>
      <c r="K13" s="100">
        <v>3219</v>
      </c>
      <c r="L13" s="64">
        <v>3</v>
      </c>
      <c r="M13" s="64" t="s">
        <v>53</v>
      </c>
      <c r="N13" s="109">
        <f>K13/E13</f>
        <v>0.94815905743740792</v>
      </c>
      <c r="O13" s="64">
        <f>J13+K13</f>
        <v>3395</v>
      </c>
      <c r="P13" s="108">
        <f>O13-E13</f>
        <v>0</v>
      </c>
    </row>
    <row r="14" spans="1:17" ht="13.15" customHeight="1">
      <c r="A14" s="193">
        <v>46211</v>
      </c>
      <c r="B14" s="64" t="s">
        <v>56</v>
      </c>
      <c r="C14" s="64" t="s">
        <v>134</v>
      </c>
      <c r="D14" s="64" t="s">
        <v>135</v>
      </c>
      <c r="E14" s="64">
        <v>3395</v>
      </c>
      <c r="F14" s="64">
        <v>5</v>
      </c>
      <c r="G14" s="64">
        <v>94</v>
      </c>
      <c r="H14" s="64">
        <v>2</v>
      </c>
      <c r="I14" s="64">
        <v>85</v>
      </c>
      <c r="J14" s="64">
        <f>SUM(F14:I14)</f>
        <v>186</v>
      </c>
      <c r="K14" s="100">
        <v>3209</v>
      </c>
      <c r="L14" s="64">
        <v>3</v>
      </c>
      <c r="M14" s="64" t="s">
        <v>53</v>
      </c>
      <c r="N14" s="109">
        <f>K14/E14</f>
        <v>0.94521354933726065</v>
      </c>
      <c r="O14" s="64">
        <f>J14+K14</f>
        <v>3395</v>
      </c>
      <c r="P14" s="108">
        <f>O14-E14</f>
        <v>0</v>
      </c>
    </row>
    <row r="15" spans="1:17" ht="15.75" customHeight="1">
      <c r="A15" s="193">
        <v>46212</v>
      </c>
      <c r="B15" s="64" t="s">
        <v>56</v>
      </c>
      <c r="C15" s="64" t="s">
        <v>132</v>
      </c>
      <c r="D15" s="64" t="s">
        <v>133</v>
      </c>
      <c r="E15" s="64">
        <v>1650</v>
      </c>
      <c r="F15" s="64">
        <v>0</v>
      </c>
      <c r="G15" s="64">
        <v>35</v>
      </c>
      <c r="H15" s="64">
        <v>2</v>
      </c>
      <c r="I15" s="64">
        <v>123</v>
      </c>
      <c r="J15" s="64">
        <f>SUM(F15:I15)</f>
        <v>160</v>
      </c>
      <c r="K15" s="100">
        <v>1490</v>
      </c>
      <c r="L15" s="64">
        <v>3</v>
      </c>
      <c r="M15" s="64" t="s">
        <v>53</v>
      </c>
      <c r="N15" s="109">
        <f>K15/E15</f>
        <v>0.90303030303030307</v>
      </c>
      <c r="O15" s="64">
        <f>J15+K15</f>
        <v>1650</v>
      </c>
      <c r="P15" s="108">
        <f>O15-E15</f>
        <v>0</v>
      </c>
      <c r="Q15" s="323"/>
    </row>
    <row r="16" spans="1:17" ht="13.15" customHeight="1">
      <c r="A16" s="193">
        <v>46213</v>
      </c>
      <c r="B16" s="64" t="s">
        <v>56</v>
      </c>
      <c r="C16" s="64" t="s">
        <v>134</v>
      </c>
      <c r="D16" s="64" t="s">
        <v>135</v>
      </c>
      <c r="E16" s="64">
        <v>3589</v>
      </c>
      <c r="F16" s="64">
        <v>0</v>
      </c>
      <c r="G16" s="64">
        <v>89</v>
      </c>
      <c r="H16" s="64">
        <v>3</v>
      </c>
      <c r="I16" s="64">
        <v>182</v>
      </c>
      <c r="J16" s="64">
        <f>SUM(F16:I16)</f>
        <v>274</v>
      </c>
      <c r="K16" s="100">
        <v>3315</v>
      </c>
      <c r="L16" s="64">
        <v>3</v>
      </c>
      <c r="M16" s="64" t="s">
        <v>53</v>
      </c>
      <c r="N16" s="109">
        <f>K16/E16</f>
        <v>0.92365561437726384</v>
      </c>
      <c r="O16" s="64">
        <f>J16+K16</f>
        <v>3589</v>
      </c>
      <c r="P16" s="108">
        <f>O16-E16</f>
        <v>0</v>
      </c>
      <c r="Q16" s="323"/>
    </row>
    <row r="17" spans="1:16" ht="15.75" customHeight="1">
      <c r="A17" s="193">
        <v>46214</v>
      </c>
      <c r="B17" s="64" t="s">
        <v>56</v>
      </c>
      <c r="C17" s="64" t="s">
        <v>134</v>
      </c>
      <c r="D17" s="64" t="s">
        <v>135</v>
      </c>
      <c r="E17" s="64">
        <v>3831.5</v>
      </c>
      <c r="F17" s="64">
        <v>5</v>
      </c>
      <c r="G17" s="64">
        <v>105</v>
      </c>
      <c r="H17" s="64">
        <v>3</v>
      </c>
      <c r="I17" s="64">
        <v>136.5</v>
      </c>
      <c r="J17" s="64">
        <f>SUM(F17:I17)</f>
        <v>249.5</v>
      </c>
      <c r="K17" s="100">
        <v>3582</v>
      </c>
      <c r="L17" s="64">
        <v>3</v>
      </c>
      <c r="M17" s="64" t="s">
        <v>53</v>
      </c>
      <c r="N17" s="109">
        <f>K17/E17</f>
        <v>0.93488190003914917</v>
      </c>
      <c r="O17" s="64">
        <f>J17+K17</f>
        <v>3831.5</v>
      </c>
      <c r="P17" s="108">
        <f>O17-E17</f>
        <v>0</v>
      </c>
    </row>
    <row r="18" spans="1:16" ht="15.75" customHeight="1">
      <c r="A18" s="193">
        <v>46216</v>
      </c>
      <c r="B18" s="64" t="s">
        <v>56</v>
      </c>
      <c r="C18" s="64" t="s">
        <v>134</v>
      </c>
      <c r="D18" s="64" t="s">
        <v>135</v>
      </c>
      <c r="E18" s="64">
        <v>582</v>
      </c>
      <c r="F18" s="64">
        <v>0</v>
      </c>
      <c r="G18" s="64">
        <v>13</v>
      </c>
      <c r="H18" s="64">
        <v>1</v>
      </c>
      <c r="I18" s="64">
        <v>33</v>
      </c>
      <c r="J18" s="64">
        <f>SUM(F18:I18)</f>
        <v>47</v>
      </c>
      <c r="K18" s="100">
        <v>535</v>
      </c>
      <c r="L18" s="64">
        <v>3</v>
      </c>
      <c r="M18" s="64" t="s">
        <v>53</v>
      </c>
      <c r="N18" s="109">
        <f>K18/E18</f>
        <v>0.91924398625429549</v>
      </c>
      <c r="O18" s="64">
        <f>J18+K18</f>
        <v>582</v>
      </c>
      <c r="P18" s="108">
        <f>O18-E18</f>
        <v>0</v>
      </c>
    </row>
    <row r="19" spans="1:16" ht="13.15" customHeight="1">
      <c r="A19" s="193">
        <v>46216</v>
      </c>
      <c r="B19" s="64" t="s">
        <v>56</v>
      </c>
      <c r="C19" s="64" t="s">
        <v>134</v>
      </c>
      <c r="D19" s="64" t="s">
        <v>47</v>
      </c>
      <c r="E19" s="64">
        <v>1471</v>
      </c>
      <c r="F19" s="64">
        <v>0</v>
      </c>
      <c r="G19" s="64">
        <v>10</v>
      </c>
      <c r="H19" s="64">
        <v>2</v>
      </c>
      <c r="I19" s="64">
        <v>82</v>
      </c>
      <c r="J19" s="64">
        <f>SUM(F19:I19)</f>
        <v>94</v>
      </c>
      <c r="K19" s="100">
        <v>1377</v>
      </c>
      <c r="L19" s="64">
        <v>3</v>
      </c>
      <c r="M19" s="64" t="s">
        <v>53</v>
      </c>
      <c r="N19" s="109">
        <f>K19/E19</f>
        <v>0.93609789259007481</v>
      </c>
      <c r="O19" s="64">
        <f>J19+K19</f>
        <v>1471</v>
      </c>
      <c r="P19" s="108">
        <f>O19-E19</f>
        <v>0</v>
      </c>
    </row>
    <row r="20" spans="1:16" ht="15.75" customHeight="1">
      <c r="A20" s="193">
        <v>46217</v>
      </c>
      <c r="B20" s="64" t="s">
        <v>56</v>
      </c>
      <c r="C20" s="64" t="s">
        <v>134</v>
      </c>
      <c r="D20" s="64" t="s">
        <v>48</v>
      </c>
      <c r="E20" s="64">
        <v>400</v>
      </c>
      <c r="F20" s="64">
        <v>0</v>
      </c>
      <c r="G20" s="64">
        <v>3</v>
      </c>
      <c r="H20" s="64">
        <v>1</v>
      </c>
      <c r="I20" s="64">
        <v>28</v>
      </c>
      <c r="J20" s="64">
        <f>SUM(F20:I20)</f>
        <v>32</v>
      </c>
      <c r="K20" s="100">
        <v>368</v>
      </c>
      <c r="L20" s="64">
        <v>2</v>
      </c>
      <c r="M20" s="64" t="s">
        <v>53</v>
      </c>
      <c r="N20" s="109">
        <f>K20/E20</f>
        <v>0.92</v>
      </c>
      <c r="O20" s="64">
        <f>J20+K20</f>
        <v>400</v>
      </c>
      <c r="P20" s="108">
        <f>O20-E20</f>
        <v>0</v>
      </c>
    </row>
    <row r="21" spans="1:16" ht="13.15" customHeight="1">
      <c r="A21" s="193">
        <v>46218</v>
      </c>
      <c r="B21" s="64" t="s">
        <v>56</v>
      </c>
      <c r="C21" s="64" t="s">
        <v>134</v>
      </c>
      <c r="D21" s="64" t="s">
        <v>94</v>
      </c>
      <c r="E21" s="64">
        <v>1050</v>
      </c>
      <c r="F21" s="64">
        <v>0</v>
      </c>
      <c r="G21" s="64">
        <v>14</v>
      </c>
      <c r="H21" s="64">
        <v>2</v>
      </c>
      <c r="I21" s="64">
        <v>77</v>
      </c>
      <c r="J21" s="64">
        <f>SUM(F21:I21)</f>
        <v>93</v>
      </c>
      <c r="K21" s="100">
        <v>957</v>
      </c>
      <c r="L21" s="64">
        <v>2</v>
      </c>
      <c r="M21" s="64" t="s">
        <v>53</v>
      </c>
      <c r="N21" s="109">
        <f>K21/E21</f>
        <v>0.91142857142857148</v>
      </c>
      <c r="O21" s="64">
        <f>J21+K21</f>
        <v>1050</v>
      </c>
      <c r="P21" s="108">
        <f>O21-E21</f>
        <v>0</v>
      </c>
    </row>
    <row r="22" spans="1:16" ht="13.15" customHeight="1">
      <c r="A22" s="192">
        <v>46219</v>
      </c>
      <c r="B22" s="64" t="s">
        <v>56</v>
      </c>
      <c r="C22" s="64" t="s">
        <v>134</v>
      </c>
      <c r="D22" s="64" t="s">
        <v>94</v>
      </c>
      <c r="E22" s="64">
        <v>2250</v>
      </c>
      <c r="F22" s="64">
        <v>1</v>
      </c>
      <c r="G22" s="64">
        <v>51</v>
      </c>
      <c r="H22" s="64">
        <v>1</v>
      </c>
      <c r="I22" s="64">
        <v>50</v>
      </c>
      <c r="J22" s="64">
        <f>SUM(F22:I22)</f>
        <v>103</v>
      </c>
      <c r="K22" s="100">
        <v>2147</v>
      </c>
      <c r="L22" s="64">
        <v>3</v>
      </c>
      <c r="M22" s="64" t="s">
        <v>53</v>
      </c>
      <c r="N22" s="109">
        <f>K22/E22</f>
        <v>0.95422222222222219</v>
      </c>
      <c r="O22" s="64">
        <f>J22+K22</f>
        <v>2250</v>
      </c>
      <c r="P22" s="108">
        <f>O22-E22</f>
        <v>0</v>
      </c>
    </row>
    <row r="23" spans="1:16" ht="13.15" customHeight="1">
      <c r="A23" s="192">
        <v>46220</v>
      </c>
      <c r="B23" s="64" t="s">
        <v>56</v>
      </c>
      <c r="C23" s="64" t="s">
        <v>132</v>
      </c>
      <c r="D23" s="64" t="s">
        <v>133</v>
      </c>
      <c r="E23" s="64">
        <v>300</v>
      </c>
      <c r="F23" s="64">
        <v>0</v>
      </c>
      <c r="G23" s="64">
        <v>3</v>
      </c>
      <c r="H23" s="64">
        <v>0.5</v>
      </c>
      <c r="I23" s="64">
        <v>13.5</v>
      </c>
      <c r="J23" s="64">
        <f>SUM(F23:I23)</f>
        <v>17</v>
      </c>
      <c r="K23" s="100">
        <v>283</v>
      </c>
      <c r="L23" s="64">
        <v>3</v>
      </c>
      <c r="M23" s="64" t="s">
        <v>53</v>
      </c>
      <c r="N23" s="109">
        <f>K23/E23</f>
        <v>0.94333333333333336</v>
      </c>
      <c r="O23" s="64">
        <f>J23+K23</f>
        <v>300</v>
      </c>
      <c r="P23" s="108">
        <f>O23-E23</f>
        <v>0</v>
      </c>
    </row>
    <row r="24" spans="1:16" ht="13.15" customHeight="1">
      <c r="A24" s="192">
        <v>46220</v>
      </c>
      <c r="B24" s="64" t="s">
        <v>56</v>
      </c>
      <c r="C24" s="64" t="s">
        <v>134</v>
      </c>
      <c r="D24" s="64" t="s">
        <v>94</v>
      </c>
      <c r="E24" s="64">
        <v>410</v>
      </c>
      <c r="F24" s="64">
        <v>0</v>
      </c>
      <c r="G24" s="64">
        <v>5</v>
      </c>
      <c r="H24" s="64">
        <v>0.5</v>
      </c>
      <c r="I24" s="64">
        <v>16.5</v>
      </c>
      <c r="J24" s="64">
        <f>SUM(F24:I24)</f>
        <v>22</v>
      </c>
      <c r="K24" s="100">
        <v>388</v>
      </c>
      <c r="L24" s="64">
        <v>3</v>
      </c>
      <c r="M24" s="64" t="s">
        <v>53</v>
      </c>
      <c r="N24" s="109">
        <f>K24/E24</f>
        <v>0.9463414634146341</v>
      </c>
      <c r="O24" s="64">
        <f>J24+K24</f>
        <v>410</v>
      </c>
      <c r="P24" s="108">
        <f>O24-E24</f>
        <v>0</v>
      </c>
    </row>
    <row r="25" spans="1:16" ht="13.15" customHeight="1">
      <c r="A25" s="192">
        <v>46223</v>
      </c>
      <c r="B25" s="64" t="s">
        <v>56</v>
      </c>
      <c r="C25" s="64" t="s">
        <v>132</v>
      </c>
      <c r="D25" s="64" t="s">
        <v>133</v>
      </c>
      <c r="E25" s="64">
        <v>62</v>
      </c>
      <c r="F25" s="64">
        <v>0</v>
      </c>
      <c r="G25" s="64">
        <v>0</v>
      </c>
      <c r="H25" s="64">
        <v>0</v>
      </c>
      <c r="I25" s="64">
        <v>4</v>
      </c>
      <c r="J25" s="64">
        <f>SUM(F25:I25)</f>
        <v>4</v>
      </c>
      <c r="K25" s="107">
        <v>58</v>
      </c>
      <c r="L25" s="64">
        <v>3</v>
      </c>
      <c r="M25" s="64" t="s">
        <v>53</v>
      </c>
      <c r="N25" s="109">
        <f>K25/E25</f>
        <v>0.93548387096774188</v>
      </c>
      <c r="O25" s="64">
        <f>J25+K25</f>
        <v>62</v>
      </c>
      <c r="P25" s="108">
        <f>O25-E25</f>
        <v>0</v>
      </c>
    </row>
    <row r="26" spans="1:16" ht="13.15" customHeight="1">
      <c r="A26" s="192">
        <v>46224</v>
      </c>
      <c r="B26" s="64" t="s">
        <v>56</v>
      </c>
      <c r="C26" s="64" t="s">
        <v>132</v>
      </c>
      <c r="D26" s="64" t="s">
        <v>48</v>
      </c>
      <c r="E26" s="64">
        <v>1000</v>
      </c>
      <c r="F26" s="64">
        <v>2</v>
      </c>
      <c r="G26" s="64">
        <v>16</v>
      </c>
      <c r="H26" s="64">
        <v>1</v>
      </c>
      <c r="I26" s="64">
        <v>46</v>
      </c>
      <c r="J26" s="64">
        <f>SUM(F26:I26)</f>
        <v>65</v>
      </c>
      <c r="K26" s="100">
        <v>935</v>
      </c>
      <c r="L26" s="64">
        <v>3</v>
      </c>
      <c r="M26" s="64" t="s">
        <v>53</v>
      </c>
      <c r="N26" s="109">
        <f>K26/E26</f>
        <v>0.93500000000000005</v>
      </c>
      <c r="O26" s="64">
        <f>J26+K26</f>
        <v>1000</v>
      </c>
      <c r="P26" s="108">
        <f>O26-E26</f>
        <v>0</v>
      </c>
    </row>
    <row r="27" spans="1:16" ht="13.15" customHeight="1">
      <c r="A27" s="192">
        <v>46225</v>
      </c>
      <c r="B27" s="64" t="s">
        <v>56</v>
      </c>
      <c r="C27" s="64" t="s">
        <v>134</v>
      </c>
      <c r="D27" s="64" t="s">
        <v>149</v>
      </c>
      <c r="E27" s="64">
        <v>1615</v>
      </c>
      <c r="F27" s="64">
        <v>1</v>
      </c>
      <c r="G27" s="64">
        <v>39</v>
      </c>
      <c r="H27" s="64">
        <v>1</v>
      </c>
      <c r="I27" s="64">
        <v>54</v>
      </c>
      <c r="J27" s="64">
        <f>SUM(F27:I27)</f>
        <v>95</v>
      </c>
      <c r="K27" s="100">
        <v>1520</v>
      </c>
      <c r="L27" s="64">
        <v>3</v>
      </c>
      <c r="M27" s="64" t="s">
        <v>53</v>
      </c>
      <c r="N27" s="109">
        <f>K27/E27</f>
        <v>0.94117647058823528</v>
      </c>
      <c r="O27" s="64">
        <f>J27+K27</f>
        <v>1615</v>
      </c>
      <c r="P27" s="108">
        <f>O27-E27</f>
        <v>0</v>
      </c>
    </row>
    <row r="28" spans="1:16" ht="13.15" customHeight="1">
      <c r="A28" s="192">
        <v>46225</v>
      </c>
      <c r="B28" s="64" t="s">
        <v>56</v>
      </c>
      <c r="C28" s="64" t="s">
        <v>132</v>
      </c>
      <c r="D28" s="64" t="s">
        <v>135</v>
      </c>
      <c r="E28" s="64">
        <v>2473.5</v>
      </c>
      <c r="F28" s="64">
        <v>2</v>
      </c>
      <c r="G28" s="64">
        <v>78</v>
      </c>
      <c r="H28" s="64">
        <v>3</v>
      </c>
      <c r="I28" s="64">
        <v>67.5</v>
      </c>
      <c r="J28" s="64">
        <f>SUM(F28:I28)</f>
        <v>150.5</v>
      </c>
      <c r="K28" s="100">
        <v>2323</v>
      </c>
      <c r="L28" s="64">
        <v>3</v>
      </c>
      <c r="M28" s="64" t="s">
        <v>53</v>
      </c>
      <c r="N28" s="109">
        <f>K28/E28</f>
        <v>0.93915504346068324</v>
      </c>
      <c r="O28" s="64">
        <f>J28+K28</f>
        <v>2473.5</v>
      </c>
      <c r="P28" s="108">
        <f>O28-E28</f>
        <v>0</v>
      </c>
    </row>
    <row r="29" spans="1:16" ht="13.15" customHeight="1">
      <c r="A29" s="192">
        <v>46227</v>
      </c>
      <c r="B29" s="64" t="s">
        <v>56</v>
      </c>
      <c r="C29" s="64" t="s">
        <v>132</v>
      </c>
      <c r="D29" s="64" t="s">
        <v>133</v>
      </c>
      <c r="E29" s="64">
        <v>1000</v>
      </c>
      <c r="F29" s="64">
        <v>0</v>
      </c>
      <c r="G29" s="64">
        <v>10</v>
      </c>
      <c r="H29" s="64">
        <v>1</v>
      </c>
      <c r="I29" s="64">
        <v>70</v>
      </c>
      <c r="J29" s="64">
        <f>SUM(F29:I29)</f>
        <v>81</v>
      </c>
      <c r="K29" s="100">
        <v>919</v>
      </c>
      <c r="L29" s="64">
        <v>3</v>
      </c>
      <c r="M29" s="64" t="s">
        <v>53</v>
      </c>
      <c r="N29" s="109">
        <f>K29/E29</f>
        <v>0.91900000000000004</v>
      </c>
      <c r="O29" s="64">
        <f>J29+K29</f>
        <v>1000</v>
      </c>
      <c r="P29" s="108">
        <f>O29-E29</f>
        <v>0</v>
      </c>
    </row>
    <row r="30" spans="1:16" ht="13.15" customHeight="1">
      <c r="A30" s="192">
        <v>46228</v>
      </c>
      <c r="B30" s="64" t="s">
        <v>56</v>
      </c>
      <c r="C30" s="64" t="s">
        <v>134</v>
      </c>
      <c r="D30" s="64" t="s">
        <v>150</v>
      </c>
      <c r="E30" s="64">
        <v>3007</v>
      </c>
      <c r="F30" s="64">
        <v>1</v>
      </c>
      <c r="G30" s="64">
        <v>77</v>
      </c>
      <c r="H30" s="64">
        <v>2</v>
      </c>
      <c r="I30" s="64">
        <v>83</v>
      </c>
      <c r="J30" s="64">
        <f>SUM(F30:I30)</f>
        <v>163</v>
      </c>
      <c r="K30" s="100">
        <v>2844</v>
      </c>
      <c r="L30" s="64">
        <v>2</v>
      </c>
      <c r="M30" s="64" t="s">
        <v>53</v>
      </c>
      <c r="N30" s="109">
        <f>K30/E30</f>
        <v>0.94579314931825742</v>
      </c>
      <c r="O30" s="64">
        <f>J30+K30</f>
        <v>3007</v>
      </c>
      <c r="P30" s="108">
        <f>O30-E30</f>
        <v>0</v>
      </c>
    </row>
    <row r="31" spans="1:16" ht="13.15" customHeight="1">
      <c r="A31" s="192">
        <v>46231</v>
      </c>
      <c r="B31" s="64" t="s">
        <v>56</v>
      </c>
      <c r="C31" s="64" t="s">
        <v>132</v>
      </c>
      <c r="D31" s="64" t="s">
        <v>150</v>
      </c>
      <c r="E31" s="64">
        <v>3928.5</v>
      </c>
      <c r="F31" s="64">
        <v>1</v>
      </c>
      <c r="G31" s="64">
        <v>80</v>
      </c>
      <c r="H31" s="64">
        <v>2</v>
      </c>
      <c r="I31" s="64">
        <v>216.5</v>
      </c>
      <c r="J31" s="64">
        <f>SUM(F31:I31)</f>
        <v>299.5</v>
      </c>
      <c r="K31" s="100">
        <v>3629</v>
      </c>
      <c r="L31" s="64">
        <v>3</v>
      </c>
      <c r="M31" s="64" t="s">
        <v>53</v>
      </c>
      <c r="N31" s="109">
        <f>K31/E31</f>
        <v>0.92376225022273128</v>
      </c>
      <c r="O31" s="64">
        <f>J31+K31</f>
        <v>3928.5</v>
      </c>
      <c r="P31" s="108">
        <f>O31-E31</f>
        <v>0</v>
      </c>
    </row>
    <row r="32" spans="1:16" ht="13.15" customHeight="1">
      <c r="A32" s="192">
        <v>46232</v>
      </c>
      <c r="B32" s="64" t="s">
        <v>56</v>
      </c>
      <c r="C32" s="64" t="s">
        <v>134</v>
      </c>
      <c r="D32" s="64" t="s">
        <v>94</v>
      </c>
      <c r="E32" s="64">
        <v>100</v>
      </c>
      <c r="F32" s="64">
        <v>0</v>
      </c>
      <c r="G32" s="64">
        <v>3</v>
      </c>
      <c r="H32" s="64">
        <v>0</v>
      </c>
      <c r="I32" s="64">
        <v>7</v>
      </c>
      <c r="J32" s="64">
        <f>SUM(F32:I32)</f>
        <v>10</v>
      </c>
      <c r="K32" s="100">
        <v>90</v>
      </c>
      <c r="L32" s="64">
        <v>3</v>
      </c>
      <c r="M32" s="64" t="s">
        <v>53</v>
      </c>
      <c r="N32" s="109">
        <f>K32/E32</f>
        <v>0.9</v>
      </c>
      <c r="O32" s="64">
        <f>J32+K32</f>
        <v>100</v>
      </c>
      <c r="P32" s="108">
        <f>O32-E32</f>
        <v>0</v>
      </c>
    </row>
    <row r="33" spans="1:16" ht="13.15" customHeight="1">
      <c r="A33" s="192">
        <v>46232</v>
      </c>
      <c r="B33" s="64" t="s">
        <v>56</v>
      </c>
      <c r="C33" s="64" t="s">
        <v>132</v>
      </c>
      <c r="D33" s="64" t="s">
        <v>47</v>
      </c>
      <c r="E33" s="64">
        <v>300</v>
      </c>
      <c r="F33" s="64">
        <v>0</v>
      </c>
      <c r="G33" s="64">
        <v>3</v>
      </c>
      <c r="H33" s="64">
        <v>0</v>
      </c>
      <c r="I33" s="64">
        <v>16</v>
      </c>
      <c r="J33" s="64">
        <f>SUM(F33:I33)</f>
        <v>19</v>
      </c>
      <c r="K33" s="100">
        <v>281</v>
      </c>
      <c r="L33" s="64">
        <v>3</v>
      </c>
      <c r="M33" s="64" t="s">
        <v>53</v>
      </c>
      <c r="N33" s="109">
        <f>K33/E33</f>
        <v>0.93666666666666665</v>
      </c>
      <c r="O33" s="64">
        <f>J33+K33</f>
        <v>300</v>
      </c>
      <c r="P33" s="108">
        <f>O33-E33</f>
        <v>0</v>
      </c>
    </row>
    <row r="34" spans="1:16" ht="13.15" customHeight="1">
      <c r="A34" s="192">
        <v>46233</v>
      </c>
      <c r="B34" s="64" t="s">
        <v>56</v>
      </c>
      <c r="C34" s="64" t="s">
        <v>132</v>
      </c>
      <c r="D34" s="64" t="s">
        <v>133</v>
      </c>
      <c r="E34" s="64">
        <v>990</v>
      </c>
      <c r="F34" s="107">
        <v>0</v>
      </c>
      <c r="G34" s="64">
        <v>35</v>
      </c>
      <c r="H34" s="64">
        <v>1</v>
      </c>
      <c r="I34" s="64">
        <v>62</v>
      </c>
      <c r="J34" s="64">
        <f>SUM(F34:I34)</f>
        <v>98</v>
      </c>
      <c r="K34" s="100">
        <v>892</v>
      </c>
      <c r="L34" s="64">
        <v>2</v>
      </c>
      <c r="M34" s="64" t="s">
        <v>53</v>
      </c>
      <c r="N34" s="109">
        <f>K34/E34</f>
        <v>0.90101010101010104</v>
      </c>
      <c r="O34" s="64">
        <f>J34+K34</f>
        <v>990</v>
      </c>
      <c r="P34" s="108">
        <f>O34-E34</f>
        <v>0</v>
      </c>
    </row>
    <row r="35" spans="1:16" ht="13.15" customHeight="1">
      <c r="A35" s="192">
        <v>46234</v>
      </c>
      <c r="B35" s="64" t="s">
        <v>56</v>
      </c>
      <c r="C35" s="64" t="s">
        <v>132</v>
      </c>
      <c r="D35" s="64" t="s">
        <v>133</v>
      </c>
      <c r="E35" s="64">
        <v>210</v>
      </c>
      <c r="F35" s="64">
        <v>0</v>
      </c>
      <c r="G35" s="64">
        <v>4</v>
      </c>
      <c r="H35" s="64">
        <v>1</v>
      </c>
      <c r="I35" s="64">
        <v>13</v>
      </c>
      <c r="J35" s="64">
        <f>SUM(F35:I35)</f>
        <v>18</v>
      </c>
      <c r="K35" s="107">
        <v>192</v>
      </c>
      <c r="L35" s="64">
        <v>3</v>
      </c>
      <c r="M35" s="64" t="s">
        <v>53</v>
      </c>
      <c r="N35" s="109">
        <f>K35/E35</f>
        <v>0.91428571428571426</v>
      </c>
      <c r="O35" s="64">
        <f>J35+K35</f>
        <v>210</v>
      </c>
      <c r="P35" s="108">
        <f>O35-E35</f>
        <v>0</v>
      </c>
    </row>
    <row r="36" spans="1:16" ht="13.15" customHeight="1">
      <c r="A36" s="192">
        <v>46234</v>
      </c>
      <c r="B36" s="64" t="s">
        <v>56</v>
      </c>
      <c r="C36" s="64" t="s">
        <v>134</v>
      </c>
      <c r="D36" s="64" t="s">
        <v>150</v>
      </c>
      <c r="E36" s="64">
        <v>4171</v>
      </c>
      <c r="F36" s="64">
        <v>2</v>
      </c>
      <c r="G36" s="64">
        <v>137</v>
      </c>
      <c r="H36" s="64">
        <v>3</v>
      </c>
      <c r="I36" s="64">
        <v>119</v>
      </c>
      <c r="J36" s="64">
        <f>SUM(F36:I36)</f>
        <v>261</v>
      </c>
      <c r="K36" s="100">
        <v>3910</v>
      </c>
      <c r="L36" s="64">
        <v>3</v>
      </c>
      <c r="M36" s="64" t="s">
        <v>53</v>
      </c>
      <c r="N36" s="109">
        <f>K36/E36</f>
        <v>0.93742507791896423</v>
      </c>
      <c r="O36" s="64">
        <f>J36+K36</f>
        <v>4171</v>
      </c>
      <c r="P36" s="108">
        <f>O36-E36</f>
        <v>0</v>
      </c>
    </row>
    <row r="37" spans="1:16" ht="12.75">
      <c r="A37" s="64"/>
      <c r="B37" s="64"/>
      <c r="C37" s="64"/>
      <c r="D37" s="64"/>
      <c r="E37" s="64"/>
      <c r="F37" s="64"/>
      <c r="G37" s="64"/>
      <c r="H37" s="64"/>
      <c r="I37" s="64"/>
      <c r="J37" s="64">
        <f t="shared" ref="J4:J39" si="0">SUM(F37:I37)</f>
        <v>0</v>
      </c>
      <c r="K37" s="107"/>
      <c r="L37" s="64"/>
      <c r="M37" s="64"/>
      <c r="N37" s="109" t="e">
        <f t="shared" ref="N18:N38" si="1">K37/E37</f>
        <v>#DIV/0!</v>
      </c>
      <c r="O37" s="64">
        <f t="shared" ref="O4:O39" si="2">J37+K37</f>
        <v>0</v>
      </c>
      <c r="P37" s="108">
        <f t="shared" ref="P4:P39" si="3">O37-E37</f>
        <v>0</v>
      </c>
    </row>
    <row r="38" spans="1:16" ht="13.15">
      <c r="A38" s="64"/>
      <c r="B38" s="64"/>
      <c r="C38" s="64"/>
      <c r="D38" s="64"/>
      <c r="E38" s="64"/>
      <c r="F38" s="64"/>
      <c r="G38" s="64"/>
      <c r="H38" s="64"/>
      <c r="I38" s="64"/>
      <c r="J38" s="64">
        <f t="shared" si="0"/>
        <v>0</v>
      </c>
      <c r="K38" s="107"/>
      <c r="L38" s="64"/>
      <c r="M38" s="64"/>
      <c r="N38" s="109" t="e">
        <f t="shared" si="1"/>
        <v>#DIV/0!</v>
      </c>
      <c r="O38" s="64">
        <f t="shared" si="2"/>
        <v>0</v>
      </c>
      <c r="P38" s="108">
        <f t="shared" si="3"/>
        <v>0</v>
      </c>
    </row>
    <row r="39" spans="1:16" ht="13.15">
      <c r="A39" s="64"/>
      <c r="B39" s="64"/>
      <c r="C39" s="64"/>
      <c r="D39" s="64"/>
      <c r="E39" s="64"/>
      <c r="F39" s="64"/>
      <c r="G39" s="64"/>
      <c r="H39" s="64"/>
      <c r="I39" s="64"/>
      <c r="J39" s="64">
        <f t="shared" si="0"/>
        <v>0</v>
      </c>
      <c r="K39" s="107"/>
      <c r="L39" s="64"/>
      <c r="M39" s="64"/>
      <c r="N39" s="116"/>
      <c r="O39" s="64">
        <f t="shared" si="2"/>
        <v>0</v>
      </c>
      <c r="P39" s="108">
        <f t="shared" si="3"/>
        <v>0</v>
      </c>
    </row>
  </sheetData>
  <mergeCells count="13">
    <mergeCell ref="Q15:Q16"/>
    <mergeCell ref="M2:M3"/>
    <mergeCell ref="N2:N3"/>
    <mergeCell ref="A1:N1"/>
    <mergeCell ref="A2:A3"/>
    <mergeCell ref="B2:B3"/>
    <mergeCell ref="C2:C3"/>
    <mergeCell ref="D2:D3"/>
    <mergeCell ref="E2:E3"/>
    <mergeCell ref="I2:I3"/>
    <mergeCell ref="J2:J3"/>
    <mergeCell ref="K2:K3"/>
    <mergeCell ref="L2:L3"/>
  </mergeCells>
  <dataValidations count="1">
    <dataValidation allowBlank="1" showInputMessage="1" showErrorMessage="1" sqref="M4:M6 M30:M39" xr:uid="{D5B67316-BE22-400B-B65B-E4299508532A}"/>
  </dataValidations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F83-762D-4154-AC5F-C446FFBE2C0D}">
  <sheetPr>
    <outlinePr summaryBelow="0" summaryRight="0"/>
  </sheetPr>
  <dimension ref="A1:R44"/>
  <sheetViews>
    <sheetView showGridLines="0" workbookViewId="0">
      <pane ySplit="3" topLeftCell="A4" activePane="bottomLeft" state="frozen"/>
      <selection pane="bottomLeft" activeCell="Q20" sqref="Q20:Q23"/>
    </sheetView>
  </sheetViews>
  <sheetFormatPr defaultColWidth="12.5703125" defaultRowHeight="15.75" customHeight="1"/>
  <cols>
    <col min="1" max="1" width="12.5703125" style="121"/>
    <col min="12" max="12" width="13.28515625" customWidth="1"/>
    <col min="15" max="18" width="12.5703125" style="18"/>
  </cols>
  <sheetData>
    <row r="1" spans="1:16" ht="24.75" customHeight="1">
      <c r="A1" s="279" t="s">
        <v>40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8"/>
    </row>
    <row r="2" spans="1:16" ht="18">
      <c r="A2" s="264" t="s">
        <v>25</v>
      </c>
      <c r="B2" s="264" t="s">
        <v>26</v>
      </c>
      <c r="C2" s="264" t="s">
        <v>27</v>
      </c>
      <c r="D2" s="264" t="s">
        <v>22</v>
      </c>
      <c r="E2" s="281" t="s">
        <v>28</v>
      </c>
      <c r="F2" s="96" t="s">
        <v>29</v>
      </c>
      <c r="G2" s="96" t="s">
        <v>30</v>
      </c>
      <c r="H2" s="96" t="s">
        <v>31</v>
      </c>
      <c r="I2" s="281" t="s">
        <v>32</v>
      </c>
      <c r="J2" s="264" t="s">
        <v>33</v>
      </c>
      <c r="K2" s="264" t="s">
        <v>34</v>
      </c>
      <c r="L2" s="264" t="s">
        <v>35</v>
      </c>
      <c r="M2" s="264" t="s">
        <v>36</v>
      </c>
      <c r="N2" s="283" t="s">
        <v>37</v>
      </c>
    </row>
    <row r="3" spans="1:16" ht="18.75">
      <c r="A3" s="285"/>
      <c r="B3" s="321"/>
      <c r="C3" s="321"/>
      <c r="D3" s="321"/>
      <c r="E3" s="321"/>
      <c r="F3" s="96" t="s">
        <v>42</v>
      </c>
      <c r="G3" s="96" t="s">
        <v>43</v>
      </c>
      <c r="H3" s="96" t="s">
        <v>44</v>
      </c>
      <c r="I3" s="282"/>
      <c r="J3" s="321"/>
      <c r="K3" s="321"/>
      <c r="L3" s="321"/>
      <c r="M3" s="321"/>
      <c r="N3" s="321"/>
    </row>
    <row r="4" spans="1:16" ht="13.15" customHeight="1">
      <c r="A4" s="193">
        <v>46204</v>
      </c>
      <c r="B4" s="64" t="s">
        <v>127</v>
      </c>
      <c r="C4" s="64" t="s">
        <v>20</v>
      </c>
      <c r="D4" s="64" t="s">
        <v>151</v>
      </c>
      <c r="E4" s="64">
        <v>6650</v>
      </c>
      <c r="F4" s="107">
        <v>80</v>
      </c>
      <c r="G4" s="64">
        <v>193</v>
      </c>
      <c r="H4" s="64">
        <v>42</v>
      </c>
      <c r="I4" s="64">
        <v>195</v>
      </c>
      <c r="J4" s="85">
        <f>SUM(F4:I4)</f>
        <v>510</v>
      </c>
      <c r="K4" s="100">
        <v>6140</v>
      </c>
      <c r="L4" s="107">
        <v>5</v>
      </c>
      <c r="M4" s="64" t="s">
        <v>49</v>
      </c>
      <c r="N4" s="109">
        <f>K4/E4</f>
        <v>0.92330827067669174</v>
      </c>
      <c r="O4" s="85">
        <f>J4+K4</f>
        <v>6650</v>
      </c>
      <c r="P4" s="85">
        <f>O4-E4</f>
        <v>0</v>
      </c>
    </row>
    <row r="5" spans="1:16" ht="13.15" customHeight="1">
      <c r="A5" s="193">
        <v>46205</v>
      </c>
      <c r="B5" s="64" t="s">
        <v>127</v>
      </c>
      <c r="C5" s="64" t="s">
        <v>20</v>
      </c>
      <c r="D5" s="64" t="s">
        <v>151</v>
      </c>
      <c r="E5" s="64">
        <v>5900</v>
      </c>
      <c r="F5" s="64">
        <v>71</v>
      </c>
      <c r="G5" s="64">
        <v>240</v>
      </c>
      <c r="H5" s="64">
        <v>35</v>
      </c>
      <c r="I5" s="64">
        <v>120</v>
      </c>
      <c r="J5" s="85">
        <f>SUM(F5:I5)</f>
        <v>466</v>
      </c>
      <c r="K5" s="100">
        <v>5434</v>
      </c>
      <c r="L5" s="107">
        <v>5</v>
      </c>
      <c r="M5" s="64" t="s">
        <v>49</v>
      </c>
      <c r="N5" s="109">
        <f>K5/E5</f>
        <v>0.9210169491525424</v>
      </c>
      <c r="O5" s="85">
        <f>J5+K5</f>
        <v>5900</v>
      </c>
      <c r="P5" s="85">
        <f>O5-E5</f>
        <v>0</v>
      </c>
    </row>
    <row r="6" spans="1:16" ht="15.75" customHeight="1">
      <c r="A6" s="193">
        <v>46206</v>
      </c>
      <c r="B6" s="64" t="s">
        <v>127</v>
      </c>
      <c r="C6" s="64" t="s">
        <v>20</v>
      </c>
      <c r="D6" s="64" t="s">
        <v>151</v>
      </c>
      <c r="E6" s="64">
        <v>4900</v>
      </c>
      <c r="F6" s="64">
        <v>98</v>
      </c>
      <c r="G6" s="64">
        <v>180</v>
      </c>
      <c r="H6" s="64">
        <v>28</v>
      </c>
      <c r="I6" s="64">
        <v>94</v>
      </c>
      <c r="J6" s="85">
        <f>SUM(F6:I6)</f>
        <v>400</v>
      </c>
      <c r="K6" s="100">
        <v>4500</v>
      </c>
      <c r="L6" s="107">
        <v>5</v>
      </c>
      <c r="M6" s="64" t="s">
        <v>49</v>
      </c>
      <c r="N6" s="109">
        <f>K6/E6</f>
        <v>0.91836734693877553</v>
      </c>
      <c r="O6" s="85">
        <f>J6+K6</f>
        <v>4900</v>
      </c>
      <c r="P6" s="85">
        <f>O6-E6</f>
        <v>0</v>
      </c>
    </row>
    <row r="7" spans="1:16" ht="15.75" customHeight="1">
      <c r="A7" s="193">
        <v>46207</v>
      </c>
      <c r="B7" s="85" t="s">
        <v>127</v>
      </c>
      <c r="C7" s="64" t="s">
        <v>20</v>
      </c>
      <c r="D7" s="85" t="s">
        <v>151</v>
      </c>
      <c r="E7" s="85">
        <v>7500</v>
      </c>
      <c r="F7" s="85">
        <v>130</v>
      </c>
      <c r="G7" s="85">
        <v>245</v>
      </c>
      <c r="H7" s="85">
        <v>50</v>
      </c>
      <c r="I7" s="85">
        <v>166</v>
      </c>
      <c r="J7" s="85">
        <f>SUM(F7:I7)</f>
        <v>591</v>
      </c>
      <c r="K7" s="106">
        <v>6909</v>
      </c>
      <c r="L7" s="112">
        <v>5</v>
      </c>
      <c r="M7" s="85" t="s">
        <v>49</v>
      </c>
      <c r="N7" s="109">
        <f>K7/E7</f>
        <v>0.92120000000000002</v>
      </c>
      <c r="O7" s="85">
        <f>J7+K7</f>
        <v>7500</v>
      </c>
      <c r="P7" s="85">
        <f>O7-E7</f>
        <v>0</v>
      </c>
    </row>
    <row r="8" spans="1:16" ht="15.75" customHeight="1">
      <c r="A8" s="193">
        <v>46209</v>
      </c>
      <c r="B8" s="85" t="s">
        <v>127</v>
      </c>
      <c r="C8" s="64" t="s">
        <v>20</v>
      </c>
      <c r="D8" s="85" t="s">
        <v>151</v>
      </c>
      <c r="E8" s="85">
        <v>8300</v>
      </c>
      <c r="F8" s="85">
        <v>108</v>
      </c>
      <c r="G8" s="85">
        <v>320</v>
      </c>
      <c r="H8" s="85">
        <v>40</v>
      </c>
      <c r="I8" s="85">
        <v>182</v>
      </c>
      <c r="J8" s="85">
        <f>SUM(F8:I8)</f>
        <v>650</v>
      </c>
      <c r="K8" s="106">
        <v>7650</v>
      </c>
      <c r="L8" s="112">
        <v>5</v>
      </c>
      <c r="M8" s="85" t="s">
        <v>49</v>
      </c>
      <c r="N8" s="109">
        <f>K8/E8</f>
        <v>0.92168674698795183</v>
      </c>
      <c r="O8" s="85">
        <f>J8+K8</f>
        <v>8300</v>
      </c>
      <c r="P8" s="85">
        <f>O8-E8</f>
        <v>0</v>
      </c>
    </row>
    <row r="9" spans="1:16" ht="10.5" customHeight="1">
      <c r="A9" s="193">
        <v>46210</v>
      </c>
      <c r="B9" s="7" t="s">
        <v>127</v>
      </c>
      <c r="C9" s="64" t="s">
        <v>20</v>
      </c>
      <c r="D9" s="85" t="s">
        <v>151</v>
      </c>
      <c r="E9" s="85">
        <v>7500</v>
      </c>
      <c r="F9" s="85">
        <v>125</v>
      </c>
      <c r="G9" s="85">
        <v>240</v>
      </c>
      <c r="H9" s="85">
        <v>38</v>
      </c>
      <c r="I9" s="85">
        <v>197</v>
      </c>
      <c r="J9" s="85">
        <f>SUM(F9:I9)</f>
        <v>600</v>
      </c>
      <c r="K9" s="106">
        <v>6900</v>
      </c>
      <c r="L9" s="112">
        <v>5</v>
      </c>
      <c r="M9" s="85" t="s">
        <v>49</v>
      </c>
      <c r="N9" s="109">
        <f>K9/E9</f>
        <v>0.92</v>
      </c>
      <c r="O9" s="85">
        <f>J9+K9</f>
        <v>7500</v>
      </c>
      <c r="P9" s="85">
        <f>O9-E9</f>
        <v>0</v>
      </c>
    </row>
    <row r="10" spans="1:16" ht="10.5" customHeight="1">
      <c r="A10" s="193">
        <v>46211</v>
      </c>
      <c r="B10" s="7">
        <v>1</v>
      </c>
      <c r="C10" s="85" t="s">
        <v>123</v>
      </c>
      <c r="D10" s="85" t="s">
        <v>143</v>
      </c>
      <c r="E10" s="85">
        <v>600</v>
      </c>
      <c r="F10" s="85">
        <v>0</v>
      </c>
      <c r="G10" s="85">
        <v>4.2</v>
      </c>
      <c r="H10" s="85">
        <v>5.7</v>
      </c>
      <c r="I10" s="85">
        <v>10.1</v>
      </c>
      <c r="J10" s="85">
        <v>20</v>
      </c>
      <c r="K10" s="106">
        <v>580</v>
      </c>
      <c r="L10" s="112">
        <v>1</v>
      </c>
      <c r="M10" s="85" t="s">
        <v>49</v>
      </c>
      <c r="N10" s="109">
        <v>0.96599999999999997</v>
      </c>
      <c r="O10" s="85">
        <v>600</v>
      </c>
      <c r="P10" s="85">
        <f>O10-E10</f>
        <v>0</v>
      </c>
    </row>
    <row r="11" spans="1:16" ht="14.45" customHeight="1">
      <c r="A11" s="199">
        <v>46211</v>
      </c>
      <c r="B11" s="7" t="s">
        <v>127</v>
      </c>
      <c r="C11" s="85" t="s">
        <v>20</v>
      </c>
      <c r="D11" s="85" t="s">
        <v>151</v>
      </c>
      <c r="E11" s="85">
        <v>4150</v>
      </c>
      <c r="F11" s="85">
        <v>72</v>
      </c>
      <c r="G11" s="85">
        <v>173</v>
      </c>
      <c r="H11" s="85">
        <v>36</v>
      </c>
      <c r="I11" s="85">
        <v>119</v>
      </c>
      <c r="J11" s="85">
        <f>SUM(F11:I11)</f>
        <v>400</v>
      </c>
      <c r="K11" s="106">
        <v>3750</v>
      </c>
      <c r="L11" s="112">
        <v>5</v>
      </c>
      <c r="M11" s="85" t="s">
        <v>49</v>
      </c>
      <c r="N11" s="109">
        <f>K11/E11</f>
        <v>0.90361445783132532</v>
      </c>
      <c r="O11" s="85">
        <f>J11+K11</f>
        <v>4150</v>
      </c>
      <c r="P11" s="85">
        <f>O11-E11</f>
        <v>0</v>
      </c>
    </row>
    <row r="12" spans="1:16" ht="14.45" customHeight="1">
      <c r="A12" s="200">
        <v>46212</v>
      </c>
      <c r="B12" s="7">
        <v>1</v>
      </c>
      <c r="C12" s="85" t="s">
        <v>123</v>
      </c>
      <c r="D12" s="85" t="s">
        <v>143</v>
      </c>
      <c r="E12" s="85">
        <v>360</v>
      </c>
      <c r="F12" s="85">
        <v>0</v>
      </c>
      <c r="G12" s="85">
        <v>3.9</v>
      </c>
      <c r="H12" s="85">
        <v>4.8</v>
      </c>
      <c r="I12" s="85">
        <v>11.3</v>
      </c>
      <c r="J12" s="85">
        <v>20</v>
      </c>
      <c r="K12" s="106">
        <v>340</v>
      </c>
      <c r="L12" s="112">
        <v>1</v>
      </c>
      <c r="M12" s="85" t="s">
        <v>49</v>
      </c>
      <c r="N12" s="109">
        <f>K12/E12</f>
        <v>0.94444444444444442</v>
      </c>
      <c r="O12" s="85">
        <f>J12+K12</f>
        <v>360</v>
      </c>
      <c r="P12" s="85">
        <f>O12-E12</f>
        <v>0</v>
      </c>
    </row>
    <row r="13" spans="1:16" ht="15.75" customHeight="1">
      <c r="A13" s="193">
        <v>46213</v>
      </c>
      <c r="B13" s="7" t="s">
        <v>127</v>
      </c>
      <c r="C13" s="85" t="s">
        <v>20</v>
      </c>
      <c r="D13" s="85" t="s">
        <v>151</v>
      </c>
      <c r="E13" s="85">
        <v>6200</v>
      </c>
      <c r="F13" s="85">
        <v>58</v>
      </c>
      <c r="G13" s="85">
        <v>210</v>
      </c>
      <c r="H13" s="85">
        <v>34</v>
      </c>
      <c r="I13" s="85">
        <v>148</v>
      </c>
      <c r="J13" s="85">
        <f>SUM(F13:I13)</f>
        <v>450</v>
      </c>
      <c r="K13" s="106">
        <v>5750</v>
      </c>
      <c r="L13" s="112">
        <v>5</v>
      </c>
      <c r="M13" s="85" t="s">
        <v>49</v>
      </c>
      <c r="N13" s="109">
        <f>K13/E13</f>
        <v>0.92741935483870963</v>
      </c>
      <c r="O13" s="85">
        <f>J13+K13</f>
        <v>6200</v>
      </c>
      <c r="P13" s="85">
        <f>O13-E13</f>
        <v>0</v>
      </c>
    </row>
    <row r="14" spans="1:16" ht="15.75" customHeight="1">
      <c r="A14" s="193">
        <v>46213</v>
      </c>
      <c r="B14" s="7">
        <v>1</v>
      </c>
      <c r="C14" s="85" t="s">
        <v>123</v>
      </c>
      <c r="D14" s="85" t="s">
        <v>143</v>
      </c>
      <c r="E14" s="85">
        <v>650</v>
      </c>
      <c r="F14" s="85">
        <v>0</v>
      </c>
      <c r="G14" s="85">
        <v>5.6</v>
      </c>
      <c r="H14" s="85">
        <v>3.7</v>
      </c>
      <c r="I14" s="85">
        <v>8.6999999999999993</v>
      </c>
      <c r="J14" s="85">
        <v>20</v>
      </c>
      <c r="K14" s="112">
        <v>630</v>
      </c>
      <c r="L14" s="112">
        <v>1</v>
      </c>
      <c r="M14" s="85" t="s">
        <v>49</v>
      </c>
      <c r="N14" s="109">
        <f>K14/E14</f>
        <v>0.96923076923076923</v>
      </c>
      <c r="O14" s="85">
        <f>J14+K14</f>
        <v>650</v>
      </c>
      <c r="P14" s="85">
        <f>O14-E14</f>
        <v>0</v>
      </c>
    </row>
    <row r="15" spans="1:16" ht="13.15" customHeight="1">
      <c r="A15" s="193">
        <v>46214</v>
      </c>
      <c r="B15" s="85" t="s">
        <v>127</v>
      </c>
      <c r="C15" s="85" t="s">
        <v>20</v>
      </c>
      <c r="D15" s="85" t="s">
        <v>151</v>
      </c>
      <c r="E15" s="85">
        <v>5450</v>
      </c>
      <c r="F15" s="85">
        <v>85</v>
      </c>
      <c r="G15" s="85">
        <v>247</v>
      </c>
      <c r="H15" s="85">
        <v>29</v>
      </c>
      <c r="I15" s="85">
        <v>139</v>
      </c>
      <c r="J15" s="85">
        <f>SUM(F15:I15)</f>
        <v>500</v>
      </c>
      <c r="K15" s="106">
        <v>4950</v>
      </c>
      <c r="L15" s="85">
        <v>5</v>
      </c>
      <c r="M15" s="85" t="s">
        <v>49</v>
      </c>
      <c r="N15" s="109">
        <f>K15/E15</f>
        <v>0.90825688073394495</v>
      </c>
      <c r="O15" s="85">
        <f>J15+K15</f>
        <v>5450</v>
      </c>
      <c r="P15" s="85">
        <f>O15-E15</f>
        <v>0</v>
      </c>
    </row>
    <row r="16" spans="1:16" ht="13.15" customHeight="1">
      <c r="A16" s="193">
        <v>46216</v>
      </c>
      <c r="B16" s="85" t="s">
        <v>127</v>
      </c>
      <c r="C16" s="85" t="s">
        <v>20</v>
      </c>
      <c r="D16" s="85" t="s">
        <v>151</v>
      </c>
      <c r="E16" s="85">
        <v>6900</v>
      </c>
      <c r="F16" s="85">
        <v>118</v>
      </c>
      <c r="G16" s="85">
        <v>250</v>
      </c>
      <c r="H16" s="85">
        <v>28</v>
      </c>
      <c r="I16" s="85">
        <v>234</v>
      </c>
      <c r="J16" s="85">
        <f>SUM(F16:I16)</f>
        <v>630</v>
      </c>
      <c r="K16" s="106">
        <v>6270</v>
      </c>
      <c r="L16" s="85">
        <v>5</v>
      </c>
      <c r="M16" s="85" t="s">
        <v>49</v>
      </c>
      <c r="N16" s="109">
        <f>K16/E16</f>
        <v>0.90869565217391302</v>
      </c>
      <c r="O16" s="85">
        <f>J16+K16</f>
        <v>6900</v>
      </c>
      <c r="P16" s="85">
        <f>O16-E16</f>
        <v>0</v>
      </c>
    </row>
    <row r="17" spans="1:16" ht="13.15" customHeight="1">
      <c r="A17" s="193">
        <v>46217</v>
      </c>
      <c r="B17" s="85" t="s">
        <v>127</v>
      </c>
      <c r="C17" s="85" t="s">
        <v>20</v>
      </c>
      <c r="D17" s="85" t="s">
        <v>151</v>
      </c>
      <c r="E17" s="85">
        <v>7000</v>
      </c>
      <c r="F17" s="85">
        <v>148</v>
      </c>
      <c r="G17" s="85">
        <v>321</v>
      </c>
      <c r="H17" s="85">
        <v>45</v>
      </c>
      <c r="I17" s="85">
        <v>286</v>
      </c>
      <c r="J17" s="85">
        <f>SUM(F17:I17)</f>
        <v>800</v>
      </c>
      <c r="K17" s="106">
        <v>6200</v>
      </c>
      <c r="L17" s="85">
        <v>5</v>
      </c>
      <c r="M17" s="85" t="s">
        <v>49</v>
      </c>
      <c r="N17" s="109">
        <f>K17/E17</f>
        <v>0.88571428571428568</v>
      </c>
      <c r="O17" s="85">
        <f>J17+K17</f>
        <v>7000</v>
      </c>
      <c r="P17" s="85">
        <f>O17-E17</f>
        <v>0</v>
      </c>
    </row>
    <row r="18" spans="1:16" ht="13.15" customHeight="1">
      <c r="A18" s="193">
        <v>46218</v>
      </c>
      <c r="B18" s="85" t="s">
        <v>127</v>
      </c>
      <c r="C18" s="85" t="s">
        <v>20</v>
      </c>
      <c r="D18" s="85" t="s">
        <v>151</v>
      </c>
      <c r="E18" s="85">
        <v>9350</v>
      </c>
      <c r="F18" s="85">
        <v>48</v>
      </c>
      <c r="G18" s="85">
        <v>423</v>
      </c>
      <c r="H18" s="85">
        <v>39</v>
      </c>
      <c r="I18" s="85">
        <v>236</v>
      </c>
      <c r="J18" s="85">
        <v>750</v>
      </c>
      <c r="K18" s="106">
        <v>8600</v>
      </c>
      <c r="L18" s="85">
        <v>5</v>
      </c>
      <c r="M18" s="85" t="s">
        <v>53</v>
      </c>
      <c r="N18" s="109">
        <v>0.91969999999999996</v>
      </c>
      <c r="O18" s="85">
        <v>9350</v>
      </c>
      <c r="P18" s="85"/>
    </row>
    <row r="19" spans="1:16" ht="13.15" customHeight="1">
      <c r="A19" s="193">
        <v>46219</v>
      </c>
      <c r="B19" s="85" t="s">
        <v>127</v>
      </c>
      <c r="C19" s="85" t="s">
        <v>20</v>
      </c>
      <c r="D19" s="85" t="s">
        <v>151</v>
      </c>
      <c r="E19" s="85">
        <v>6000</v>
      </c>
      <c r="F19" s="85">
        <v>0</v>
      </c>
      <c r="G19" s="85">
        <v>300</v>
      </c>
      <c r="H19" s="85">
        <v>46</v>
      </c>
      <c r="I19" s="85">
        <v>154</v>
      </c>
      <c r="J19" s="85">
        <f>SUM(F19:I19)</f>
        <v>500</v>
      </c>
      <c r="K19" s="106">
        <v>5500</v>
      </c>
      <c r="L19" s="85">
        <v>5</v>
      </c>
      <c r="M19" s="85" t="s">
        <v>49</v>
      </c>
      <c r="N19" s="109">
        <f>K19/E19</f>
        <v>0.91666666666666663</v>
      </c>
      <c r="O19" s="85">
        <f>J19+K19</f>
        <v>6000</v>
      </c>
      <c r="P19" s="85">
        <f>O19-E19</f>
        <v>0</v>
      </c>
    </row>
    <row r="20" spans="1:16" ht="13.15" customHeight="1">
      <c r="A20" s="197">
        <v>46222</v>
      </c>
      <c r="B20" s="85" t="s">
        <v>127</v>
      </c>
      <c r="C20" s="85" t="s">
        <v>20</v>
      </c>
      <c r="D20" s="85" t="s">
        <v>94</v>
      </c>
      <c r="E20" s="85">
        <v>5200</v>
      </c>
      <c r="F20" s="121">
        <v>48</v>
      </c>
      <c r="G20" s="85">
        <v>137</v>
      </c>
      <c r="H20" s="85">
        <v>29</v>
      </c>
      <c r="I20" s="85">
        <v>186</v>
      </c>
      <c r="J20" s="85">
        <f>SUM(F20:I20)</f>
        <v>400</v>
      </c>
      <c r="K20" s="106">
        <v>4800</v>
      </c>
      <c r="L20" s="85">
        <v>5</v>
      </c>
      <c r="M20" s="85" t="s">
        <v>49</v>
      </c>
      <c r="N20" s="109">
        <f>K20/E20</f>
        <v>0.92307692307692313</v>
      </c>
      <c r="O20" s="85">
        <f>J20+K20</f>
        <v>5200</v>
      </c>
      <c r="P20" s="85"/>
    </row>
    <row r="21" spans="1:16" ht="13.15" customHeight="1">
      <c r="A21" s="197">
        <v>46223</v>
      </c>
      <c r="B21" s="85" t="s">
        <v>127</v>
      </c>
      <c r="C21" s="85" t="s">
        <v>20</v>
      </c>
      <c r="D21" s="85" t="s">
        <v>94</v>
      </c>
      <c r="E21" s="85">
        <v>11500</v>
      </c>
      <c r="F21" s="85">
        <v>160</v>
      </c>
      <c r="G21" s="85">
        <v>519</v>
      </c>
      <c r="H21" s="85">
        <v>42</v>
      </c>
      <c r="I21" s="85">
        <v>279</v>
      </c>
      <c r="J21" s="85">
        <f>SUM(F21:I21)</f>
        <v>1000</v>
      </c>
      <c r="K21" s="112">
        <v>10500</v>
      </c>
      <c r="L21" s="85">
        <v>5</v>
      </c>
      <c r="M21" s="85" t="s">
        <v>49</v>
      </c>
      <c r="N21" s="109">
        <f>K21/E21</f>
        <v>0.91304347826086951</v>
      </c>
      <c r="O21" s="85">
        <f>J21+K21</f>
        <v>11500</v>
      </c>
      <c r="P21" s="85">
        <f>O21-E21</f>
        <v>0</v>
      </c>
    </row>
    <row r="22" spans="1:16" s="102" customFormat="1" ht="13.15" customHeight="1">
      <c r="A22" s="201">
        <v>46224</v>
      </c>
      <c r="B22" s="101" t="s">
        <v>127</v>
      </c>
      <c r="C22" s="85" t="s">
        <v>20</v>
      </c>
      <c r="D22" s="101" t="s">
        <v>94</v>
      </c>
      <c r="E22" s="101">
        <f>7600+1520</f>
        <v>9120</v>
      </c>
      <c r="F22" s="101">
        <v>55</v>
      </c>
      <c r="G22" s="101">
        <v>114</v>
      </c>
      <c r="H22" s="101">
        <v>25</v>
      </c>
      <c r="I22" s="101">
        <v>406</v>
      </c>
      <c r="J22" s="85">
        <f>SUM(F22:I22)</f>
        <v>600</v>
      </c>
      <c r="K22" s="113">
        <v>8520</v>
      </c>
      <c r="L22" s="101">
        <v>5</v>
      </c>
      <c r="M22" s="101" t="s">
        <v>49</v>
      </c>
      <c r="N22" s="109">
        <f>K22/E22</f>
        <v>0.93421052631578949</v>
      </c>
      <c r="O22" s="64">
        <f>J22+K22</f>
        <v>9120</v>
      </c>
      <c r="P22" s="64">
        <f>O22-E22</f>
        <v>0</v>
      </c>
    </row>
    <row r="23" spans="1:16" s="102" customFormat="1" ht="13.15" customHeight="1">
      <c r="A23" s="201">
        <v>46224</v>
      </c>
      <c r="B23" s="103" t="s">
        <v>127</v>
      </c>
      <c r="C23" s="85" t="s">
        <v>20</v>
      </c>
      <c r="D23" s="103" t="s">
        <v>94</v>
      </c>
      <c r="E23" s="103">
        <v>3550</v>
      </c>
      <c r="F23" s="103">
        <v>28</v>
      </c>
      <c r="G23" s="103">
        <v>140</v>
      </c>
      <c r="H23" s="103">
        <v>24</v>
      </c>
      <c r="I23" s="103">
        <v>108</v>
      </c>
      <c r="J23" s="85">
        <f>SUM(F23:I23)</f>
        <v>300</v>
      </c>
      <c r="K23" s="114">
        <v>3250</v>
      </c>
      <c r="L23" s="103">
        <v>5</v>
      </c>
      <c r="M23" s="103" t="s">
        <v>50</v>
      </c>
      <c r="N23" s="109">
        <f>K23/E23</f>
        <v>0.91549295774647887</v>
      </c>
      <c r="O23" s="64">
        <f>J23+K23</f>
        <v>3550</v>
      </c>
      <c r="P23" s="64">
        <f>O23-E23</f>
        <v>0</v>
      </c>
    </row>
    <row r="24" spans="1:16" ht="13.15" customHeight="1">
      <c r="A24" s="201">
        <v>46225</v>
      </c>
      <c r="B24" s="85" t="s">
        <v>127</v>
      </c>
      <c r="C24" s="85" t="s">
        <v>20</v>
      </c>
      <c r="D24" s="85" t="s">
        <v>151</v>
      </c>
      <c r="E24" s="85">
        <v>9200</v>
      </c>
      <c r="F24" s="85">
        <v>0</v>
      </c>
      <c r="G24" s="85">
        <v>551</v>
      </c>
      <c r="H24" s="85">
        <v>88</v>
      </c>
      <c r="I24" s="85">
        <v>161</v>
      </c>
      <c r="J24" s="85">
        <f>SUM(F24:I24)</f>
        <v>800</v>
      </c>
      <c r="K24" s="106">
        <v>8400</v>
      </c>
      <c r="L24" s="85">
        <v>8</v>
      </c>
      <c r="M24" s="85" t="s">
        <v>49</v>
      </c>
      <c r="N24" s="109">
        <f>K24/E24</f>
        <v>0.91304347826086951</v>
      </c>
      <c r="O24" s="85">
        <f>J24+K24</f>
        <v>9200</v>
      </c>
      <c r="P24" s="85">
        <f>O24-E24</f>
        <v>0</v>
      </c>
    </row>
    <row r="25" spans="1:16" ht="13.15" customHeight="1">
      <c r="A25" s="201">
        <v>46226</v>
      </c>
      <c r="B25" s="85" t="s">
        <v>127</v>
      </c>
      <c r="C25" s="85" t="s">
        <v>20</v>
      </c>
      <c r="D25" s="85" t="s">
        <v>151</v>
      </c>
      <c r="E25" s="85">
        <v>7850</v>
      </c>
      <c r="F25" s="85">
        <v>30</v>
      </c>
      <c r="G25" s="85">
        <v>498</v>
      </c>
      <c r="H25" s="85">
        <v>53</v>
      </c>
      <c r="I25" s="85">
        <v>219</v>
      </c>
      <c r="J25" s="85">
        <f>SUM(F25:I25)</f>
        <v>800</v>
      </c>
      <c r="K25" s="106">
        <v>7050</v>
      </c>
      <c r="L25" s="85">
        <v>7</v>
      </c>
      <c r="M25" s="85" t="s">
        <v>53</v>
      </c>
      <c r="N25" s="109">
        <f>K25/E25</f>
        <v>0.89808917197452232</v>
      </c>
      <c r="O25" s="85">
        <f>J25+K25</f>
        <v>7850</v>
      </c>
      <c r="P25" s="85">
        <f>O25-E25</f>
        <v>0</v>
      </c>
    </row>
    <row r="26" spans="1:16" ht="15.75" customHeight="1">
      <c r="A26" s="201">
        <v>46227</v>
      </c>
      <c r="B26" s="85" t="s">
        <v>127</v>
      </c>
      <c r="C26" s="85" t="s">
        <v>20</v>
      </c>
      <c r="D26" s="85" t="s">
        <v>151</v>
      </c>
      <c r="E26" s="85">
        <v>4880</v>
      </c>
      <c r="F26" s="85">
        <v>18</v>
      </c>
      <c r="G26" s="85">
        <v>197</v>
      </c>
      <c r="H26" s="85">
        <v>26</v>
      </c>
      <c r="I26" s="85">
        <v>149</v>
      </c>
      <c r="J26" s="85">
        <f>SUM(F26:I26)</f>
        <v>390</v>
      </c>
      <c r="K26" s="122">
        <v>4490</v>
      </c>
      <c r="L26" s="85">
        <v>5</v>
      </c>
      <c r="M26" s="85" t="s">
        <v>49</v>
      </c>
      <c r="N26" s="109">
        <f>K26/E26</f>
        <v>0.92008196721311475</v>
      </c>
      <c r="O26" s="85">
        <f>J26+K26</f>
        <v>4880</v>
      </c>
      <c r="P26" s="85">
        <f>O26-E26</f>
        <v>0</v>
      </c>
    </row>
    <row r="27" spans="1:16" ht="15.75" customHeight="1">
      <c r="A27" s="201">
        <v>46228</v>
      </c>
      <c r="B27" s="85" t="s">
        <v>127</v>
      </c>
      <c r="C27" s="85" t="s">
        <v>20</v>
      </c>
      <c r="D27" s="85" t="s">
        <v>151</v>
      </c>
      <c r="E27" s="85">
        <v>3800</v>
      </c>
      <c r="F27" s="85">
        <v>15</v>
      </c>
      <c r="G27" s="85">
        <v>208</v>
      </c>
      <c r="H27" s="85">
        <v>11</v>
      </c>
      <c r="I27" s="85">
        <v>100</v>
      </c>
      <c r="J27" s="85">
        <f>SUM(F27:I27)</f>
        <v>334</v>
      </c>
      <c r="K27" s="123">
        <v>3466</v>
      </c>
      <c r="L27" s="85">
        <v>5</v>
      </c>
      <c r="M27" s="85" t="s">
        <v>49</v>
      </c>
      <c r="N27" s="109">
        <f>K27/E27</f>
        <v>0.91210526315789475</v>
      </c>
      <c r="O27" s="85">
        <f>J27+K27</f>
        <v>3800</v>
      </c>
      <c r="P27" s="85">
        <f>O27-E27</f>
        <v>0</v>
      </c>
    </row>
    <row r="28" spans="1:16" ht="13.15" customHeight="1">
      <c r="A28" s="202">
        <v>46230</v>
      </c>
      <c r="B28" s="85" t="s">
        <v>127</v>
      </c>
      <c r="C28" s="85" t="s">
        <v>20</v>
      </c>
      <c r="D28" s="85" t="s">
        <v>151</v>
      </c>
      <c r="E28" s="85">
        <v>6600</v>
      </c>
      <c r="F28" s="85">
        <v>10</v>
      </c>
      <c r="G28" s="85">
        <v>226</v>
      </c>
      <c r="H28" s="85">
        <v>26</v>
      </c>
      <c r="I28" s="85">
        <v>138</v>
      </c>
      <c r="J28" s="85">
        <f>SUM(F28:I28)</f>
        <v>400</v>
      </c>
      <c r="K28" s="123">
        <v>6200</v>
      </c>
      <c r="L28" s="85">
        <v>5</v>
      </c>
      <c r="M28" s="85" t="s">
        <v>49</v>
      </c>
      <c r="N28" s="109">
        <f>K28/E28</f>
        <v>0.93939393939393945</v>
      </c>
      <c r="O28" s="85">
        <f>J28+K28</f>
        <v>6600</v>
      </c>
      <c r="P28" s="85">
        <f>O28-E28</f>
        <v>0</v>
      </c>
    </row>
    <row r="29" spans="1:16" ht="13.15" customHeight="1">
      <c r="A29" s="202">
        <v>46231</v>
      </c>
      <c r="B29" s="85" t="s">
        <v>127</v>
      </c>
      <c r="C29" s="85" t="s">
        <v>20</v>
      </c>
      <c r="D29" s="85" t="s">
        <v>151</v>
      </c>
      <c r="E29" s="85">
        <v>3900</v>
      </c>
      <c r="F29" s="99">
        <v>12</v>
      </c>
      <c r="G29" s="85">
        <v>165</v>
      </c>
      <c r="H29" s="85">
        <v>18</v>
      </c>
      <c r="I29" s="85">
        <v>135</v>
      </c>
      <c r="J29" s="85">
        <f>SUM(F29:I29)</f>
        <v>330</v>
      </c>
      <c r="K29" s="123">
        <v>3570</v>
      </c>
      <c r="L29" s="85">
        <v>5</v>
      </c>
      <c r="M29" s="85" t="s">
        <v>53</v>
      </c>
      <c r="N29" s="109">
        <f>K29/E29</f>
        <v>0.91538461538461535</v>
      </c>
      <c r="O29" s="85">
        <f>J29+K29</f>
        <v>3900</v>
      </c>
      <c r="P29" s="85">
        <f>O29-E29</f>
        <v>0</v>
      </c>
    </row>
    <row r="30" spans="1:16" ht="13.15" customHeight="1">
      <c r="A30" s="202">
        <v>46232</v>
      </c>
      <c r="B30" s="85" t="s">
        <v>127</v>
      </c>
      <c r="C30" s="85" t="s">
        <v>20</v>
      </c>
      <c r="D30" s="85" t="s">
        <v>151</v>
      </c>
      <c r="E30" s="85">
        <v>6600</v>
      </c>
      <c r="F30" s="85">
        <v>14</v>
      </c>
      <c r="G30" s="85">
        <v>178</v>
      </c>
      <c r="H30" s="85">
        <v>28</v>
      </c>
      <c r="I30" s="85">
        <v>180</v>
      </c>
      <c r="J30" s="85">
        <f>SUM(F30:I30)</f>
        <v>400</v>
      </c>
      <c r="K30" s="112">
        <v>6200</v>
      </c>
      <c r="L30" s="85">
        <v>7</v>
      </c>
      <c r="M30" s="85" t="s">
        <v>53</v>
      </c>
      <c r="N30" s="109">
        <f>K30/E30</f>
        <v>0.93939393939393945</v>
      </c>
      <c r="O30" s="85">
        <f>J30+K30</f>
        <v>6600</v>
      </c>
      <c r="P30" s="85">
        <f>O30-E30</f>
        <v>0</v>
      </c>
    </row>
    <row r="31" spans="1:16" ht="13.15" customHeight="1">
      <c r="A31" s="202">
        <v>46233</v>
      </c>
      <c r="B31" s="85" t="s">
        <v>127</v>
      </c>
      <c r="C31" s="85" t="s">
        <v>20</v>
      </c>
      <c r="D31" s="85" t="s">
        <v>151</v>
      </c>
      <c r="E31" s="85">
        <v>8250</v>
      </c>
      <c r="F31" s="85">
        <v>28</v>
      </c>
      <c r="G31" s="85">
        <v>497</v>
      </c>
      <c r="H31" s="85">
        <v>39</v>
      </c>
      <c r="I31" s="85">
        <v>186</v>
      </c>
      <c r="J31" s="85">
        <f>SUM(F31:I31)</f>
        <v>750</v>
      </c>
      <c r="K31" s="123">
        <v>7500</v>
      </c>
      <c r="L31" s="85">
        <v>7</v>
      </c>
      <c r="M31" s="85" t="s">
        <v>49</v>
      </c>
      <c r="N31" s="109">
        <f>K31/E31</f>
        <v>0.90909090909090906</v>
      </c>
      <c r="O31" s="85">
        <f>J31+K31</f>
        <v>8250</v>
      </c>
      <c r="P31" s="85">
        <f>O31-E31</f>
        <v>0</v>
      </c>
    </row>
    <row r="32" spans="1:16" ht="13.15" customHeight="1">
      <c r="A32" s="202">
        <v>46234</v>
      </c>
      <c r="B32" s="85" t="s">
        <v>127</v>
      </c>
      <c r="C32" s="85" t="s">
        <v>20</v>
      </c>
      <c r="D32" s="85" t="s">
        <v>151</v>
      </c>
      <c r="E32" s="85">
        <v>3950</v>
      </c>
      <c r="F32" s="85">
        <v>25</v>
      </c>
      <c r="G32" s="85">
        <v>246</v>
      </c>
      <c r="H32" s="85">
        <v>27</v>
      </c>
      <c r="I32" s="85">
        <v>52</v>
      </c>
      <c r="J32" s="85">
        <f>SUM(F32:I32)</f>
        <v>350</v>
      </c>
      <c r="K32" s="123">
        <v>3600</v>
      </c>
      <c r="L32" s="85">
        <v>7</v>
      </c>
      <c r="M32" s="85" t="s">
        <v>63</v>
      </c>
      <c r="N32" s="109">
        <f>K32/E32</f>
        <v>0.91139240506329111</v>
      </c>
      <c r="O32" s="85">
        <f>J32+K32</f>
        <v>3950</v>
      </c>
      <c r="P32" s="85">
        <f>O32-E32</f>
        <v>0</v>
      </c>
    </row>
    <row r="33" spans="1:16" ht="12.75">
      <c r="A33" s="85"/>
      <c r="B33" s="85"/>
      <c r="C33" s="85"/>
      <c r="D33" s="85"/>
      <c r="E33" s="85"/>
      <c r="F33" s="85"/>
      <c r="G33" s="85"/>
      <c r="H33" s="85"/>
      <c r="I33" s="85"/>
      <c r="J33" s="85">
        <f t="shared" ref="J4:J44" si="0">SUM(F33:I33)</f>
        <v>0</v>
      </c>
      <c r="K33" s="112"/>
      <c r="L33" s="85"/>
      <c r="M33" s="85"/>
      <c r="N33" s="98"/>
      <c r="O33" s="85">
        <f t="shared" ref="O4:O44" si="1">J33+K33</f>
        <v>0</v>
      </c>
      <c r="P33" s="85">
        <f t="shared" ref="P4:P44" si="2">O33-E33</f>
        <v>0</v>
      </c>
    </row>
    <row r="34" spans="1:16" ht="13.15">
      <c r="A34" s="85"/>
      <c r="B34" s="85"/>
      <c r="C34" s="85"/>
      <c r="D34" s="85"/>
      <c r="E34" s="85"/>
      <c r="F34" s="85"/>
      <c r="G34" s="85"/>
      <c r="H34" s="85"/>
      <c r="I34" s="85"/>
      <c r="J34" s="85">
        <f t="shared" si="0"/>
        <v>0</v>
      </c>
      <c r="K34" s="85"/>
      <c r="L34" s="85"/>
      <c r="M34" s="85"/>
      <c r="N34" s="98"/>
      <c r="O34" s="85">
        <f t="shared" si="1"/>
        <v>0</v>
      </c>
      <c r="P34" s="85">
        <f t="shared" si="2"/>
        <v>0</v>
      </c>
    </row>
    <row r="35" spans="1:16" ht="13.15">
      <c r="A35" s="85"/>
      <c r="B35" s="85"/>
      <c r="C35" s="85"/>
      <c r="D35" s="85"/>
      <c r="E35" s="85"/>
      <c r="F35" s="85"/>
      <c r="G35" s="85"/>
      <c r="H35" s="85"/>
      <c r="I35" s="85"/>
      <c r="J35" s="85">
        <f t="shared" si="0"/>
        <v>0</v>
      </c>
      <c r="K35" s="85"/>
      <c r="L35" s="85"/>
      <c r="M35" s="85"/>
      <c r="N35" s="98"/>
      <c r="O35" s="85">
        <f t="shared" si="1"/>
        <v>0</v>
      </c>
      <c r="P35" s="85">
        <f t="shared" si="2"/>
        <v>0</v>
      </c>
    </row>
    <row r="36" spans="1:16" ht="13.15">
      <c r="A36" s="85"/>
      <c r="B36" s="85"/>
      <c r="C36" s="85"/>
      <c r="D36" s="85"/>
      <c r="E36" s="85"/>
      <c r="F36" s="85"/>
      <c r="G36" s="85"/>
      <c r="H36" s="85"/>
      <c r="I36" s="85"/>
      <c r="J36" s="85">
        <f t="shared" si="0"/>
        <v>0</v>
      </c>
      <c r="K36" s="85"/>
      <c r="L36" s="85"/>
      <c r="M36" s="85"/>
      <c r="N36" s="98"/>
      <c r="O36" s="85">
        <f t="shared" si="1"/>
        <v>0</v>
      </c>
      <c r="P36" s="85">
        <f t="shared" si="2"/>
        <v>0</v>
      </c>
    </row>
    <row r="37" spans="1:16" ht="13.15">
      <c r="A37" s="85"/>
      <c r="B37" s="85"/>
      <c r="C37" s="85"/>
      <c r="D37" s="85"/>
      <c r="E37" s="85"/>
      <c r="F37" s="85"/>
      <c r="G37" s="85"/>
      <c r="H37" s="85"/>
      <c r="I37" s="85"/>
      <c r="J37" s="85">
        <f t="shared" si="0"/>
        <v>0</v>
      </c>
      <c r="K37" s="85"/>
      <c r="L37" s="85"/>
      <c r="M37" s="85"/>
      <c r="N37" s="98"/>
      <c r="O37" s="85">
        <f t="shared" si="1"/>
        <v>0</v>
      </c>
      <c r="P37" s="85">
        <f t="shared" si="2"/>
        <v>0</v>
      </c>
    </row>
    <row r="38" spans="1:16" ht="13.15">
      <c r="A38" s="85"/>
      <c r="B38" s="85"/>
      <c r="C38" s="85"/>
      <c r="D38" s="85"/>
      <c r="E38" s="85"/>
      <c r="F38" s="85"/>
      <c r="G38" s="85"/>
      <c r="H38" s="85"/>
      <c r="I38" s="85"/>
      <c r="J38" s="85">
        <f t="shared" si="0"/>
        <v>0</v>
      </c>
      <c r="K38" s="85"/>
      <c r="L38" s="85"/>
      <c r="M38" s="85"/>
      <c r="N38" s="98"/>
      <c r="O38" s="85">
        <f t="shared" si="1"/>
        <v>0</v>
      </c>
      <c r="P38" s="85">
        <f t="shared" si="2"/>
        <v>0</v>
      </c>
    </row>
    <row r="39" spans="1:16" ht="13.15">
      <c r="A39" s="85"/>
      <c r="B39" s="85"/>
      <c r="C39" s="85"/>
      <c r="D39" s="85"/>
      <c r="E39" s="85"/>
      <c r="F39" s="85"/>
      <c r="G39" s="85"/>
      <c r="H39" s="85"/>
      <c r="I39" s="85"/>
      <c r="J39" s="85">
        <f t="shared" si="0"/>
        <v>0</v>
      </c>
      <c r="K39" s="85"/>
      <c r="L39" s="85"/>
      <c r="M39" s="85"/>
      <c r="N39" s="98"/>
      <c r="O39" s="85">
        <f t="shared" si="1"/>
        <v>0</v>
      </c>
      <c r="P39" s="85">
        <f t="shared" si="2"/>
        <v>0</v>
      </c>
    </row>
    <row r="40" spans="1:16" ht="13.15">
      <c r="A40" s="85"/>
      <c r="B40" s="85"/>
      <c r="C40" s="85"/>
      <c r="D40" s="85"/>
      <c r="E40" s="85"/>
      <c r="F40" s="85"/>
      <c r="G40" s="85"/>
      <c r="H40" s="85"/>
      <c r="I40" s="85"/>
      <c r="J40" s="85">
        <f t="shared" si="0"/>
        <v>0</v>
      </c>
      <c r="K40" s="85"/>
      <c r="L40" s="85"/>
      <c r="M40" s="85"/>
      <c r="N40" s="98"/>
      <c r="O40" s="85">
        <f t="shared" si="1"/>
        <v>0</v>
      </c>
      <c r="P40" s="85">
        <f t="shared" si="2"/>
        <v>0</v>
      </c>
    </row>
    <row r="41" spans="1:16" ht="13.15">
      <c r="A41" s="85"/>
      <c r="B41" s="85"/>
      <c r="C41" s="85"/>
      <c r="D41" s="85"/>
      <c r="E41" s="85"/>
      <c r="F41" s="85"/>
      <c r="G41" s="85"/>
      <c r="H41" s="85"/>
      <c r="I41" s="85"/>
      <c r="J41" s="85">
        <f t="shared" si="0"/>
        <v>0</v>
      </c>
      <c r="K41" s="85"/>
      <c r="L41" s="85"/>
      <c r="M41" s="85"/>
      <c r="N41" s="98"/>
      <c r="O41" s="85">
        <f t="shared" si="1"/>
        <v>0</v>
      </c>
      <c r="P41" s="85">
        <f t="shared" si="2"/>
        <v>0</v>
      </c>
    </row>
    <row r="42" spans="1:16" ht="13.15">
      <c r="A42" s="85"/>
      <c r="B42" s="85"/>
      <c r="C42" s="85"/>
      <c r="D42" s="85"/>
      <c r="E42" s="85"/>
      <c r="F42" s="85"/>
      <c r="G42" s="85"/>
      <c r="H42" s="85"/>
      <c r="I42" s="85"/>
      <c r="J42" s="85">
        <f t="shared" si="0"/>
        <v>0</v>
      </c>
      <c r="K42" s="85"/>
      <c r="L42" s="85"/>
      <c r="M42" s="85"/>
      <c r="N42" s="98"/>
      <c r="O42" s="85">
        <f t="shared" si="1"/>
        <v>0</v>
      </c>
      <c r="P42" s="85">
        <f t="shared" si="2"/>
        <v>0</v>
      </c>
    </row>
    <row r="43" spans="1:16" ht="13.15">
      <c r="A43" s="85"/>
      <c r="B43" s="85"/>
      <c r="C43" s="85"/>
      <c r="D43" s="85"/>
      <c r="E43" s="85"/>
      <c r="F43" s="85"/>
      <c r="G43" s="85"/>
      <c r="H43" s="85"/>
      <c r="I43" s="85"/>
      <c r="J43" s="85">
        <f t="shared" si="0"/>
        <v>0</v>
      </c>
      <c r="K43" s="85"/>
      <c r="L43" s="85"/>
      <c r="M43" s="85"/>
      <c r="N43" s="98"/>
      <c r="O43" s="85">
        <f t="shared" si="1"/>
        <v>0</v>
      </c>
      <c r="P43" s="85">
        <f t="shared" si="2"/>
        <v>0</v>
      </c>
    </row>
    <row r="44" spans="1:16" ht="13.15">
      <c r="A44" s="85"/>
      <c r="B44" s="85"/>
      <c r="C44" s="85"/>
      <c r="D44" s="85"/>
      <c r="E44" s="85"/>
      <c r="F44" s="85"/>
      <c r="G44" s="85"/>
      <c r="H44" s="85"/>
      <c r="I44" s="85"/>
      <c r="J44" s="85">
        <f t="shared" si="0"/>
        <v>0</v>
      </c>
      <c r="K44" s="85"/>
      <c r="L44" s="85"/>
      <c r="M44" s="85"/>
      <c r="N44" s="98"/>
      <c r="O44" s="85">
        <f t="shared" si="1"/>
        <v>0</v>
      </c>
      <c r="P44" s="85">
        <f t="shared" si="2"/>
        <v>0</v>
      </c>
    </row>
  </sheetData>
  <mergeCells count="12">
    <mergeCell ref="M2:M3"/>
    <mergeCell ref="N2:N3"/>
    <mergeCell ref="A1:N1"/>
    <mergeCell ref="A2:A3"/>
    <mergeCell ref="B2:B3"/>
    <mergeCell ref="C2:C3"/>
    <mergeCell ref="D2:D3"/>
    <mergeCell ref="E2:E3"/>
    <mergeCell ref="I2:I3"/>
    <mergeCell ref="J2:J3"/>
    <mergeCell ref="K2:K3"/>
    <mergeCell ref="L2:L3"/>
  </mergeCells>
  <dataValidations count="1">
    <dataValidation allowBlank="1" showInputMessage="1" showErrorMessage="1" sqref="M4:M6" xr:uid="{A336A677-BC3D-4BB1-AE82-9A5D441A9483}"/>
  </dataValidations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21DC-8815-46E5-8367-8258D346AF15}">
  <sheetPr>
    <outlinePr summaryBelow="0" summaryRight="0"/>
  </sheetPr>
  <dimension ref="A1:Q53"/>
  <sheetViews>
    <sheetView showGridLines="0" workbookViewId="0">
      <pane ySplit="4" topLeftCell="A5" activePane="bottomLeft" state="frozen"/>
      <selection pane="bottomLeft" activeCell="E4" sqref="E4"/>
    </sheetView>
  </sheetViews>
  <sheetFormatPr defaultColWidth="12.5703125" defaultRowHeight="15.75" customHeight="1"/>
  <cols>
    <col min="1" max="3" width="12.5703125" style="148"/>
    <col min="4" max="4" width="25.140625" style="148" customWidth="1"/>
    <col min="5" max="8" width="9.140625" style="148"/>
    <col min="9" max="9" width="11.42578125" style="148" customWidth="1"/>
    <col min="10" max="10" width="10.42578125" style="148" customWidth="1"/>
    <col min="11" max="11" width="9.140625" style="152"/>
    <col min="12" max="12" width="14.42578125" style="148" customWidth="1"/>
    <col min="13" max="13" width="12.5703125" style="148" bestFit="1" customWidth="1"/>
    <col min="14" max="15" width="9.140625" style="148"/>
    <col min="16" max="17" width="9.140625" style="148" bestFit="1" customWidth="1"/>
    <col min="18" max="19" width="9.140625" style="148"/>
    <col min="20" max="20" width="12.5703125" style="148" bestFit="1" customWidth="1"/>
    <col min="21" max="16383" width="9.140625" style="148"/>
    <col min="16384" max="16384" width="12.5703125" style="148" bestFit="1" customWidth="1"/>
  </cols>
  <sheetData>
    <row r="1" spans="1:17" ht="22.5" customHeight="1">
      <c r="A1" s="287" t="s">
        <v>40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9"/>
      <c r="O1" s="138"/>
    </row>
    <row r="2" spans="1:17" ht="26.25" customHeight="1">
      <c r="A2" s="290" t="s">
        <v>25</v>
      </c>
      <c r="B2" s="290" t="s">
        <v>26</v>
      </c>
      <c r="C2" s="290" t="s">
        <v>27</v>
      </c>
      <c r="D2" s="290" t="s">
        <v>22</v>
      </c>
      <c r="E2" s="286" t="s">
        <v>28</v>
      </c>
      <c r="F2" s="286" t="s">
        <v>29</v>
      </c>
      <c r="G2" s="286" t="s">
        <v>30</v>
      </c>
      <c r="H2" s="286" t="s">
        <v>31</v>
      </c>
      <c r="I2" s="286" t="s">
        <v>32</v>
      </c>
      <c r="J2" s="290" t="s">
        <v>33</v>
      </c>
      <c r="K2" s="290" t="s">
        <v>34</v>
      </c>
      <c r="L2" s="290" t="s">
        <v>35</v>
      </c>
      <c r="M2" s="290" t="s">
        <v>36</v>
      </c>
      <c r="N2" s="291" t="s">
        <v>37</v>
      </c>
      <c r="O2" s="138"/>
    </row>
    <row r="3" spans="1:17" ht="23.25" customHeight="1">
      <c r="A3" s="250"/>
      <c r="B3" s="250"/>
      <c r="C3" s="250"/>
      <c r="D3" s="250"/>
      <c r="E3" s="250"/>
      <c r="F3" s="252"/>
      <c r="G3" s="252"/>
      <c r="H3" s="252"/>
      <c r="I3" s="251"/>
      <c r="J3" s="250"/>
      <c r="K3" s="250"/>
      <c r="L3" s="250"/>
      <c r="M3" s="250"/>
      <c r="N3" s="250"/>
      <c r="O3" s="138"/>
    </row>
    <row r="4" spans="1:17" ht="13.9" customHeight="1">
      <c r="A4" s="203">
        <v>46235</v>
      </c>
      <c r="B4" s="140" t="s">
        <v>56</v>
      </c>
      <c r="C4" s="140" t="s">
        <v>152</v>
      </c>
      <c r="D4" s="140" t="s">
        <v>153</v>
      </c>
      <c r="E4" s="140">
        <v>2570.5</v>
      </c>
      <c r="F4" s="141">
        <v>0</v>
      </c>
      <c r="G4" s="140">
        <v>82</v>
      </c>
      <c r="H4" s="140">
        <v>3</v>
      </c>
      <c r="I4" s="140">
        <v>76.5</v>
      </c>
      <c r="J4" s="140">
        <f>SUM(F4:I4)</f>
        <v>161.5</v>
      </c>
      <c r="K4" s="142">
        <v>2409</v>
      </c>
      <c r="L4" s="140">
        <v>3</v>
      </c>
      <c r="M4" s="140" t="s">
        <v>49</v>
      </c>
      <c r="N4" s="143">
        <f>K4/E4</f>
        <v>0.9371717564676133</v>
      </c>
      <c r="O4" s="140">
        <f>J4+K4</f>
        <v>2570.5</v>
      </c>
      <c r="P4" s="149">
        <f>O4-E4</f>
        <v>0</v>
      </c>
      <c r="Q4" s="150" t="s">
        <v>154</v>
      </c>
    </row>
    <row r="5" spans="1:17" ht="13.9" customHeight="1">
      <c r="A5" s="203">
        <v>46235</v>
      </c>
      <c r="B5" s="140" t="s">
        <v>56</v>
      </c>
      <c r="C5" s="140" t="s">
        <v>155</v>
      </c>
      <c r="D5" s="140" t="s">
        <v>133</v>
      </c>
      <c r="E5" s="140">
        <v>914</v>
      </c>
      <c r="F5" s="141">
        <v>0</v>
      </c>
      <c r="G5" s="140">
        <v>12</v>
      </c>
      <c r="H5" s="140">
        <v>2</v>
      </c>
      <c r="I5" s="140">
        <v>60</v>
      </c>
      <c r="J5" s="140">
        <f>SUM(F5:I5)</f>
        <v>74</v>
      </c>
      <c r="K5" s="142">
        <v>840</v>
      </c>
      <c r="L5" s="140">
        <v>3</v>
      </c>
      <c r="M5" s="140" t="s">
        <v>49</v>
      </c>
      <c r="N5" s="143">
        <f>K5/E5</f>
        <v>0.91903719912472648</v>
      </c>
      <c r="O5" s="140">
        <f>J5+K5</f>
        <v>914</v>
      </c>
      <c r="P5" s="150">
        <f>O5-E5</f>
        <v>0</v>
      </c>
    </row>
    <row r="6" spans="1:17" ht="13.9" customHeight="1">
      <c r="A6" s="203">
        <v>46237</v>
      </c>
      <c r="B6" s="140" t="s">
        <v>56</v>
      </c>
      <c r="C6" s="140" t="s">
        <v>152</v>
      </c>
      <c r="D6" s="140" t="s">
        <v>153</v>
      </c>
      <c r="E6" s="140">
        <v>3977</v>
      </c>
      <c r="F6" s="141">
        <v>0</v>
      </c>
      <c r="G6" s="140">
        <v>123</v>
      </c>
      <c r="H6" s="140">
        <v>3</v>
      </c>
      <c r="I6" s="140">
        <v>161</v>
      </c>
      <c r="J6" s="140">
        <f>SUM(F6:I6)</f>
        <v>287</v>
      </c>
      <c r="K6" s="142">
        <v>3690</v>
      </c>
      <c r="L6" s="140">
        <v>2</v>
      </c>
      <c r="M6" s="140" t="s">
        <v>49</v>
      </c>
      <c r="N6" s="143">
        <f>K6/E6</f>
        <v>0.92783505154639179</v>
      </c>
      <c r="O6" s="140">
        <f>J6+K6</f>
        <v>3977</v>
      </c>
      <c r="P6" s="149">
        <f>O6-E6</f>
        <v>0</v>
      </c>
      <c r="Q6" s="150" t="s">
        <v>154</v>
      </c>
    </row>
    <row r="7" spans="1:17" ht="13.9" customHeight="1">
      <c r="A7" s="203">
        <v>46237</v>
      </c>
      <c r="B7" s="140" t="s">
        <v>56</v>
      </c>
      <c r="C7" s="140" t="s">
        <v>155</v>
      </c>
      <c r="D7" s="140" t="s">
        <v>133</v>
      </c>
      <c r="E7" s="140">
        <v>850</v>
      </c>
      <c r="F7" s="141">
        <v>0</v>
      </c>
      <c r="G7" s="140">
        <v>3</v>
      </c>
      <c r="H7" s="140">
        <v>1</v>
      </c>
      <c r="I7" s="140">
        <v>31</v>
      </c>
      <c r="J7" s="140">
        <f>SUM(F7:I7)</f>
        <v>35</v>
      </c>
      <c r="K7" s="142">
        <v>815</v>
      </c>
      <c r="L7" s="140">
        <v>2</v>
      </c>
      <c r="M7" s="140" t="s">
        <v>49</v>
      </c>
      <c r="N7" s="143">
        <f>K7/E7</f>
        <v>0.95882352941176474</v>
      </c>
      <c r="O7" s="140">
        <f>J7+K7</f>
        <v>850</v>
      </c>
      <c r="P7" s="150">
        <f>O7-E7</f>
        <v>0</v>
      </c>
    </row>
    <row r="8" spans="1:17" ht="13.9" customHeight="1">
      <c r="A8" s="203">
        <v>46238</v>
      </c>
      <c r="B8" s="140" t="s">
        <v>56</v>
      </c>
      <c r="C8" s="140" t="s">
        <v>152</v>
      </c>
      <c r="D8" s="140" t="s">
        <v>153</v>
      </c>
      <c r="E8" s="140">
        <v>3977</v>
      </c>
      <c r="F8" s="140">
        <v>1</v>
      </c>
      <c r="G8" s="140">
        <v>111</v>
      </c>
      <c r="H8" s="140">
        <v>3</v>
      </c>
      <c r="I8" s="140">
        <v>112</v>
      </c>
      <c r="J8" s="140">
        <f>SUM(F8:I8)</f>
        <v>227</v>
      </c>
      <c r="K8" s="142">
        <v>3750</v>
      </c>
      <c r="L8" s="140">
        <v>3</v>
      </c>
      <c r="M8" s="140" t="s">
        <v>49</v>
      </c>
      <c r="N8" s="143">
        <f>K8/E8</f>
        <v>0.94292180035202411</v>
      </c>
      <c r="O8" s="140">
        <f>J8+K8</f>
        <v>3977</v>
      </c>
      <c r="P8" s="149">
        <f>O8-E8</f>
        <v>0</v>
      </c>
      <c r="Q8" s="150" t="s">
        <v>154</v>
      </c>
    </row>
    <row r="9" spans="1:17" ht="13.9" customHeight="1">
      <c r="A9" s="203">
        <v>46238</v>
      </c>
      <c r="B9" s="140" t="s">
        <v>56</v>
      </c>
      <c r="C9" s="140" t="s">
        <v>155</v>
      </c>
      <c r="D9" s="140" t="s">
        <v>133</v>
      </c>
      <c r="E9" s="140">
        <v>1600</v>
      </c>
      <c r="F9" s="140">
        <v>0</v>
      </c>
      <c r="G9" s="140">
        <v>6</v>
      </c>
      <c r="H9" s="140">
        <v>2</v>
      </c>
      <c r="I9" s="140">
        <v>48</v>
      </c>
      <c r="J9" s="140">
        <f>SUM(F9:I9)</f>
        <v>56</v>
      </c>
      <c r="K9" s="142">
        <v>1544</v>
      </c>
      <c r="L9" s="140">
        <v>3</v>
      </c>
      <c r="M9" s="140" t="s">
        <v>49</v>
      </c>
      <c r="N9" s="143">
        <f>K9/E9</f>
        <v>0.96499999999999997</v>
      </c>
      <c r="O9" s="140">
        <f>J9+K9</f>
        <v>1600</v>
      </c>
      <c r="P9" s="150">
        <f>O9-E9</f>
        <v>0</v>
      </c>
    </row>
    <row r="10" spans="1:17" ht="13.9" customHeight="1">
      <c r="A10" s="203">
        <v>46239</v>
      </c>
      <c r="B10" s="140" t="s">
        <v>56</v>
      </c>
      <c r="C10" s="140" t="s">
        <v>155</v>
      </c>
      <c r="D10" s="140" t="s">
        <v>153</v>
      </c>
      <c r="E10" s="140">
        <v>4462</v>
      </c>
      <c r="F10" s="140">
        <v>1</v>
      </c>
      <c r="G10" s="140">
        <v>173</v>
      </c>
      <c r="H10" s="140">
        <v>2</v>
      </c>
      <c r="I10" s="140">
        <v>193</v>
      </c>
      <c r="J10" s="140">
        <f>SUM(F10:I10)</f>
        <v>369</v>
      </c>
      <c r="K10" s="142">
        <v>4093</v>
      </c>
      <c r="L10" s="140">
        <v>3</v>
      </c>
      <c r="M10" s="140" t="s">
        <v>49</v>
      </c>
      <c r="N10" s="143">
        <f>K10/E10</f>
        <v>0.91730165844912592</v>
      </c>
      <c r="O10" s="140">
        <f>J10+K10</f>
        <v>4462</v>
      </c>
      <c r="P10" s="149">
        <f>O10-E10</f>
        <v>0</v>
      </c>
      <c r="Q10" s="150" t="s">
        <v>154</v>
      </c>
    </row>
    <row r="11" spans="1:17" ht="13.9" customHeight="1">
      <c r="A11" s="203">
        <v>46241</v>
      </c>
      <c r="B11" s="140" t="s">
        <v>56</v>
      </c>
      <c r="C11" s="140" t="s">
        <v>152</v>
      </c>
      <c r="D11" s="140" t="s">
        <v>156</v>
      </c>
      <c r="E11" s="140">
        <v>2565</v>
      </c>
      <c r="F11" s="140">
        <v>1</v>
      </c>
      <c r="G11" s="140">
        <v>91</v>
      </c>
      <c r="H11" s="140">
        <v>2</v>
      </c>
      <c r="I11" s="140">
        <v>31</v>
      </c>
      <c r="J11" s="140">
        <f>SUM(F11:I11)</f>
        <v>125</v>
      </c>
      <c r="K11" s="142">
        <v>2440</v>
      </c>
      <c r="L11" s="140">
        <v>3</v>
      </c>
      <c r="M11" s="140" t="s">
        <v>49</v>
      </c>
      <c r="N11" s="143">
        <f>K11/E11</f>
        <v>0.95126705653021437</v>
      </c>
      <c r="O11" s="140">
        <f>J11+K11</f>
        <v>2565</v>
      </c>
      <c r="P11" s="149">
        <f>O11-E11</f>
        <v>0</v>
      </c>
      <c r="Q11" s="150" t="s">
        <v>154</v>
      </c>
    </row>
    <row r="12" spans="1:17" ht="13.9" customHeight="1">
      <c r="A12" s="203">
        <v>46241</v>
      </c>
      <c r="B12" s="140" t="s">
        <v>56</v>
      </c>
      <c r="C12" s="140" t="s">
        <v>152</v>
      </c>
      <c r="D12" s="140" t="s">
        <v>153</v>
      </c>
      <c r="E12" s="140">
        <v>1697.5</v>
      </c>
      <c r="F12" s="140">
        <v>0</v>
      </c>
      <c r="G12" s="140">
        <v>56</v>
      </c>
      <c r="H12" s="140">
        <v>2</v>
      </c>
      <c r="I12" s="140">
        <v>83.5</v>
      </c>
      <c r="J12" s="140">
        <f>SUM(F12:I12)</f>
        <v>141.5</v>
      </c>
      <c r="K12" s="142">
        <v>1556</v>
      </c>
      <c r="L12" s="140">
        <v>3</v>
      </c>
      <c r="M12" s="140" t="s">
        <v>49</v>
      </c>
      <c r="N12" s="143">
        <f>K12/E12</f>
        <v>0.91664212076583207</v>
      </c>
      <c r="O12" s="140">
        <f>J12+K12</f>
        <v>1697.5</v>
      </c>
      <c r="P12" s="149">
        <f>O12-E12</f>
        <v>0</v>
      </c>
      <c r="Q12" s="150" t="s">
        <v>154</v>
      </c>
    </row>
    <row r="13" spans="1:17" ht="13.9" customHeight="1">
      <c r="A13" s="203">
        <v>46242</v>
      </c>
      <c r="B13" s="140" t="s">
        <v>56</v>
      </c>
      <c r="C13" s="140" t="s">
        <v>152</v>
      </c>
      <c r="D13" s="140" t="s">
        <v>156</v>
      </c>
      <c r="E13" s="140">
        <v>2422.5</v>
      </c>
      <c r="F13" s="140">
        <v>0</v>
      </c>
      <c r="G13" s="140">
        <v>52</v>
      </c>
      <c r="H13" s="140">
        <v>2</v>
      </c>
      <c r="I13" s="140">
        <v>59.5</v>
      </c>
      <c r="J13" s="140">
        <f>SUM(F13:I13)</f>
        <v>113.5</v>
      </c>
      <c r="K13" s="142">
        <v>2309</v>
      </c>
      <c r="L13" s="140">
        <v>3</v>
      </c>
      <c r="M13" s="140" t="s">
        <v>49</v>
      </c>
      <c r="N13" s="143">
        <f>K13/E13</f>
        <v>0.95314757481940149</v>
      </c>
      <c r="O13" s="140">
        <f>J13+K13</f>
        <v>2422.5</v>
      </c>
      <c r="P13" s="149">
        <f>O13-E13</f>
        <v>0</v>
      </c>
      <c r="Q13" s="150" t="s">
        <v>154</v>
      </c>
    </row>
    <row r="14" spans="1:17" ht="13.9" customHeight="1">
      <c r="A14" s="203">
        <v>46242</v>
      </c>
      <c r="B14" s="140" t="s">
        <v>56</v>
      </c>
      <c r="C14" s="140" t="s">
        <v>155</v>
      </c>
      <c r="D14" s="140" t="s">
        <v>153</v>
      </c>
      <c r="E14" s="140">
        <v>1503.5</v>
      </c>
      <c r="F14" s="140">
        <v>1</v>
      </c>
      <c r="G14" s="140">
        <v>49</v>
      </c>
      <c r="H14" s="140">
        <v>2</v>
      </c>
      <c r="I14" s="140">
        <v>59.5</v>
      </c>
      <c r="J14" s="140">
        <f>SUM(F14:I14)</f>
        <v>111.5</v>
      </c>
      <c r="K14" s="142">
        <v>1392</v>
      </c>
      <c r="L14" s="140">
        <v>3</v>
      </c>
      <c r="M14" s="140" t="s">
        <v>49</v>
      </c>
      <c r="N14" s="143">
        <f>K14/E14</f>
        <v>0.92583970734951782</v>
      </c>
      <c r="O14" s="140">
        <f>J14+K14</f>
        <v>1503.5</v>
      </c>
      <c r="P14" s="149">
        <f>O14-E14</f>
        <v>0</v>
      </c>
      <c r="Q14" s="150" t="s">
        <v>154</v>
      </c>
    </row>
    <row r="15" spans="1:17" ht="15.75" customHeight="1">
      <c r="A15" s="203">
        <v>46243</v>
      </c>
      <c r="B15" s="140" t="s">
        <v>56</v>
      </c>
      <c r="C15" s="140" t="s">
        <v>155</v>
      </c>
      <c r="D15" s="140" t="s">
        <v>153</v>
      </c>
      <c r="E15" s="140">
        <v>3201</v>
      </c>
      <c r="F15" s="140">
        <v>1</v>
      </c>
      <c r="G15" s="140">
        <v>63</v>
      </c>
      <c r="H15" s="140">
        <v>6</v>
      </c>
      <c r="I15" s="140">
        <v>185</v>
      </c>
      <c r="J15" s="140">
        <f>SUM(F15:I15)</f>
        <v>255</v>
      </c>
      <c r="K15" s="142">
        <v>2946</v>
      </c>
      <c r="L15" s="140">
        <v>3</v>
      </c>
      <c r="M15" s="140" t="s">
        <v>49</v>
      </c>
      <c r="N15" s="143">
        <f>K15/E15</f>
        <v>0.92033739456419872</v>
      </c>
      <c r="O15" s="140">
        <f>J15+K15</f>
        <v>3201</v>
      </c>
      <c r="P15" s="149">
        <f>O15-E15</f>
        <v>0</v>
      </c>
      <c r="Q15" s="150" t="s">
        <v>154</v>
      </c>
    </row>
    <row r="16" spans="1:17" ht="13.9" customHeight="1">
      <c r="A16" s="203">
        <v>46244</v>
      </c>
      <c r="B16" s="140" t="s">
        <v>56</v>
      </c>
      <c r="C16" s="140" t="s">
        <v>152</v>
      </c>
      <c r="D16" s="140" t="s">
        <v>153</v>
      </c>
      <c r="E16" s="140">
        <v>4025.5</v>
      </c>
      <c r="F16" s="140">
        <v>1</v>
      </c>
      <c r="G16" s="140">
        <v>101</v>
      </c>
      <c r="H16" s="140">
        <v>3</v>
      </c>
      <c r="I16" s="140">
        <v>141.5</v>
      </c>
      <c r="J16" s="140">
        <f>SUM(F16:I16)</f>
        <v>246.5</v>
      </c>
      <c r="K16" s="142">
        <v>3779</v>
      </c>
      <c r="L16" s="140">
        <v>3</v>
      </c>
      <c r="M16" s="140" t="s">
        <v>49</v>
      </c>
      <c r="N16" s="143">
        <f>K16/E16</f>
        <v>0.9387653707613961</v>
      </c>
      <c r="O16" s="140">
        <f>J16+K16</f>
        <v>4025.5</v>
      </c>
      <c r="P16" s="149">
        <f>O16-E16</f>
        <v>0</v>
      </c>
      <c r="Q16" s="150" t="s">
        <v>154</v>
      </c>
    </row>
    <row r="17" spans="1:17" ht="15.75" customHeight="1">
      <c r="A17" s="203">
        <v>46245</v>
      </c>
      <c r="B17" s="140" t="s">
        <v>56</v>
      </c>
      <c r="C17" s="140" t="s">
        <v>152</v>
      </c>
      <c r="D17" s="140" t="s">
        <v>153</v>
      </c>
      <c r="E17" s="140">
        <v>3783</v>
      </c>
      <c r="F17" s="140">
        <v>1</v>
      </c>
      <c r="G17" s="140">
        <v>106</v>
      </c>
      <c r="H17" s="140">
        <v>2</v>
      </c>
      <c r="I17" s="140">
        <v>66</v>
      </c>
      <c r="J17" s="140">
        <f>SUM(F17:I17)</f>
        <v>175</v>
      </c>
      <c r="K17" s="142">
        <v>3608</v>
      </c>
      <c r="L17" s="140">
        <v>3</v>
      </c>
      <c r="M17" s="140" t="s">
        <v>49</v>
      </c>
      <c r="N17" s="143">
        <f>K17/E17</f>
        <v>0.95374041765794348</v>
      </c>
      <c r="O17" s="140">
        <f>J17+K17</f>
        <v>3783</v>
      </c>
      <c r="P17" s="149">
        <f>O17-E17</f>
        <v>0</v>
      </c>
      <c r="Q17" s="150" t="s">
        <v>154</v>
      </c>
    </row>
    <row r="18" spans="1:17" ht="15.75" customHeight="1">
      <c r="A18" s="203">
        <v>46246</v>
      </c>
      <c r="B18" s="140" t="s">
        <v>56</v>
      </c>
      <c r="C18" s="140" t="s">
        <v>152</v>
      </c>
      <c r="D18" s="140" t="s">
        <v>153</v>
      </c>
      <c r="E18" s="140">
        <v>3346.5</v>
      </c>
      <c r="F18" s="140">
        <v>1</v>
      </c>
      <c r="G18" s="140">
        <v>74</v>
      </c>
      <c r="H18" s="140">
        <v>2</v>
      </c>
      <c r="I18" s="140">
        <v>149.5</v>
      </c>
      <c r="J18" s="140">
        <f>SUM(F18:I18)</f>
        <v>226.5</v>
      </c>
      <c r="K18" s="142">
        <v>3120</v>
      </c>
      <c r="L18" s="140">
        <v>4</v>
      </c>
      <c r="M18" s="140" t="s">
        <v>49</v>
      </c>
      <c r="N18" s="143">
        <f>K18/E18</f>
        <v>0.93231734648139852</v>
      </c>
      <c r="O18" s="140">
        <f>J18+K18</f>
        <v>3346.5</v>
      </c>
      <c r="P18" s="149">
        <f>O18-E18</f>
        <v>0</v>
      </c>
      <c r="Q18" s="150" t="s">
        <v>154</v>
      </c>
    </row>
    <row r="19" spans="1:17" ht="13.9" customHeight="1">
      <c r="A19" s="203">
        <v>46246</v>
      </c>
      <c r="B19" s="140" t="s">
        <v>56</v>
      </c>
      <c r="C19" s="140" t="s">
        <v>155</v>
      </c>
      <c r="D19" s="140" t="s">
        <v>153</v>
      </c>
      <c r="E19" s="140">
        <v>1406.5</v>
      </c>
      <c r="F19" s="140">
        <v>0</v>
      </c>
      <c r="G19" s="140">
        <v>12</v>
      </c>
      <c r="H19" s="140">
        <v>2</v>
      </c>
      <c r="I19" s="140">
        <v>55.5</v>
      </c>
      <c r="J19" s="140">
        <f>SUM(F19:I19)</f>
        <v>69.5</v>
      </c>
      <c r="K19" s="142">
        <v>1337</v>
      </c>
      <c r="L19" s="140">
        <v>4</v>
      </c>
      <c r="M19" s="140" t="s">
        <v>49</v>
      </c>
      <c r="N19" s="143">
        <f>K19/E19</f>
        <v>0.9505865623889086</v>
      </c>
      <c r="O19" s="140">
        <f>J19+K19</f>
        <v>1406.5</v>
      </c>
      <c r="P19" s="149">
        <f>O19-E19</f>
        <v>0</v>
      </c>
      <c r="Q19" s="150" t="s">
        <v>154</v>
      </c>
    </row>
    <row r="20" spans="1:17" ht="15.75" customHeight="1">
      <c r="A20" s="203">
        <v>46247</v>
      </c>
      <c r="B20" s="140" t="s">
        <v>56</v>
      </c>
      <c r="C20" s="140" t="s">
        <v>152</v>
      </c>
      <c r="D20" s="140" t="s">
        <v>156</v>
      </c>
      <c r="E20" s="140">
        <v>1615</v>
      </c>
      <c r="F20" s="140">
        <v>2</v>
      </c>
      <c r="G20" s="140">
        <v>23</v>
      </c>
      <c r="H20" s="140">
        <v>1</v>
      </c>
      <c r="I20" s="140">
        <v>69</v>
      </c>
      <c r="J20" s="140">
        <f>SUM(F20:I20)</f>
        <v>95</v>
      </c>
      <c r="K20" s="142">
        <v>1520</v>
      </c>
      <c r="L20" s="140">
        <v>4</v>
      </c>
      <c r="M20" s="140" t="s">
        <v>49</v>
      </c>
      <c r="N20" s="143">
        <f>K20/E20</f>
        <v>0.94117647058823528</v>
      </c>
      <c r="O20" s="140">
        <f>J20+K20</f>
        <v>1615</v>
      </c>
      <c r="P20" s="149">
        <f>O20-E20</f>
        <v>0</v>
      </c>
      <c r="Q20" s="150" t="s">
        <v>154</v>
      </c>
    </row>
    <row r="21" spans="1:17" ht="13.9" customHeight="1">
      <c r="A21" s="203">
        <v>46248</v>
      </c>
      <c r="B21" s="140" t="s">
        <v>56</v>
      </c>
      <c r="C21" s="140" t="s">
        <v>155</v>
      </c>
      <c r="D21" s="140" t="s">
        <v>153</v>
      </c>
      <c r="E21" s="140">
        <v>630.5</v>
      </c>
      <c r="F21" s="140">
        <v>0</v>
      </c>
      <c r="G21" s="140">
        <v>4</v>
      </c>
      <c r="H21" s="140">
        <v>1</v>
      </c>
      <c r="I21" s="140">
        <v>27.5</v>
      </c>
      <c r="J21" s="140">
        <f>SUM(F21:I21)</f>
        <v>32.5</v>
      </c>
      <c r="K21" s="142">
        <v>598</v>
      </c>
      <c r="L21" s="140">
        <v>3</v>
      </c>
      <c r="M21" s="140" t="s">
        <v>49</v>
      </c>
      <c r="N21" s="143">
        <f>K21/E21</f>
        <v>0.94845360824742264</v>
      </c>
      <c r="O21" s="140">
        <f>J21+K21</f>
        <v>630.5</v>
      </c>
      <c r="P21" s="149">
        <f>O21-E21</f>
        <v>0</v>
      </c>
      <c r="Q21" s="150" t="s">
        <v>154</v>
      </c>
    </row>
    <row r="22" spans="1:17" ht="13.9" customHeight="1">
      <c r="A22" s="203">
        <v>46248</v>
      </c>
      <c r="B22" s="140" t="s">
        <v>56</v>
      </c>
      <c r="C22" s="140" t="s">
        <v>152</v>
      </c>
      <c r="D22" s="140" t="s">
        <v>153</v>
      </c>
      <c r="E22" s="140">
        <v>4171</v>
      </c>
      <c r="F22" s="140">
        <v>0</v>
      </c>
      <c r="G22" s="140">
        <v>130</v>
      </c>
      <c r="H22" s="140">
        <v>2</v>
      </c>
      <c r="I22" s="140">
        <v>98</v>
      </c>
      <c r="J22" s="140">
        <f>SUM(F22:I22)</f>
        <v>230</v>
      </c>
      <c r="K22" s="142">
        <v>3941</v>
      </c>
      <c r="L22" s="140">
        <v>3</v>
      </c>
      <c r="M22" s="140" t="s">
        <v>49</v>
      </c>
      <c r="N22" s="143">
        <f>K22/E22</f>
        <v>0.94485734835770796</v>
      </c>
      <c r="O22" s="140">
        <f>J22+K22</f>
        <v>4171</v>
      </c>
      <c r="P22" s="149">
        <f>O22-E22</f>
        <v>0</v>
      </c>
      <c r="Q22" s="150" t="s">
        <v>154</v>
      </c>
    </row>
    <row r="23" spans="1:17" ht="13.9" customHeight="1">
      <c r="A23" s="203">
        <v>46248</v>
      </c>
      <c r="B23" s="140" t="s">
        <v>56</v>
      </c>
      <c r="C23" s="140" t="s">
        <v>155</v>
      </c>
      <c r="D23" s="140" t="s">
        <v>157</v>
      </c>
      <c r="E23" s="140">
        <v>150</v>
      </c>
      <c r="F23" s="140">
        <v>0</v>
      </c>
      <c r="G23" s="140">
        <v>0</v>
      </c>
      <c r="H23" s="140">
        <v>0</v>
      </c>
      <c r="I23" s="140">
        <v>13</v>
      </c>
      <c r="J23" s="140">
        <f>SUM(F23:I23)</f>
        <v>13</v>
      </c>
      <c r="K23" s="142">
        <v>137</v>
      </c>
      <c r="L23" s="140">
        <v>1</v>
      </c>
      <c r="M23" s="140" t="s">
        <v>49</v>
      </c>
      <c r="N23" s="143">
        <f>K23/E23</f>
        <v>0.91333333333333333</v>
      </c>
      <c r="O23" s="140">
        <f>J23+K23</f>
        <v>150</v>
      </c>
      <c r="P23" s="150">
        <f>O23-E23</f>
        <v>0</v>
      </c>
    </row>
    <row r="24" spans="1:17" ht="13.9" customHeight="1">
      <c r="A24" s="204">
        <v>46251</v>
      </c>
      <c r="B24" s="140" t="s">
        <v>56</v>
      </c>
      <c r="C24" s="140" t="s">
        <v>152</v>
      </c>
      <c r="D24" s="140" t="s">
        <v>153</v>
      </c>
      <c r="E24" s="140">
        <v>2958.5</v>
      </c>
      <c r="F24" s="140">
        <v>0</v>
      </c>
      <c r="G24" s="140">
        <v>70</v>
      </c>
      <c r="H24" s="140">
        <v>3</v>
      </c>
      <c r="I24" s="140">
        <v>85.5</v>
      </c>
      <c r="J24" s="140">
        <f>SUM(F24:I24)</f>
        <v>158.5</v>
      </c>
      <c r="K24" s="142">
        <v>2800</v>
      </c>
      <c r="L24" s="140">
        <v>1</v>
      </c>
      <c r="M24" s="140" t="s">
        <v>49</v>
      </c>
      <c r="N24" s="143">
        <f>K24/E24</f>
        <v>0.94642555348994428</v>
      </c>
      <c r="O24" s="140">
        <f>J24+K24</f>
        <v>2958.5</v>
      </c>
      <c r="P24" s="149">
        <f>O24-E24</f>
        <v>0</v>
      </c>
      <c r="Q24" s="150" t="s">
        <v>154</v>
      </c>
    </row>
    <row r="25" spans="1:17" ht="13.9" customHeight="1">
      <c r="A25" s="204">
        <v>46251</v>
      </c>
      <c r="B25" s="140" t="s">
        <v>56</v>
      </c>
      <c r="C25" s="140" t="s">
        <v>155</v>
      </c>
      <c r="D25" s="140" t="s">
        <v>157</v>
      </c>
      <c r="E25" s="140">
        <v>3400</v>
      </c>
      <c r="F25" s="140">
        <v>0</v>
      </c>
      <c r="G25" s="140">
        <v>22</v>
      </c>
      <c r="H25" s="140">
        <v>3</v>
      </c>
      <c r="I25" s="140">
        <v>197</v>
      </c>
      <c r="J25" s="140">
        <f>SUM(F25:I25)</f>
        <v>222</v>
      </c>
      <c r="K25" s="142">
        <v>3178</v>
      </c>
      <c r="L25" s="140">
        <v>4</v>
      </c>
      <c r="M25" s="140" t="s">
        <v>49</v>
      </c>
      <c r="N25" s="143">
        <f>K25/E25</f>
        <v>0.93470588235294116</v>
      </c>
      <c r="O25" s="140">
        <f>J25+K25</f>
        <v>3400</v>
      </c>
      <c r="P25" s="150">
        <f>O25-E25</f>
        <v>0</v>
      </c>
      <c r="Q25" s="148" t="s">
        <v>154</v>
      </c>
    </row>
    <row r="26" spans="1:17" ht="13.9" customHeight="1">
      <c r="A26" s="204">
        <v>46252</v>
      </c>
      <c r="B26" s="140" t="s">
        <v>56</v>
      </c>
      <c r="C26" s="140" t="s">
        <v>152</v>
      </c>
      <c r="D26" s="140" t="s">
        <v>157</v>
      </c>
      <c r="E26" s="140">
        <v>3850</v>
      </c>
      <c r="F26" s="140">
        <v>1</v>
      </c>
      <c r="G26" s="140">
        <v>30</v>
      </c>
      <c r="H26" s="140">
        <v>3</v>
      </c>
      <c r="I26" s="140">
        <v>176</v>
      </c>
      <c r="J26" s="140">
        <f>SUM(F26:I26)</f>
        <v>210</v>
      </c>
      <c r="K26" s="142">
        <v>3640</v>
      </c>
      <c r="L26" s="140">
        <v>4</v>
      </c>
      <c r="M26" s="140" t="s">
        <v>49</v>
      </c>
      <c r="N26" s="143">
        <f>K26/E26</f>
        <v>0.94545454545454544</v>
      </c>
      <c r="O26" s="140">
        <f>J26+K26</f>
        <v>3850</v>
      </c>
      <c r="P26" s="150">
        <f>O26-E26</f>
        <v>0</v>
      </c>
      <c r="Q26" s="148" t="s">
        <v>154</v>
      </c>
    </row>
    <row r="27" spans="1:17" ht="13.9" customHeight="1">
      <c r="A27" s="204">
        <v>46252</v>
      </c>
      <c r="B27" s="140" t="s">
        <v>56</v>
      </c>
      <c r="C27" s="140" t="s">
        <v>152</v>
      </c>
      <c r="D27" s="140" t="s">
        <v>153</v>
      </c>
      <c r="E27" s="140">
        <v>3637</v>
      </c>
      <c r="F27" s="140">
        <v>1</v>
      </c>
      <c r="G27" s="140">
        <v>147</v>
      </c>
      <c r="H27" s="140">
        <v>3</v>
      </c>
      <c r="I27" s="140">
        <v>132</v>
      </c>
      <c r="J27" s="140">
        <f>SUM(F27:I27)</f>
        <v>283</v>
      </c>
      <c r="K27" s="142">
        <v>3354</v>
      </c>
      <c r="L27" s="140">
        <v>4</v>
      </c>
      <c r="M27" s="140" t="s">
        <v>49</v>
      </c>
      <c r="N27" s="143">
        <f>K27/E27</f>
        <v>0.92218861699202637</v>
      </c>
      <c r="O27" s="140">
        <f>J27+K27</f>
        <v>3637</v>
      </c>
      <c r="P27" s="149">
        <f>O27-E27</f>
        <v>0</v>
      </c>
      <c r="Q27" s="150" t="s">
        <v>154</v>
      </c>
    </row>
    <row r="28" spans="1:17" ht="13.9" customHeight="1">
      <c r="A28" s="204">
        <v>46253</v>
      </c>
      <c r="B28" s="140" t="s">
        <v>56</v>
      </c>
      <c r="C28" s="140" t="s">
        <v>155</v>
      </c>
      <c r="D28" s="140" t="s">
        <v>157</v>
      </c>
      <c r="E28" s="140">
        <v>3000</v>
      </c>
      <c r="F28" s="140">
        <v>1</v>
      </c>
      <c r="G28" s="140">
        <v>125</v>
      </c>
      <c r="H28" s="140">
        <v>2</v>
      </c>
      <c r="I28" s="140">
        <v>72</v>
      </c>
      <c r="J28" s="140">
        <f>SUM(F28:I28)</f>
        <v>200</v>
      </c>
      <c r="K28" s="140">
        <v>2800</v>
      </c>
      <c r="L28" s="140">
        <v>4</v>
      </c>
      <c r="M28" s="140" t="s">
        <v>49</v>
      </c>
      <c r="N28" s="143">
        <f>K28/E28</f>
        <v>0.93333333333333335</v>
      </c>
      <c r="O28" s="140">
        <f>J28+K28</f>
        <v>3000</v>
      </c>
      <c r="P28" s="150">
        <f>O28-E28</f>
        <v>0</v>
      </c>
    </row>
    <row r="29" spans="1:17" ht="13.9" customHeight="1">
      <c r="A29" s="204">
        <v>46254</v>
      </c>
      <c r="B29" s="140" t="s">
        <v>56</v>
      </c>
      <c r="C29" s="140" t="s">
        <v>155</v>
      </c>
      <c r="D29" s="140" t="s">
        <v>133</v>
      </c>
      <c r="E29" s="140">
        <v>950</v>
      </c>
      <c r="F29" s="140">
        <v>1</v>
      </c>
      <c r="G29" s="140">
        <v>12</v>
      </c>
      <c r="H29" s="140">
        <v>1</v>
      </c>
      <c r="I29" s="140">
        <v>52</v>
      </c>
      <c r="J29" s="140">
        <f>SUM(F29:I29)</f>
        <v>66</v>
      </c>
      <c r="K29" s="142">
        <v>884</v>
      </c>
      <c r="L29" s="140">
        <v>3</v>
      </c>
      <c r="M29" s="140" t="s">
        <v>49</v>
      </c>
      <c r="N29" s="143">
        <f>K29/E29</f>
        <v>0.93052631578947365</v>
      </c>
      <c r="O29" s="140">
        <f>J29+K29</f>
        <v>950</v>
      </c>
      <c r="P29" s="150">
        <f>O29-E29</f>
        <v>0</v>
      </c>
    </row>
    <row r="30" spans="1:17" ht="13.9" customHeight="1">
      <c r="A30" s="204">
        <v>46255</v>
      </c>
      <c r="B30" s="140" t="s">
        <v>56</v>
      </c>
      <c r="C30" s="140" t="s">
        <v>152</v>
      </c>
      <c r="D30" s="140" t="s">
        <v>153</v>
      </c>
      <c r="E30" s="140">
        <v>3055.5</v>
      </c>
      <c r="F30" s="140">
        <v>1</v>
      </c>
      <c r="G30" s="140">
        <v>56</v>
      </c>
      <c r="H30" s="140">
        <v>2</v>
      </c>
      <c r="I30" s="140">
        <v>143.5</v>
      </c>
      <c r="J30" s="140">
        <f>SUM(F30:I30)</f>
        <v>202.5</v>
      </c>
      <c r="K30" s="142">
        <v>2853</v>
      </c>
      <c r="L30" s="140">
        <v>4</v>
      </c>
      <c r="M30" s="140" t="s">
        <v>49</v>
      </c>
      <c r="N30" s="143">
        <f>K30/E30</f>
        <v>0.93372606774668632</v>
      </c>
      <c r="O30" s="140">
        <f>J30+K30</f>
        <v>3055.5</v>
      </c>
      <c r="P30" s="149">
        <f>O30-E30</f>
        <v>0</v>
      </c>
      <c r="Q30" s="150" t="s">
        <v>154</v>
      </c>
    </row>
    <row r="31" spans="1:17" ht="13.9" customHeight="1">
      <c r="A31" s="204">
        <v>46256</v>
      </c>
      <c r="B31" s="140" t="s">
        <v>56</v>
      </c>
      <c r="C31" s="140" t="s">
        <v>152</v>
      </c>
      <c r="D31" s="140" t="s">
        <v>153</v>
      </c>
      <c r="E31" s="140">
        <v>4510.5</v>
      </c>
      <c r="F31" s="140">
        <v>1</v>
      </c>
      <c r="G31" s="140">
        <v>165</v>
      </c>
      <c r="H31" s="140">
        <v>3</v>
      </c>
      <c r="I31" s="140">
        <v>141.5</v>
      </c>
      <c r="J31" s="140">
        <f>SUM(F31:I31)</f>
        <v>310.5</v>
      </c>
      <c r="K31" s="142">
        <v>4200</v>
      </c>
      <c r="L31" s="140">
        <v>4</v>
      </c>
      <c r="M31" s="140" t="s">
        <v>49</v>
      </c>
      <c r="N31" s="143">
        <f>K31/E31</f>
        <v>0.93116062520784837</v>
      </c>
      <c r="O31" s="140">
        <f>J31+K31</f>
        <v>4510.5</v>
      </c>
      <c r="P31" s="149">
        <f>O31-E31</f>
        <v>0</v>
      </c>
      <c r="Q31" s="150" t="s">
        <v>154</v>
      </c>
    </row>
    <row r="32" spans="1:17" ht="13.9" customHeight="1">
      <c r="A32" s="204">
        <v>46258</v>
      </c>
      <c r="B32" s="140" t="s">
        <v>56</v>
      </c>
      <c r="C32" s="140" t="s">
        <v>152</v>
      </c>
      <c r="D32" s="140" t="s">
        <v>153</v>
      </c>
      <c r="E32" s="140">
        <v>2231</v>
      </c>
      <c r="F32" s="140">
        <v>1</v>
      </c>
      <c r="G32" s="140">
        <v>69</v>
      </c>
      <c r="H32" s="140">
        <v>3</v>
      </c>
      <c r="I32" s="140">
        <v>68</v>
      </c>
      <c r="J32" s="140">
        <f>SUM(F32:I32)</f>
        <v>141</v>
      </c>
      <c r="K32" s="142">
        <v>2090</v>
      </c>
      <c r="L32" s="140">
        <v>4</v>
      </c>
      <c r="M32" s="140" t="s">
        <v>49</v>
      </c>
      <c r="N32" s="143">
        <f>K32/E32</f>
        <v>0.93679964141640515</v>
      </c>
      <c r="O32" s="140">
        <f>J32+K32</f>
        <v>2231</v>
      </c>
      <c r="P32" s="149">
        <f>O32-E32</f>
        <v>0</v>
      </c>
      <c r="Q32" s="150" t="s">
        <v>154</v>
      </c>
    </row>
    <row r="33" spans="1:16" ht="13.9" customHeight="1">
      <c r="A33" s="204">
        <v>46258</v>
      </c>
      <c r="B33" s="140" t="s">
        <v>56</v>
      </c>
      <c r="C33" s="140" t="s">
        <v>155</v>
      </c>
      <c r="D33" s="140" t="s">
        <v>157</v>
      </c>
      <c r="E33" s="140">
        <v>450</v>
      </c>
      <c r="F33" s="140">
        <v>0</v>
      </c>
      <c r="G33" s="140">
        <v>5</v>
      </c>
      <c r="H33" s="140">
        <v>1</v>
      </c>
      <c r="I33" s="140">
        <v>35</v>
      </c>
      <c r="J33" s="140">
        <f>SUM(F33:I33)</f>
        <v>41</v>
      </c>
      <c r="K33" s="142">
        <v>409</v>
      </c>
      <c r="L33" s="140">
        <v>4</v>
      </c>
      <c r="M33" s="140" t="s">
        <v>49</v>
      </c>
      <c r="N33" s="143">
        <f>K33/E33</f>
        <v>0.90888888888888886</v>
      </c>
      <c r="O33" s="140">
        <f>J33+K33</f>
        <v>450</v>
      </c>
      <c r="P33" s="150">
        <f>O33-E33</f>
        <v>0</v>
      </c>
    </row>
    <row r="34" spans="1:16" ht="13.9" customHeight="1">
      <c r="A34" s="204">
        <v>46256</v>
      </c>
      <c r="B34" s="140" t="s">
        <v>56</v>
      </c>
      <c r="C34" s="140" t="s">
        <v>155</v>
      </c>
      <c r="D34" s="140" t="s">
        <v>153</v>
      </c>
      <c r="E34" s="140">
        <v>4200</v>
      </c>
      <c r="F34" s="141">
        <v>1</v>
      </c>
      <c r="G34" s="140">
        <v>193</v>
      </c>
      <c r="H34" s="140">
        <v>3</v>
      </c>
      <c r="I34" s="140">
        <v>153</v>
      </c>
      <c r="J34" s="140">
        <f>SUM(F34:I34)</f>
        <v>350</v>
      </c>
      <c r="K34" s="142">
        <v>3850</v>
      </c>
      <c r="L34" s="140">
        <v>4</v>
      </c>
      <c r="M34" s="140" t="s">
        <v>49</v>
      </c>
      <c r="N34" s="143">
        <f>K34/E34</f>
        <v>0.91666666666666663</v>
      </c>
      <c r="O34" s="140">
        <f>J34+K34</f>
        <v>4200</v>
      </c>
      <c r="P34" s="150">
        <f>O34-E34</f>
        <v>0</v>
      </c>
    </row>
    <row r="35" spans="1:16" ht="13.9" customHeight="1">
      <c r="A35" s="204">
        <v>46259</v>
      </c>
      <c r="B35" s="140" t="s">
        <v>56</v>
      </c>
      <c r="C35" s="140" t="s">
        <v>152</v>
      </c>
      <c r="D35" s="140" t="s">
        <v>157</v>
      </c>
      <c r="E35" s="140">
        <v>3100</v>
      </c>
      <c r="F35" s="140">
        <v>1</v>
      </c>
      <c r="G35" s="140">
        <v>54</v>
      </c>
      <c r="H35" s="140">
        <v>2</v>
      </c>
      <c r="I35" s="140">
        <v>89</v>
      </c>
      <c r="J35" s="140">
        <f>SUM(F35:I35)</f>
        <v>146</v>
      </c>
      <c r="K35" s="142">
        <v>2954</v>
      </c>
      <c r="L35" s="140">
        <v>4</v>
      </c>
      <c r="M35" s="140" t="s">
        <v>49</v>
      </c>
      <c r="N35" s="143">
        <f>K35/E35</f>
        <v>0.95290322580645159</v>
      </c>
      <c r="O35" s="140">
        <f>J35+K35</f>
        <v>3100</v>
      </c>
      <c r="P35" s="150">
        <f>O35-E35</f>
        <v>0</v>
      </c>
    </row>
    <row r="36" spans="1:16" ht="13.9" customHeight="1">
      <c r="A36" s="204">
        <v>46259</v>
      </c>
      <c r="B36" s="140" t="s">
        <v>56</v>
      </c>
      <c r="C36" s="140" t="s">
        <v>155</v>
      </c>
      <c r="D36" s="140" t="s">
        <v>158</v>
      </c>
      <c r="E36" s="140">
        <v>700</v>
      </c>
      <c r="F36" s="140">
        <v>0</v>
      </c>
      <c r="G36" s="140">
        <v>0</v>
      </c>
      <c r="H36" s="140">
        <v>0.5</v>
      </c>
      <c r="I36" s="140">
        <v>26.5</v>
      </c>
      <c r="J36" s="140">
        <f>SUM(F36:I36)</f>
        <v>27</v>
      </c>
      <c r="K36" s="142">
        <v>673</v>
      </c>
      <c r="L36" s="140">
        <v>4</v>
      </c>
      <c r="M36" s="140" t="s">
        <v>49</v>
      </c>
      <c r="N36" s="143">
        <f>K36/E36</f>
        <v>0.96142857142857141</v>
      </c>
      <c r="O36" s="140">
        <f>J36+K36</f>
        <v>700</v>
      </c>
      <c r="P36" s="150">
        <f>O36-E36</f>
        <v>0</v>
      </c>
    </row>
    <row r="37" spans="1:16" ht="13.9" customHeight="1">
      <c r="A37" s="204">
        <v>46260</v>
      </c>
      <c r="B37" s="140" t="s">
        <v>56</v>
      </c>
      <c r="C37" s="140" t="s">
        <v>152</v>
      </c>
      <c r="D37" s="140" t="s">
        <v>157</v>
      </c>
      <c r="E37" s="140">
        <v>1700</v>
      </c>
      <c r="F37" s="140">
        <v>0</v>
      </c>
      <c r="G37" s="140">
        <v>29</v>
      </c>
      <c r="H37" s="140">
        <v>1</v>
      </c>
      <c r="I37" s="140">
        <v>65</v>
      </c>
      <c r="J37" s="140">
        <f>SUM(F37:I37)</f>
        <v>95</v>
      </c>
      <c r="K37" s="142">
        <v>1605</v>
      </c>
      <c r="L37" s="140">
        <v>3</v>
      </c>
      <c r="M37" s="140" t="s">
        <v>49</v>
      </c>
      <c r="N37" s="143">
        <f>K37/E37</f>
        <v>0.94411764705882351</v>
      </c>
      <c r="O37" s="140">
        <f>J37+K37</f>
        <v>1700</v>
      </c>
      <c r="P37" s="150">
        <f>O37-E37</f>
        <v>0</v>
      </c>
    </row>
    <row r="38" spans="1:16" ht="13.9" customHeight="1">
      <c r="A38" s="204">
        <v>46260</v>
      </c>
      <c r="B38" s="140" t="s">
        <v>56</v>
      </c>
      <c r="C38" s="140" t="s">
        <v>155</v>
      </c>
      <c r="D38" s="140" t="s">
        <v>153</v>
      </c>
      <c r="E38" s="140">
        <v>1843</v>
      </c>
      <c r="F38" s="140">
        <v>1</v>
      </c>
      <c r="G38" s="140">
        <v>51</v>
      </c>
      <c r="H38" s="140">
        <v>2</v>
      </c>
      <c r="I38" s="140">
        <v>115</v>
      </c>
      <c r="J38" s="140">
        <f>SUM(F38:I38)</f>
        <v>169</v>
      </c>
      <c r="K38" s="142">
        <v>1674</v>
      </c>
      <c r="L38" s="140">
        <v>3</v>
      </c>
      <c r="M38" s="140" t="s">
        <v>49</v>
      </c>
      <c r="N38" s="143">
        <f>K38/E38</f>
        <v>0.90830168204015194</v>
      </c>
      <c r="O38" s="140">
        <f>J38+K38</f>
        <v>1843</v>
      </c>
      <c r="P38" s="150">
        <f>O38-E38</f>
        <v>0</v>
      </c>
    </row>
    <row r="39" spans="1:16" ht="13.9" customHeight="1">
      <c r="A39" s="203">
        <v>46261</v>
      </c>
      <c r="B39" s="145" t="s">
        <v>56</v>
      </c>
      <c r="C39" s="145" t="s">
        <v>152</v>
      </c>
      <c r="D39" s="145" t="s">
        <v>153</v>
      </c>
      <c r="E39" s="145">
        <v>4607.5</v>
      </c>
      <c r="F39" s="145">
        <v>1</v>
      </c>
      <c r="G39" s="145">
        <v>192</v>
      </c>
      <c r="H39" s="145">
        <v>3</v>
      </c>
      <c r="I39" s="145">
        <v>177.5</v>
      </c>
      <c r="J39" s="145">
        <f>SUM(F39:I39)</f>
        <v>373.5</v>
      </c>
      <c r="K39" s="146">
        <v>4234</v>
      </c>
      <c r="L39" s="145">
        <v>4</v>
      </c>
      <c r="M39" s="145" t="s">
        <v>49</v>
      </c>
      <c r="N39" s="147">
        <f>K39/E39</f>
        <v>0.91893651654910469</v>
      </c>
      <c r="O39" s="145">
        <f>J39+K39</f>
        <v>4607.5</v>
      </c>
      <c r="P39" s="151">
        <f>O39-E39</f>
        <v>0</v>
      </c>
    </row>
    <row r="40" spans="1:16" ht="13.9" customHeight="1">
      <c r="A40" s="204">
        <v>46261</v>
      </c>
      <c r="B40" s="140" t="s">
        <v>56</v>
      </c>
      <c r="C40" s="145" t="s">
        <v>155</v>
      </c>
      <c r="D40" s="140" t="s">
        <v>133</v>
      </c>
      <c r="E40" s="140">
        <v>1000</v>
      </c>
      <c r="F40" s="140">
        <v>0</v>
      </c>
      <c r="G40" s="140">
        <v>6</v>
      </c>
      <c r="H40" s="140">
        <v>1</v>
      </c>
      <c r="I40" s="140">
        <v>46</v>
      </c>
      <c r="J40" s="145">
        <f>SUM(F40:I40)</f>
        <v>53</v>
      </c>
      <c r="K40" s="142">
        <v>947</v>
      </c>
      <c r="L40" s="145">
        <v>5</v>
      </c>
      <c r="M40" s="145" t="s">
        <v>49</v>
      </c>
      <c r="N40" s="147">
        <f>K40/E40</f>
        <v>0.94699999999999995</v>
      </c>
      <c r="O40" s="145">
        <f>J40+K40</f>
        <v>1000</v>
      </c>
      <c r="P40" s="151">
        <f>O40-E40</f>
        <v>0</v>
      </c>
    </row>
    <row r="41" spans="1:16" ht="13.9" customHeight="1">
      <c r="A41" s="204">
        <v>46262</v>
      </c>
      <c r="B41" s="140" t="s">
        <v>56</v>
      </c>
      <c r="C41" s="145" t="s">
        <v>152</v>
      </c>
      <c r="D41" s="140" t="s">
        <v>153</v>
      </c>
      <c r="E41" s="140">
        <v>3201</v>
      </c>
      <c r="F41" s="140">
        <v>1</v>
      </c>
      <c r="G41" s="140">
        <v>127</v>
      </c>
      <c r="H41" s="140">
        <v>5</v>
      </c>
      <c r="I41" s="140">
        <v>115</v>
      </c>
      <c r="J41" s="145">
        <f>SUM(F41:I41)</f>
        <v>248</v>
      </c>
      <c r="K41" s="142">
        <v>2953</v>
      </c>
      <c r="L41" s="140">
        <v>3</v>
      </c>
      <c r="M41" s="140" t="s">
        <v>49</v>
      </c>
      <c r="N41" s="147">
        <f>K41/E41</f>
        <v>0.92252421118400496</v>
      </c>
      <c r="O41" s="145">
        <f>J41+K41</f>
        <v>3201</v>
      </c>
      <c r="P41" s="151">
        <f>O41-E41</f>
        <v>0</v>
      </c>
    </row>
    <row r="42" spans="1:16" ht="13.9" customHeight="1">
      <c r="A42" s="204">
        <v>46263</v>
      </c>
      <c r="B42" s="140" t="s">
        <v>56</v>
      </c>
      <c r="C42" s="145" t="s">
        <v>155</v>
      </c>
      <c r="D42" s="140" t="s">
        <v>153</v>
      </c>
      <c r="E42" s="140">
        <v>3734</v>
      </c>
      <c r="F42" s="140">
        <v>1</v>
      </c>
      <c r="G42" s="140">
        <v>170</v>
      </c>
      <c r="H42" s="140">
        <v>5</v>
      </c>
      <c r="I42" s="140">
        <v>28</v>
      </c>
      <c r="J42" s="145">
        <f>SUM(F42:I42)</f>
        <v>204</v>
      </c>
      <c r="K42" s="142">
        <v>3530</v>
      </c>
      <c r="L42" s="140">
        <v>3</v>
      </c>
      <c r="M42" s="140" t="s">
        <v>49</v>
      </c>
      <c r="N42" s="147">
        <f>K42/E42</f>
        <v>0.94536689876807711</v>
      </c>
      <c r="O42" s="145">
        <f>J42+K42</f>
        <v>3734</v>
      </c>
      <c r="P42" s="151">
        <f>O42-E42</f>
        <v>0</v>
      </c>
    </row>
    <row r="43" spans="1:16" ht="13.9" customHeight="1">
      <c r="A43" s="204">
        <v>46265</v>
      </c>
      <c r="B43" s="140" t="s">
        <v>56</v>
      </c>
      <c r="C43" s="145" t="s">
        <v>152</v>
      </c>
      <c r="D43" s="140" t="s">
        <v>153</v>
      </c>
      <c r="E43" s="140">
        <v>4801</v>
      </c>
      <c r="F43" s="140">
        <v>0</v>
      </c>
      <c r="G43" s="140">
        <v>335</v>
      </c>
      <c r="H43" s="140">
        <v>0</v>
      </c>
      <c r="I43" s="140">
        <v>106</v>
      </c>
      <c r="J43" s="145">
        <f>SUM(F43:I43)</f>
        <v>441</v>
      </c>
      <c r="K43" s="142">
        <v>4360</v>
      </c>
      <c r="L43" s="140">
        <v>3</v>
      </c>
      <c r="M43" s="140" t="s">
        <v>49</v>
      </c>
      <c r="N43" s="147">
        <f>K43/E43</f>
        <v>0.90814413663820037</v>
      </c>
      <c r="O43" s="145">
        <f>J43+K43</f>
        <v>4801</v>
      </c>
      <c r="P43" s="151">
        <f>O43-E43</f>
        <v>0</v>
      </c>
    </row>
    <row r="44" spans="1:16" ht="12.75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1"/>
      <c r="L44" s="140"/>
      <c r="M44" s="140"/>
      <c r="N44" s="147" t="e">
        <f>K44/E44</f>
        <v>#DIV/0!</v>
      </c>
      <c r="O44" s="145">
        <f>J44+K44</f>
        <v>0</v>
      </c>
      <c r="P44" s="151">
        <f>O44-E44</f>
        <v>0</v>
      </c>
    </row>
    <row r="50" spans="4:8" ht="13.9">
      <c r="D50" s="140" t="s">
        <v>22</v>
      </c>
      <c r="E50" s="140" t="s">
        <v>116</v>
      </c>
      <c r="F50" s="140" t="s">
        <v>117</v>
      </c>
      <c r="G50" s="140" t="s">
        <v>118</v>
      </c>
      <c r="H50" s="140" t="s">
        <v>159</v>
      </c>
    </row>
    <row r="51" spans="4:8" ht="13.9">
      <c r="D51" s="140" t="s">
        <v>160</v>
      </c>
      <c r="E51" s="140">
        <v>15650</v>
      </c>
      <c r="F51" s="140">
        <v>14723</v>
      </c>
      <c r="G51" s="140">
        <f>E51-F51</f>
        <v>927</v>
      </c>
      <c r="H51" s="153">
        <f>F51/E51%</f>
        <v>94.076677316293924</v>
      </c>
    </row>
    <row r="52" spans="4:8" ht="13.9">
      <c r="D52" s="140" t="s">
        <v>161</v>
      </c>
      <c r="E52" s="140">
        <v>84133</v>
      </c>
      <c r="F52" s="140">
        <v>78386</v>
      </c>
      <c r="G52" s="140">
        <f>E52-F52</f>
        <v>5747</v>
      </c>
      <c r="H52" s="153">
        <f>F52/E52%</f>
        <v>93.169148847657866</v>
      </c>
    </row>
    <row r="53" spans="4:8" ht="13.9">
      <c r="D53" s="140" t="s">
        <v>51</v>
      </c>
      <c r="E53" s="140"/>
      <c r="F53" s="140"/>
      <c r="G53" s="140">
        <f>E53-F53</f>
        <v>0</v>
      </c>
      <c r="H53" s="153" t="e">
        <f>F53/E53%</f>
        <v>#DIV/0!</v>
      </c>
    </row>
  </sheetData>
  <mergeCells count="15">
    <mergeCell ref="F2:F3"/>
    <mergeCell ref="G2:G3"/>
    <mergeCell ref="H2:H3"/>
    <mergeCell ref="A1:N1"/>
    <mergeCell ref="A2:A3"/>
    <mergeCell ref="B2:B3"/>
    <mergeCell ref="C2:C3"/>
    <mergeCell ref="D2:D3"/>
    <mergeCell ref="E2:E3"/>
    <mergeCell ref="I2:I3"/>
    <mergeCell ref="J2:J3"/>
    <mergeCell ref="K2:K3"/>
    <mergeCell ref="L2:L3"/>
    <mergeCell ref="M2:M3"/>
    <mergeCell ref="N2:N3"/>
  </mergeCells>
  <dataValidations count="2">
    <dataValidation type="list" allowBlank="1" showInputMessage="1" showErrorMessage="1" sqref="M4:M40" xr:uid="{78B34DC6-7B45-4BCA-8FC1-F49C30360300}">
      <formula1>"Day,Night"</formula1>
    </dataValidation>
    <dataValidation type="list" allowBlank="1" showInputMessage="1" showErrorMessage="1" sqref="C18:C43" xr:uid="{C9A0AB5E-4E3A-4AE6-8D5F-22E66A311980}">
      <formula1>"C6 New Plant,C6 Old Plant"</formula1>
    </dataValidation>
  </dataValidations>
  <pageMargins left="0" right="0" top="0" bottom="0" header="0" footer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9542-0F05-4E5B-9541-B7295B0B3974}">
  <sheetPr>
    <outlinePr summaryBelow="0" summaryRight="0"/>
  </sheetPr>
  <dimension ref="A1:R47"/>
  <sheetViews>
    <sheetView showGridLines="0" workbookViewId="0">
      <pane ySplit="3" topLeftCell="A4" activePane="bottomLeft" state="frozen"/>
      <selection pane="bottomLeft" activeCell="E4" sqref="E4"/>
    </sheetView>
  </sheetViews>
  <sheetFormatPr defaultColWidth="12.5703125" defaultRowHeight="15.75" customHeight="1"/>
  <cols>
    <col min="1" max="3" width="12.5703125" style="148"/>
    <col min="4" max="4" width="15.140625" style="148" bestFit="1" customWidth="1"/>
    <col min="5" max="11" width="12.5703125" style="148"/>
    <col min="12" max="12" width="13.28515625" style="148" customWidth="1"/>
    <col min="13" max="14" width="12.5703125" style="148"/>
    <col min="15" max="18" width="12.5703125" style="138"/>
    <col min="19" max="16384" width="12.5703125" style="148"/>
  </cols>
  <sheetData>
    <row r="1" spans="1:16" ht="24.75" customHeight="1">
      <c r="A1" s="287" t="s">
        <v>40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9"/>
    </row>
    <row r="2" spans="1:16" ht="18.75" customHeight="1">
      <c r="A2" s="290" t="s">
        <v>25</v>
      </c>
      <c r="B2" s="290" t="s">
        <v>26</v>
      </c>
      <c r="C2" s="290" t="s">
        <v>27</v>
      </c>
      <c r="D2" s="290" t="s">
        <v>22</v>
      </c>
      <c r="E2" s="286" t="s">
        <v>28</v>
      </c>
      <c r="F2" s="286" t="s">
        <v>29</v>
      </c>
      <c r="G2" s="286" t="s">
        <v>30</v>
      </c>
      <c r="H2" s="286" t="s">
        <v>31</v>
      </c>
      <c r="I2" s="286" t="s">
        <v>32</v>
      </c>
      <c r="J2" s="290" t="s">
        <v>33</v>
      </c>
      <c r="K2" s="290" t="s">
        <v>34</v>
      </c>
      <c r="L2" s="290" t="s">
        <v>35</v>
      </c>
      <c r="M2" s="290" t="s">
        <v>36</v>
      </c>
      <c r="N2" s="291" t="s">
        <v>37</v>
      </c>
    </row>
    <row r="3" spans="1:16" ht="18.75" customHeight="1">
      <c r="A3" s="292"/>
      <c r="B3" s="292"/>
      <c r="C3" s="292"/>
      <c r="D3" s="292"/>
      <c r="E3" s="292"/>
      <c r="F3" s="252"/>
      <c r="G3" s="252"/>
      <c r="H3" s="252"/>
      <c r="I3" s="252"/>
      <c r="J3" s="292"/>
      <c r="K3" s="292"/>
      <c r="L3" s="292"/>
      <c r="M3" s="292"/>
      <c r="N3" s="292"/>
    </row>
    <row r="4" spans="1:16" ht="13.9" customHeight="1">
      <c r="A4" s="203">
        <v>46235</v>
      </c>
      <c r="B4" s="140" t="s">
        <v>127</v>
      </c>
      <c r="C4" s="140" t="s">
        <v>20</v>
      </c>
      <c r="D4" s="140" t="s">
        <v>97</v>
      </c>
      <c r="E4" s="140">
        <v>3900</v>
      </c>
      <c r="F4" s="141">
        <v>28</v>
      </c>
      <c r="G4" s="140">
        <v>176</v>
      </c>
      <c r="H4" s="140">
        <v>26</v>
      </c>
      <c r="I4" s="140">
        <v>120</v>
      </c>
      <c r="J4" s="140">
        <f>SUM(F4:I4)</f>
        <v>350</v>
      </c>
      <c r="K4" s="154">
        <v>3550</v>
      </c>
      <c r="L4" s="141">
        <v>7</v>
      </c>
      <c r="M4" s="140" t="s">
        <v>53</v>
      </c>
      <c r="N4" s="143">
        <f>K4/E4</f>
        <v>0.91025641025641024</v>
      </c>
      <c r="O4" s="140">
        <f>J4+K4</f>
        <v>3900</v>
      </c>
      <c r="P4" s="140">
        <f>O4-E4</f>
        <v>0</v>
      </c>
    </row>
    <row r="5" spans="1:16" ht="13.9" customHeight="1">
      <c r="A5" s="203">
        <v>46237</v>
      </c>
      <c r="B5" s="140" t="s">
        <v>127</v>
      </c>
      <c r="C5" s="140" t="s">
        <v>20</v>
      </c>
      <c r="D5" s="140" t="s">
        <v>97</v>
      </c>
      <c r="E5" s="140">
        <v>7500</v>
      </c>
      <c r="F5" s="140">
        <v>41</v>
      </c>
      <c r="G5" s="140">
        <v>273</v>
      </c>
      <c r="H5" s="140">
        <v>43</v>
      </c>
      <c r="I5" s="140">
        <v>243</v>
      </c>
      <c r="J5" s="140">
        <f>SUM(F5:I5)</f>
        <v>600</v>
      </c>
      <c r="K5" s="142">
        <v>6900</v>
      </c>
      <c r="L5" s="141">
        <v>7</v>
      </c>
      <c r="M5" s="140" t="s">
        <v>53</v>
      </c>
      <c r="N5" s="143">
        <f>K5/E5</f>
        <v>0.92</v>
      </c>
      <c r="O5" s="140">
        <f>J5+K5</f>
        <v>7500</v>
      </c>
      <c r="P5" s="140">
        <f>O5-E5</f>
        <v>0</v>
      </c>
    </row>
    <row r="6" spans="1:16" ht="13.9" customHeight="1">
      <c r="A6" s="203">
        <v>46237</v>
      </c>
      <c r="B6" s="140" t="s">
        <v>162</v>
      </c>
      <c r="C6" s="140" t="s">
        <v>20</v>
      </c>
      <c r="D6" s="140" t="s">
        <v>143</v>
      </c>
      <c r="E6" s="140">
        <v>510</v>
      </c>
      <c r="F6" s="140">
        <v>0</v>
      </c>
      <c r="G6" s="140">
        <v>0</v>
      </c>
      <c r="H6" s="140">
        <v>2.5</v>
      </c>
      <c r="I6" s="140">
        <v>17.5</v>
      </c>
      <c r="J6" s="140">
        <f>SUM(F6:I6)</f>
        <v>20</v>
      </c>
      <c r="K6" s="142">
        <v>490</v>
      </c>
      <c r="L6" s="141">
        <v>1</v>
      </c>
      <c r="M6" s="140" t="s">
        <v>53</v>
      </c>
      <c r="N6" s="143">
        <f>K6/E6</f>
        <v>0.96078431372549022</v>
      </c>
      <c r="O6" s="140">
        <f>J6+K6</f>
        <v>510</v>
      </c>
      <c r="P6" s="140">
        <f>O6-E6</f>
        <v>0</v>
      </c>
    </row>
    <row r="7" spans="1:16" ht="13.9" customHeight="1">
      <c r="A7" s="203">
        <v>46238</v>
      </c>
      <c r="B7" s="140" t="s">
        <v>127</v>
      </c>
      <c r="C7" s="140" t="s">
        <v>20</v>
      </c>
      <c r="D7" s="140" t="s">
        <v>97</v>
      </c>
      <c r="E7" s="140">
        <v>8300</v>
      </c>
      <c r="F7" s="140">
        <v>38</v>
      </c>
      <c r="G7" s="140">
        <v>452</v>
      </c>
      <c r="H7" s="140">
        <v>38</v>
      </c>
      <c r="I7" s="140">
        <v>147</v>
      </c>
      <c r="J7" s="140">
        <f>SUM(F7:I7)</f>
        <v>675</v>
      </c>
      <c r="K7" s="142">
        <v>7625</v>
      </c>
      <c r="L7" s="141">
        <v>7</v>
      </c>
      <c r="M7" s="140" t="s">
        <v>53</v>
      </c>
      <c r="N7" s="143">
        <f>K7/E7</f>
        <v>0.91867469879518071</v>
      </c>
      <c r="O7" s="140">
        <f>J7+K7</f>
        <v>8300</v>
      </c>
      <c r="P7" s="140">
        <f>O7-E7</f>
        <v>0</v>
      </c>
    </row>
    <row r="8" spans="1:16" ht="13.9" customHeight="1">
      <c r="A8" s="203">
        <v>46238</v>
      </c>
      <c r="B8" s="140" t="s">
        <v>162</v>
      </c>
      <c r="C8" s="140" t="s">
        <v>20</v>
      </c>
      <c r="D8" s="140" t="s">
        <v>145</v>
      </c>
      <c r="E8" s="140">
        <v>800</v>
      </c>
      <c r="F8" s="140">
        <v>0</v>
      </c>
      <c r="G8" s="140">
        <v>0</v>
      </c>
      <c r="H8" s="140">
        <v>6</v>
      </c>
      <c r="I8" s="140">
        <v>49</v>
      </c>
      <c r="J8" s="140">
        <f>SUM(F8:I8)</f>
        <v>55</v>
      </c>
      <c r="K8" s="142">
        <v>745</v>
      </c>
      <c r="L8" s="141">
        <v>1</v>
      </c>
      <c r="M8" s="140" t="s">
        <v>53</v>
      </c>
      <c r="N8" s="143">
        <f>K8/E8</f>
        <v>0.93125000000000002</v>
      </c>
      <c r="O8" s="140">
        <f>J8+K8</f>
        <v>800</v>
      </c>
      <c r="P8" s="140">
        <f>O8-E8</f>
        <v>0</v>
      </c>
    </row>
    <row r="9" spans="1:16" ht="13.9" customHeight="1">
      <c r="A9" s="203">
        <v>46239</v>
      </c>
      <c r="B9" s="35" t="s">
        <v>127</v>
      </c>
      <c r="C9" s="140" t="s">
        <v>20</v>
      </c>
      <c r="D9" s="140" t="s">
        <v>97</v>
      </c>
      <c r="E9" s="140">
        <v>5850</v>
      </c>
      <c r="F9" s="140">
        <v>22</v>
      </c>
      <c r="G9" s="140">
        <v>343</v>
      </c>
      <c r="H9" s="140">
        <v>26</v>
      </c>
      <c r="I9" s="140">
        <v>109</v>
      </c>
      <c r="J9" s="140">
        <f>SUM(F9:I9)</f>
        <v>500</v>
      </c>
      <c r="K9" s="142">
        <v>5350</v>
      </c>
      <c r="L9" s="141">
        <v>7</v>
      </c>
      <c r="M9" s="140" t="s">
        <v>53</v>
      </c>
      <c r="N9" s="143">
        <f>K9/E9</f>
        <v>0.9145299145299145</v>
      </c>
      <c r="O9" s="140">
        <f>J9+K9</f>
        <v>5850</v>
      </c>
      <c r="P9" s="140">
        <f>O9-E9</f>
        <v>0</v>
      </c>
    </row>
    <row r="10" spans="1:16" ht="13.9" customHeight="1">
      <c r="A10" s="204">
        <v>46239</v>
      </c>
      <c r="B10" s="159" t="s">
        <v>162</v>
      </c>
      <c r="C10" s="140" t="s">
        <v>20</v>
      </c>
      <c r="D10" s="140" t="s">
        <v>65</v>
      </c>
      <c r="E10" s="148">
        <v>630</v>
      </c>
      <c r="F10" s="140">
        <v>0</v>
      </c>
      <c r="G10" s="140">
        <v>0</v>
      </c>
      <c r="H10" s="140">
        <v>4</v>
      </c>
      <c r="I10" s="140">
        <v>36</v>
      </c>
      <c r="J10" s="140">
        <f>SUM(F10:I10)</f>
        <v>40</v>
      </c>
      <c r="K10" s="142">
        <v>590</v>
      </c>
      <c r="L10" s="141">
        <v>1</v>
      </c>
      <c r="M10" s="140" t="s">
        <v>53</v>
      </c>
      <c r="N10" s="143">
        <f>K10/E10</f>
        <v>0.93650793650793651</v>
      </c>
      <c r="O10" s="140">
        <f>J10+K10</f>
        <v>630</v>
      </c>
      <c r="P10" s="140">
        <f>O10-E10</f>
        <v>0</v>
      </c>
    </row>
    <row r="11" spans="1:16" ht="13.9" customHeight="1">
      <c r="A11" s="204">
        <v>46240</v>
      </c>
      <c r="B11" s="159" t="s">
        <v>163</v>
      </c>
      <c r="C11" s="140" t="s">
        <v>20</v>
      </c>
      <c r="D11" s="140" t="s">
        <v>97</v>
      </c>
      <c r="E11" s="140">
        <v>5500</v>
      </c>
      <c r="F11" s="140">
        <v>19</v>
      </c>
      <c r="G11" s="140">
        <v>295</v>
      </c>
      <c r="H11" s="140">
        <v>19.5</v>
      </c>
      <c r="I11" s="140">
        <v>96.5</v>
      </c>
      <c r="J11" s="140">
        <f>SUM(F11:I11)</f>
        <v>430</v>
      </c>
      <c r="K11" s="142">
        <v>5070</v>
      </c>
      <c r="L11" s="141">
        <v>7</v>
      </c>
      <c r="M11" s="140" t="s">
        <v>53</v>
      </c>
      <c r="N11" s="143">
        <f>K11/E11</f>
        <v>0.92181818181818187</v>
      </c>
      <c r="O11" s="140">
        <f>J11+K11</f>
        <v>5500</v>
      </c>
      <c r="P11" s="140">
        <f>O11-E11</f>
        <v>0</v>
      </c>
    </row>
    <row r="12" spans="1:16" ht="13.9" customHeight="1">
      <c r="A12" s="205">
        <v>46241</v>
      </c>
      <c r="B12" s="35" t="s">
        <v>127</v>
      </c>
      <c r="C12" s="140" t="s">
        <v>20</v>
      </c>
      <c r="D12" s="140" t="s">
        <v>97</v>
      </c>
      <c r="E12" s="140">
        <v>2500</v>
      </c>
      <c r="F12" s="140">
        <v>9</v>
      </c>
      <c r="G12" s="140">
        <v>98</v>
      </c>
      <c r="H12" s="140">
        <v>12.6</v>
      </c>
      <c r="I12" s="140">
        <v>65.400000000000006</v>
      </c>
      <c r="J12" s="140">
        <f>SUM(F12:I12)</f>
        <v>185</v>
      </c>
      <c r="K12" s="142">
        <v>2315</v>
      </c>
      <c r="L12" s="141">
        <v>7</v>
      </c>
      <c r="M12" s="140" t="s">
        <v>49</v>
      </c>
      <c r="N12" s="143">
        <f>K12/E12</f>
        <v>0.92600000000000005</v>
      </c>
      <c r="O12" s="140">
        <f>J12+K12</f>
        <v>2500</v>
      </c>
      <c r="P12" s="140">
        <f>O12-E12</f>
        <v>0</v>
      </c>
    </row>
    <row r="13" spans="1:16" ht="13.9" customHeight="1">
      <c r="A13" s="203">
        <v>46241</v>
      </c>
      <c r="B13" s="35" t="s">
        <v>127</v>
      </c>
      <c r="C13" s="140" t="s">
        <v>20</v>
      </c>
      <c r="D13" s="140" t="s">
        <v>164</v>
      </c>
      <c r="E13" s="140">
        <v>3200</v>
      </c>
      <c r="F13" s="140">
        <v>5</v>
      </c>
      <c r="G13" s="140">
        <v>153.19999999999999</v>
      </c>
      <c r="H13" s="140">
        <v>9.8000000000000007</v>
      </c>
      <c r="I13" s="140">
        <v>52</v>
      </c>
      <c r="J13" s="140">
        <f>SUM(F13:I13)</f>
        <v>220</v>
      </c>
      <c r="K13" s="142">
        <v>2980</v>
      </c>
      <c r="L13" s="141">
        <v>7</v>
      </c>
      <c r="M13" s="140" t="s">
        <v>49</v>
      </c>
      <c r="N13" s="143">
        <f>K13/E13</f>
        <v>0.93125000000000002</v>
      </c>
      <c r="O13" s="140">
        <f>J13+K13</f>
        <v>3200</v>
      </c>
      <c r="P13" s="140">
        <f>O13-E13</f>
        <v>0</v>
      </c>
    </row>
    <row r="14" spans="1:16" ht="13.9" customHeight="1">
      <c r="A14" s="203">
        <v>46242</v>
      </c>
      <c r="B14" s="35" t="s">
        <v>127</v>
      </c>
      <c r="C14" s="140" t="s">
        <v>20</v>
      </c>
      <c r="D14" s="140" t="s">
        <v>97</v>
      </c>
      <c r="E14" s="140">
        <v>6900</v>
      </c>
      <c r="F14" s="140">
        <v>15</v>
      </c>
      <c r="G14" s="140">
        <v>380</v>
      </c>
      <c r="H14" s="140">
        <v>16</v>
      </c>
      <c r="I14" s="140">
        <v>114</v>
      </c>
      <c r="J14" s="140">
        <f>SUM(F14:I14)</f>
        <v>525</v>
      </c>
      <c r="K14" s="142">
        <v>6375</v>
      </c>
      <c r="L14" s="141">
        <v>7</v>
      </c>
      <c r="M14" s="140" t="s">
        <v>49</v>
      </c>
      <c r="N14" s="143">
        <f>K14/E14</f>
        <v>0.92391304347826086</v>
      </c>
      <c r="O14" s="140">
        <f>J14+K14</f>
        <v>6900</v>
      </c>
      <c r="P14" s="140">
        <f>O14-E14</f>
        <v>0</v>
      </c>
    </row>
    <row r="15" spans="1:16" ht="13.9" customHeight="1">
      <c r="A15" s="203">
        <v>46242</v>
      </c>
      <c r="B15" s="35" t="s">
        <v>162</v>
      </c>
      <c r="C15" s="140" t="s">
        <v>20</v>
      </c>
      <c r="D15" s="140" t="s">
        <v>143</v>
      </c>
      <c r="E15" s="140">
        <v>422</v>
      </c>
      <c r="F15" s="140">
        <v>0</v>
      </c>
      <c r="G15" s="140">
        <v>0</v>
      </c>
      <c r="H15" s="140">
        <v>2</v>
      </c>
      <c r="I15" s="140">
        <v>25</v>
      </c>
      <c r="J15" s="140">
        <v>27</v>
      </c>
      <c r="K15" s="142">
        <v>395</v>
      </c>
      <c r="L15" s="141">
        <v>1</v>
      </c>
      <c r="M15" s="140" t="s">
        <v>49</v>
      </c>
      <c r="N15" s="143">
        <f>K15/E15</f>
        <v>0.93601895734597151</v>
      </c>
      <c r="O15" s="140">
        <f>J15+K15</f>
        <v>422</v>
      </c>
      <c r="P15" s="140">
        <f>O15-E15</f>
        <v>0</v>
      </c>
    </row>
    <row r="16" spans="1:16" ht="13.9" customHeight="1">
      <c r="A16" s="203">
        <v>46243</v>
      </c>
      <c r="B16" s="140" t="s">
        <v>127</v>
      </c>
      <c r="C16" s="140" t="s">
        <v>20</v>
      </c>
      <c r="D16" s="140" t="s">
        <v>97</v>
      </c>
      <c r="E16" s="140">
        <v>4950</v>
      </c>
      <c r="F16" s="140">
        <v>19</v>
      </c>
      <c r="G16" s="140">
        <v>252</v>
      </c>
      <c r="H16" s="140">
        <v>21</v>
      </c>
      <c r="I16" s="140">
        <v>118</v>
      </c>
      <c r="J16" s="140">
        <f>SUM(F16:I16)</f>
        <v>410</v>
      </c>
      <c r="K16" s="160">
        <v>4540</v>
      </c>
      <c r="L16" s="140">
        <v>7</v>
      </c>
      <c r="M16" s="140" t="s">
        <v>49</v>
      </c>
      <c r="N16" s="143">
        <f>K16/E16</f>
        <v>0.91717171717171719</v>
      </c>
      <c r="O16" s="140">
        <f>J16+K16</f>
        <v>4950</v>
      </c>
      <c r="P16" s="140">
        <f>O16-E16</f>
        <v>0</v>
      </c>
    </row>
    <row r="17" spans="1:18" ht="13.9" customHeight="1">
      <c r="A17" s="203">
        <v>46244</v>
      </c>
      <c r="B17" s="140" t="s">
        <v>127</v>
      </c>
      <c r="C17" s="140" t="s">
        <v>20</v>
      </c>
      <c r="D17" s="140" t="s">
        <v>97</v>
      </c>
      <c r="E17" s="140">
        <v>2900</v>
      </c>
      <c r="F17" s="140">
        <v>8</v>
      </c>
      <c r="G17" s="140">
        <v>135.5</v>
      </c>
      <c r="H17" s="140">
        <v>16.5</v>
      </c>
      <c r="I17" s="140">
        <v>90</v>
      </c>
      <c r="J17" s="140">
        <f>SUM(F17:I17)</f>
        <v>250</v>
      </c>
      <c r="K17" s="161">
        <v>2650</v>
      </c>
      <c r="L17" s="140">
        <v>7</v>
      </c>
      <c r="M17" s="140" t="s">
        <v>49</v>
      </c>
      <c r="N17" s="143">
        <f>K17/E17</f>
        <v>0.91379310344827591</v>
      </c>
      <c r="O17" s="140">
        <f>J17+K17</f>
        <v>2900</v>
      </c>
      <c r="P17" s="140">
        <f>O17-E17</f>
        <v>0</v>
      </c>
    </row>
    <row r="18" spans="1:18" ht="13.9" customHeight="1">
      <c r="A18" s="203">
        <v>46245</v>
      </c>
      <c r="B18" s="140" t="s">
        <v>127</v>
      </c>
      <c r="C18" s="140" t="s">
        <v>20</v>
      </c>
      <c r="D18" s="140" t="s">
        <v>48</v>
      </c>
      <c r="E18" s="140">
        <v>6950</v>
      </c>
      <c r="F18" s="140">
        <v>29</v>
      </c>
      <c r="G18" s="140">
        <v>372</v>
      </c>
      <c r="H18" s="140">
        <v>25</v>
      </c>
      <c r="I18" s="140">
        <v>174</v>
      </c>
      <c r="J18" s="140">
        <f>SUM(F18:I18)</f>
        <v>600</v>
      </c>
      <c r="K18" s="142">
        <v>6350</v>
      </c>
      <c r="L18" s="140">
        <v>7</v>
      </c>
      <c r="M18" s="140" t="s">
        <v>49</v>
      </c>
      <c r="N18" s="143">
        <f>K18/E18</f>
        <v>0.91366906474820142</v>
      </c>
      <c r="O18" s="140">
        <f>J18+K18</f>
        <v>6950</v>
      </c>
      <c r="P18" s="140">
        <f>O18-E18</f>
        <v>0</v>
      </c>
    </row>
    <row r="19" spans="1:18" ht="13.9" customHeight="1">
      <c r="A19" s="203">
        <v>46245</v>
      </c>
      <c r="B19" s="140" t="s">
        <v>165</v>
      </c>
      <c r="C19" s="140" t="s">
        <v>20</v>
      </c>
      <c r="D19" s="140" t="s">
        <v>65</v>
      </c>
      <c r="E19" s="140">
        <v>450</v>
      </c>
      <c r="F19" s="140">
        <v>0</v>
      </c>
      <c r="G19" s="140">
        <v>0</v>
      </c>
      <c r="H19" s="140">
        <v>4.5</v>
      </c>
      <c r="I19" s="140">
        <v>25.5</v>
      </c>
      <c r="J19" s="140">
        <f>SUM(F19:I19)</f>
        <v>30</v>
      </c>
      <c r="K19" s="140">
        <v>420</v>
      </c>
      <c r="L19" s="140">
        <v>1</v>
      </c>
      <c r="M19" s="140" t="s">
        <v>49</v>
      </c>
      <c r="N19" s="143">
        <f>K19/E19</f>
        <v>0.93333333333333335</v>
      </c>
      <c r="O19" s="140">
        <f>J19+K19</f>
        <v>450</v>
      </c>
      <c r="P19" s="140">
        <f>O19-E19</f>
        <v>0</v>
      </c>
    </row>
    <row r="20" spans="1:18" ht="13.9" hidden="1" customHeight="1">
      <c r="A20" s="203"/>
      <c r="B20" s="140"/>
      <c r="C20" s="140" t="s">
        <v>20</v>
      </c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3"/>
      <c r="O20" s="140"/>
      <c r="P20" s="140"/>
    </row>
    <row r="21" spans="1:18" ht="13.9" hidden="1" customHeight="1">
      <c r="A21" s="203"/>
      <c r="B21" s="140"/>
      <c r="C21" s="140" t="s">
        <v>20</v>
      </c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3"/>
      <c r="O21" s="140"/>
      <c r="P21" s="140"/>
    </row>
    <row r="22" spans="1:18" ht="13.9" customHeight="1">
      <c r="A22" s="203">
        <v>46246</v>
      </c>
      <c r="B22" s="140" t="s">
        <v>127</v>
      </c>
      <c r="C22" s="140" t="s">
        <v>20</v>
      </c>
      <c r="D22" s="140" t="s">
        <v>48</v>
      </c>
      <c r="E22" s="140">
        <v>6500</v>
      </c>
      <c r="F22" s="140">
        <v>26</v>
      </c>
      <c r="G22" s="140">
        <v>297.39999999999998</v>
      </c>
      <c r="H22" s="140">
        <v>18.600000000000001</v>
      </c>
      <c r="I22" s="140">
        <v>108</v>
      </c>
      <c r="J22" s="140">
        <f>SUM(F22:I22)</f>
        <v>450</v>
      </c>
      <c r="K22" s="142">
        <v>6050</v>
      </c>
      <c r="L22" s="140">
        <v>7</v>
      </c>
      <c r="M22" s="140" t="s">
        <v>49</v>
      </c>
      <c r="N22" s="143">
        <f>K22/E22</f>
        <v>0.93076923076923079</v>
      </c>
      <c r="O22" s="140">
        <f>J22+K22</f>
        <v>6500</v>
      </c>
      <c r="P22" s="140">
        <f>O22-E22</f>
        <v>0</v>
      </c>
    </row>
    <row r="23" spans="1:18" ht="13.9" hidden="1" customHeight="1">
      <c r="A23" s="204"/>
      <c r="B23" s="140"/>
      <c r="C23" s="140" t="s">
        <v>20</v>
      </c>
      <c r="D23" s="140"/>
      <c r="E23" s="140"/>
      <c r="G23" s="140"/>
      <c r="H23" s="140"/>
      <c r="I23" s="140"/>
      <c r="J23" s="140">
        <f>SUM(F23:I23)</f>
        <v>0</v>
      </c>
      <c r="K23" s="140"/>
      <c r="L23" s="140"/>
      <c r="M23" s="140"/>
      <c r="N23" s="143" t="e">
        <f>K23/E23</f>
        <v>#DIV/0!</v>
      </c>
      <c r="O23" s="140">
        <f>J23+K23</f>
        <v>0</v>
      </c>
      <c r="P23" s="140">
        <f>O23-E23</f>
        <v>0</v>
      </c>
    </row>
    <row r="24" spans="1:18" ht="13.9" customHeight="1">
      <c r="A24" s="204">
        <v>46247</v>
      </c>
      <c r="B24" s="140" t="s">
        <v>127</v>
      </c>
      <c r="C24" s="140" t="s">
        <v>20</v>
      </c>
      <c r="D24" s="140" t="s">
        <v>48</v>
      </c>
      <c r="E24" s="140">
        <v>6100</v>
      </c>
      <c r="F24" s="140">
        <v>17</v>
      </c>
      <c r="G24" s="140">
        <v>271</v>
      </c>
      <c r="H24" s="140">
        <v>26</v>
      </c>
      <c r="I24" s="140">
        <v>86</v>
      </c>
      <c r="J24" s="140">
        <f>SUM(F24:I24)</f>
        <v>400</v>
      </c>
      <c r="K24" s="142">
        <v>5700</v>
      </c>
      <c r="L24" s="140">
        <v>7</v>
      </c>
      <c r="M24" s="140" t="s">
        <v>49</v>
      </c>
      <c r="N24" s="143">
        <f>K24/E24</f>
        <v>0.93442622950819676</v>
      </c>
      <c r="O24" s="140">
        <f>J24+K24</f>
        <v>6100</v>
      </c>
      <c r="P24" s="140">
        <f>O24-E24</f>
        <v>0</v>
      </c>
    </row>
    <row r="25" spans="1:18" ht="13.9" customHeight="1">
      <c r="A25" s="203">
        <v>46248</v>
      </c>
      <c r="B25" s="155" t="s">
        <v>127</v>
      </c>
      <c r="C25" s="140" t="s">
        <v>20</v>
      </c>
      <c r="D25" s="140" t="s">
        <v>48</v>
      </c>
      <c r="E25" s="155">
        <v>4400</v>
      </c>
      <c r="F25" s="155">
        <v>27</v>
      </c>
      <c r="G25" s="155">
        <v>208</v>
      </c>
      <c r="H25" s="155">
        <v>32</v>
      </c>
      <c r="I25" s="155">
        <v>133</v>
      </c>
      <c r="J25" s="140">
        <f>SUM(F25:I25)</f>
        <v>400</v>
      </c>
      <c r="K25" s="156">
        <v>4000</v>
      </c>
      <c r="L25" s="155">
        <v>7</v>
      </c>
      <c r="M25" s="140" t="s">
        <v>49</v>
      </c>
      <c r="N25" s="143">
        <f>K25/E25</f>
        <v>0.90909090909090906</v>
      </c>
      <c r="O25" s="140">
        <f>J25+K25</f>
        <v>4400</v>
      </c>
      <c r="P25" s="140">
        <f>O25-E25</f>
        <v>0</v>
      </c>
      <c r="Q25" s="148"/>
      <c r="R25" s="148"/>
    </row>
    <row r="26" spans="1:18" ht="13.9" customHeight="1">
      <c r="A26" s="203">
        <v>46250</v>
      </c>
      <c r="B26" s="157" t="s">
        <v>127</v>
      </c>
      <c r="C26" s="140" t="s">
        <v>20</v>
      </c>
      <c r="D26" s="140" t="s">
        <v>48</v>
      </c>
      <c r="E26" s="157">
        <v>3160</v>
      </c>
      <c r="F26" s="157">
        <v>13</v>
      </c>
      <c r="G26" s="157">
        <v>171</v>
      </c>
      <c r="H26" s="157">
        <v>19</v>
      </c>
      <c r="I26" s="157">
        <v>87</v>
      </c>
      <c r="J26" s="140">
        <f>SUM(F26:I26)</f>
        <v>290</v>
      </c>
      <c r="K26" s="158">
        <v>2870</v>
      </c>
      <c r="L26" s="157">
        <v>7</v>
      </c>
      <c r="M26" s="140" t="s">
        <v>49</v>
      </c>
      <c r="N26" s="143">
        <f>K26/E26</f>
        <v>0.90822784810126578</v>
      </c>
      <c r="O26" s="140">
        <f>J26+K26</f>
        <v>3160</v>
      </c>
      <c r="P26" s="140">
        <f>O26-E26</f>
        <v>0</v>
      </c>
      <c r="Q26" s="148"/>
      <c r="R26" s="148"/>
    </row>
    <row r="27" spans="1:18" ht="13.9" customHeight="1">
      <c r="A27" s="203">
        <v>46251</v>
      </c>
      <c r="B27" s="140" t="s">
        <v>127</v>
      </c>
      <c r="C27" s="140" t="s">
        <v>20</v>
      </c>
      <c r="D27" s="140" t="s">
        <v>48</v>
      </c>
      <c r="E27" s="140">
        <v>8650</v>
      </c>
      <c r="F27" s="140">
        <v>38</v>
      </c>
      <c r="G27" s="140">
        <v>457</v>
      </c>
      <c r="H27" s="140">
        <v>29</v>
      </c>
      <c r="I27" s="140">
        <v>126</v>
      </c>
      <c r="J27" s="140">
        <f>SUM(F27:I27)</f>
        <v>650</v>
      </c>
      <c r="K27" s="142">
        <v>8000</v>
      </c>
      <c r="L27" s="140">
        <v>7</v>
      </c>
      <c r="M27" s="140" t="s">
        <v>49</v>
      </c>
      <c r="N27" s="143">
        <f>K27/E27</f>
        <v>0.92485549132947975</v>
      </c>
      <c r="O27" s="140">
        <f>J27+K27</f>
        <v>8650</v>
      </c>
      <c r="P27" s="140">
        <f>O27-E27</f>
        <v>0</v>
      </c>
    </row>
    <row r="28" spans="1:18" ht="13.9" customHeight="1">
      <c r="A28" s="203">
        <v>46252</v>
      </c>
      <c r="B28" s="140" t="s">
        <v>127</v>
      </c>
      <c r="C28" s="140" t="s">
        <v>20</v>
      </c>
      <c r="D28" s="140" t="s">
        <v>48</v>
      </c>
      <c r="E28" s="140">
        <v>5820</v>
      </c>
      <c r="F28" s="140">
        <v>28</v>
      </c>
      <c r="G28" s="140">
        <v>313</v>
      </c>
      <c r="H28" s="140">
        <v>32</v>
      </c>
      <c r="I28" s="140">
        <v>147</v>
      </c>
      <c r="J28" s="140">
        <f>SUM(F28:I28)</f>
        <v>520</v>
      </c>
      <c r="K28" s="142">
        <v>5300</v>
      </c>
      <c r="L28" s="140">
        <v>7</v>
      </c>
      <c r="M28" s="140" t="s">
        <v>49</v>
      </c>
      <c r="N28" s="143">
        <f>K28/E28</f>
        <v>0.9106529209621993</v>
      </c>
      <c r="O28" s="140">
        <f>J28+K28</f>
        <v>5820</v>
      </c>
      <c r="P28" s="140">
        <f>O28-E28</f>
        <v>0</v>
      </c>
    </row>
    <row r="29" spans="1:18" ht="13.9" customHeight="1">
      <c r="A29" s="203">
        <v>46253</v>
      </c>
      <c r="B29" s="140" t="s">
        <v>127</v>
      </c>
      <c r="C29" s="140" t="s">
        <v>20</v>
      </c>
      <c r="D29" s="140" t="s">
        <v>48</v>
      </c>
      <c r="E29" s="140">
        <v>9100</v>
      </c>
      <c r="F29" s="140">
        <v>36</v>
      </c>
      <c r="G29" s="140">
        <v>570</v>
      </c>
      <c r="H29" s="140">
        <v>38</v>
      </c>
      <c r="I29" s="140">
        <v>156</v>
      </c>
      <c r="J29" s="140">
        <f>SUM(F29:I29)</f>
        <v>800</v>
      </c>
      <c r="K29" s="142">
        <v>8300</v>
      </c>
      <c r="L29" s="140">
        <v>7</v>
      </c>
      <c r="M29" s="140" t="s">
        <v>49</v>
      </c>
      <c r="N29" s="143">
        <f>K29/E29</f>
        <v>0.91208791208791207</v>
      </c>
      <c r="O29" s="140">
        <f>J29+K29</f>
        <v>9100</v>
      </c>
      <c r="P29" s="140">
        <f>O29-E29</f>
        <v>0</v>
      </c>
    </row>
    <row r="30" spans="1:18" ht="13.9" customHeight="1">
      <c r="A30" s="203">
        <v>46254</v>
      </c>
      <c r="B30" s="140" t="s">
        <v>127</v>
      </c>
      <c r="C30" s="140" t="s">
        <v>20</v>
      </c>
      <c r="D30" s="140" t="s">
        <v>48</v>
      </c>
      <c r="E30" s="140">
        <v>7970</v>
      </c>
      <c r="F30" s="140">
        <v>29</v>
      </c>
      <c r="G30" s="140">
        <v>510</v>
      </c>
      <c r="H30" s="140">
        <v>22</v>
      </c>
      <c r="I30" s="140">
        <v>108</v>
      </c>
      <c r="J30" s="140">
        <v>670</v>
      </c>
      <c r="K30" s="142">
        <v>7300</v>
      </c>
      <c r="L30" s="140">
        <v>7</v>
      </c>
      <c r="M30" s="140" t="s">
        <v>49</v>
      </c>
      <c r="N30" s="143">
        <f>K30/E30</f>
        <v>0.91593475533249691</v>
      </c>
      <c r="O30" s="140">
        <f>J30+K30</f>
        <v>7970</v>
      </c>
      <c r="P30" s="140">
        <f>O30-E30</f>
        <v>0</v>
      </c>
    </row>
    <row r="31" spans="1:18" ht="13.9" customHeight="1">
      <c r="A31" s="203">
        <v>46255</v>
      </c>
      <c r="B31" s="140" t="s">
        <v>127</v>
      </c>
      <c r="C31" s="140" t="s">
        <v>20</v>
      </c>
      <c r="D31" s="140" t="s">
        <v>48</v>
      </c>
      <c r="E31" s="140">
        <v>9400</v>
      </c>
      <c r="F31" s="140">
        <v>36</v>
      </c>
      <c r="G31" s="140">
        <v>716</v>
      </c>
      <c r="H31" s="140">
        <v>29</v>
      </c>
      <c r="I31" s="140">
        <v>119</v>
      </c>
      <c r="J31" s="140">
        <f>SUM(F31:I31)</f>
        <v>900</v>
      </c>
      <c r="K31" s="142">
        <v>8500</v>
      </c>
      <c r="L31" s="140">
        <v>7</v>
      </c>
      <c r="M31" s="140" t="s">
        <v>49</v>
      </c>
      <c r="N31" s="143">
        <f>K31/E31</f>
        <v>0.9042553191489362</v>
      </c>
      <c r="O31" s="140">
        <f>J31+K31</f>
        <v>9400</v>
      </c>
      <c r="P31" s="140">
        <f>O31-E31</f>
        <v>0</v>
      </c>
    </row>
    <row r="32" spans="1:18" ht="13.9" customHeight="1">
      <c r="A32" s="203">
        <v>46256</v>
      </c>
      <c r="B32" s="140" t="s">
        <v>127</v>
      </c>
      <c r="C32" s="140" t="s">
        <v>20</v>
      </c>
      <c r="D32" s="140" t="s">
        <v>48</v>
      </c>
      <c r="E32" s="140">
        <v>9600</v>
      </c>
      <c r="F32" s="162">
        <v>39</v>
      </c>
      <c r="G32" s="140">
        <v>736</v>
      </c>
      <c r="H32" s="140">
        <v>23</v>
      </c>
      <c r="I32" s="140">
        <v>102</v>
      </c>
      <c r="J32" s="140">
        <f>SUM(F32:I32)</f>
        <v>900</v>
      </c>
      <c r="K32" s="142">
        <v>8700</v>
      </c>
      <c r="L32" s="140">
        <v>7</v>
      </c>
      <c r="M32" s="140" t="s">
        <v>49</v>
      </c>
      <c r="N32" s="143">
        <f>K32/E32</f>
        <v>0.90625</v>
      </c>
      <c r="O32" s="140">
        <f>J32+K32</f>
        <v>9600</v>
      </c>
      <c r="P32" s="140">
        <f>O32-E32</f>
        <v>0</v>
      </c>
    </row>
    <row r="33" spans="1:16" ht="13.9" customHeight="1">
      <c r="A33" s="203">
        <v>46258</v>
      </c>
      <c r="B33" s="140" t="s">
        <v>127</v>
      </c>
      <c r="C33" s="140" t="s">
        <v>20</v>
      </c>
      <c r="D33" s="140" t="s">
        <v>48</v>
      </c>
      <c r="E33" s="140">
        <v>7200</v>
      </c>
      <c r="F33" s="140">
        <v>38</v>
      </c>
      <c r="G33" s="140">
        <v>72.5</v>
      </c>
      <c r="H33" s="140">
        <v>18</v>
      </c>
      <c r="I33" s="145">
        <v>421.5</v>
      </c>
      <c r="J33" s="140">
        <f>SUM(F33:I33)</f>
        <v>550</v>
      </c>
      <c r="K33" s="142">
        <v>6650</v>
      </c>
      <c r="L33" s="140">
        <v>7</v>
      </c>
      <c r="M33" s="140" t="s">
        <v>49</v>
      </c>
      <c r="N33" s="143">
        <f>K33/E33</f>
        <v>0.92361111111111116</v>
      </c>
      <c r="O33" s="140">
        <f>J33+K33</f>
        <v>7200</v>
      </c>
      <c r="P33" s="140">
        <f>O33-E33</f>
        <v>0</v>
      </c>
    </row>
    <row r="34" spans="1:16" ht="13.9" customHeight="1">
      <c r="A34" s="203">
        <v>46259</v>
      </c>
      <c r="B34" s="140" t="s">
        <v>127</v>
      </c>
      <c r="C34" s="140" t="s">
        <v>20</v>
      </c>
      <c r="D34" s="140" t="s">
        <v>48</v>
      </c>
      <c r="E34" s="140">
        <v>9150</v>
      </c>
      <c r="F34" s="140">
        <v>36</v>
      </c>
      <c r="G34" s="140">
        <v>135</v>
      </c>
      <c r="H34" s="163">
        <v>30</v>
      </c>
      <c r="I34" s="140">
        <v>449</v>
      </c>
      <c r="J34" s="164">
        <f>SUM(F34:I34)</f>
        <v>650</v>
      </c>
      <c r="K34" s="142">
        <v>8500</v>
      </c>
      <c r="L34" s="140">
        <v>7</v>
      </c>
      <c r="M34" s="140" t="s">
        <v>49</v>
      </c>
      <c r="N34" s="143">
        <f>K34/E34</f>
        <v>0.92896174863387981</v>
      </c>
      <c r="O34" s="140">
        <f>J34+K34</f>
        <v>9150</v>
      </c>
      <c r="P34" s="140">
        <f>O34-E34</f>
        <v>0</v>
      </c>
    </row>
    <row r="35" spans="1:16" ht="13.9" customHeight="1">
      <c r="A35" s="203">
        <v>46260</v>
      </c>
      <c r="B35" s="140" t="s">
        <v>127</v>
      </c>
      <c r="C35" s="140" t="s">
        <v>20</v>
      </c>
      <c r="D35" s="140" t="s">
        <v>48</v>
      </c>
      <c r="E35" s="140">
        <v>9000</v>
      </c>
      <c r="F35" s="140">
        <v>37</v>
      </c>
      <c r="G35" s="140">
        <v>160</v>
      </c>
      <c r="H35" s="140">
        <v>37</v>
      </c>
      <c r="I35" s="165">
        <v>446</v>
      </c>
      <c r="J35" s="140">
        <f>SUM(F35:I35)</f>
        <v>680</v>
      </c>
      <c r="K35" s="142">
        <v>8320</v>
      </c>
      <c r="L35" s="140">
        <v>7</v>
      </c>
      <c r="M35" s="140" t="s">
        <v>49</v>
      </c>
      <c r="N35" s="143">
        <f>K35/E35</f>
        <v>0.9244444444444444</v>
      </c>
      <c r="O35" s="140">
        <f>J35+K35</f>
        <v>9000</v>
      </c>
      <c r="P35" s="140">
        <f>O35-E35</f>
        <v>0</v>
      </c>
    </row>
    <row r="36" spans="1:16" ht="13.9" customHeight="1">
      <c r="A36" s="204">
        <v>46261</v>
      </c>
      <c r="B36" s="140" t="s">
        <v>127</v>
      </c>
      <c r="C36" s="140" t="s">
        <v>20</v>
      </c>
      <c r="D36" s="140" t="s">
        <v>48</v>
      </c>
      <c r="E36" s="140">
        <v>7400</v>
      </c>
      <c r="F36" s="140">
        <v>28</v>
      </c>
      <c r="G36" s="140">
        <v>132</v>
      </c>
      <c r="H36" s="140">
        <v>19</v>
      </c>
      <c r="I36" s="140">
        <v>301</v>
      </c>
      <c r="J36" s="140">
        <f>SUM(F36:I36)</f>
        <v>480</v>
      </c>
      <c r="K36" s="142">
        <v>6920</v>
      </c>
      <c r="L36" s="140">
        <v>7</v>
      </c>
      <c r="M36" s="140" t="s">
        <v>49</v>
      </c>
      <c r="N36" s="143">
        <f>K36/E36</f>
        <v>0.93513513513513513</v>
      </c>
      <c r="O36" s="140">
        <f>J36+K36</f>
        <v>7400</v>
      </c>
      <c r="P36" s="140">
        <f>O36-E36</f>
        <v>0</v>
      </c>
    </row>
    <row r="37" spans="1:16" ht="13.9" customHeight="1">
      <c r="A37" s="204">
        <v>46262</v>
      </c>
      <c r="B37" s="140" t="s">
        <v>127</v>
      </c>
      <c r="C37" s="140" t="s">
        <v>20</v>
      </c>
      <c r="D37" s="140" t="s">
        <v>48</v>
      </c>
      <c r="E37" s="140">
        <v>10000</v>
      </c>
      <c r="F37" s="140">
        <v>38</v>
      </c>
      <c r="G37" s="140">
        <v>152</v>
      </c>
      <c r="H37" s="140">
        <v>25</v>
      </c>
      <c r="I37" s="140">
        <v>429</v>
      </c>
      <c r="J37" s="140">
        <f>SUM(F37:I37)</f>
        <v>644</v>
      </c>
      <c r="K37" s="142">
        <v>9356</v>
      </c>
      <c r="L37" s="140">
        <v>7</v>
      </c>
      <c r="M37" s="140" t="s">
        <v>49</v>
      </c>
      <c r="N37" s="143">
        <f>K37/E37</f>
        <v>0.93559999999999999</v>
      </c>
      <c r="O37" s="140">
        <f>J37+K37</f>
        <v>10000</v>
      </c>
      <c r="P37" s="140">
        <f>O37-E37</f>
        <v>0</v>
      </c>
    </row>
    <row r="38" spans="1:16" ht="13.9" customHeight="1">
      <c r="A38" s="204">
        <v>46263</v>
      </c>
      <c r="B38" s="140" t="s">
        <v>127</v>
      </c>
      <c r="C38" s="140" t="s">
        <v>20</v>
      </c>
      <c r="D38" s="140" t="s">
        <v>51</v>
      </c>
      <c r="E38" s="140">
        <v>5150</v>
      </c>
      <c r="F38" s="140">
        <v>38</v>
      </c>
      <c r="G38" s="140">
        <v>40</v>
      </c>
      <c r="H38" s="140">
        <v>31</v>
      </c>
      <c r="I38" s="140">
        <v>316</v>
      </c>
      <c r="J38" s="140">
        <f>SUM(F38:I38)</f>
        <v>425</v>
      </c>
      <c r="K38" s="166">
        <v>4725</v>
      </c>
      <c r="L38" s="140">
        <v>7</v>
      </c>
      <c r="M38" s="140" t="s">
        <v>49</v>
      </c>
      <c r="N38" s="143">
        <f>K38/E38</f>
        <v>0.91747572815533984</v>
      </c>
      <c r="O38" s="140">
        <f>J38+K38</f>
        <v>5150</v>
      </c>
      <c r="P38" s="140">
        <f>O38-E38</f>
        <v>0</v>
      </c>
    </row>
    <row r="39" spans="1:16" ht="13.9" customHeight="1">
      <c r="A39" s="204">
        <v>46264</v>
      </c>
      <c r="B39" s="140" t="s">
        <v>166</v>
      </c>
      <c r="C39" s="140" t="s">
        <v>20</v>
      </c>
      <c r="D39" s="140" t="s">
        <v>51</v>
      </c>
      <c r="E39" s="140">
        <v>6900</v>
      </c>
      <c r="F39" s="140">
        <v>45</v>
      </c>
      <c r="G39" s="140">
        <v>240</v>
      </c>
      <c r="H39" s="140">
        <v>28</v>
      </c>
      <c r="I39" s="140">
        <v>254</v>
      </c>
      <c r="J39" s="140">
        <f>SUM(F39:I39)</f>
        <v>567</v>
      </c>
      <c r="K39" s="161">
        <v>6333</v>
      </c>
      <c r="L39" s="140">
        <v>7</v>
      </c>
      <c r="M39" s="140" t="s">
        <v>49</v>
      </c>
      <c r="N39" s="143">
        <f>K39/E39</f>
        <v>0.91782608695652179</v>
      </c>
      <c r="O39" s="140">
        <f>J39+K39</f>
        <v>6900</v>
      </c>
      <c r="P39" s="140">
        <f>O39-E39</f>
        <v>0</v>
      </c>
    </row>
    <row r="40" spans="1:16" ht="13.9" customHeight="1">
      <c r="A40" s="204">
        <v>46265</v>
      </c>
      <c r="B40" s="140" t="s">
        <v>127</v>
      </c>
      <c r="C40" s="140" t="s">
        <v>20</v>
      </c>
      <c r="D40" s="140" t="s">
        <v>51</v>
      </c>
      <c r="E40" s="140">
        <v>7300</v>
      </c>
      <c r="F40" s="140">
        <v>58</v>
      </c>
      <c r="G40" s="140">
        <v>73</v>
      </c>
      <c r="H40" s="140">
        <v>34</v>
      </c>
      <c r="I40" s="140">
        <v>323</v>
      </c>
      <c r="J40" s="140">
        <f>SUM(F40:I40)</f>
        <v>488</v>
      </c>
      <c r="K40" s="161">
        <v>6812</v>
      </c>
      <c r="L40" s="140">
        <v>7</v>
      </c>
      <c r="M40" s="140" t="s">
        <v>49</v>
      </c>
      <c r="N40" s="143">
        <f>K40/E40</f>
        <v>0.93315068493150688</v>
      </c>
      <c r="O40" s="140">
        <f>J40+K40</f>
        <v>7300</v>
      </c>
      <c r="P40" s="140">
        <f>O40-E40</f>
        <v>0</v>
      </c>
    </row>
    <row r="41" spans="1:16" ht="12.75">
      <c r="A41" s="140"/>
      <c r="B41" s="140"/>
      <c r="C41" s="140"/>
      <c r="D41" s="140"/>
      <c r="E41" s="140"/>
      <c r="F41" s="140"/>
      <c r="G41" s="140"/>
      <c r="H41" s="140"/>
      <c r="I41" s="140"/>
      <c r="J41" s="140">
        <f t="shared" ref="J4:J46" si="0">SUM(F41:I41)</f>
        <v>0</v>
      </c>
      <c r="K41" s="140"/>
      <c r="L41" s="140"/>
      <c r="M41" s="140"/>
      <c r="N41" s="167"/>
      <c r="O41" s="140">
        <f t="shared" ref="O4:O46" si="1">J41+K41</f>
        <v>0</v>
      </c>
      <c r="P41" s="140">
        <f t="shared" ref="P4:P46" si="2">O41-E41</f>
        <v>0</v>
      </c>
    </row>
    <row r="42" spans="1:16" ht="13.9">
      <c r="A42" s="140"/>
      <c r="B42" s="140"/>
      <c r="C42" s="140"/>
      <c r="D42" s="140"/>
      <c r="E42" s="140"/>
      <c r="F42" s="140"/>
      <c r="G42" s="140"/>
      <c r="H42" s="140"/>
      <c r="I42" s="140"/>
      <c r="J42" s="140">
        <f t="shared" si="0"/>
        <v>0</v>
      </c>
      <c r="K42" s="140"/>
      <c r="L42" s="140"/>
      <c r="M42" s="140"/>
      <c r="N42" s="167"/>
      <c r="O42" s="140">
        <f t="shared" si="1"/>
        <v>0</v>
      </c>
      <c r="P42" s="140">
        <f t="shared" si="2"/>
        <v>0</v>
      </c>
    </row>
    <row r="43" spans="1:16" ht="13.9">
      <c r="A43" s="140"/>
      <c r="B43" s="140"/>
      <c r="C43" s="140"/>
      <c r="D43" s="140"/>
      <c r="E43" s="140"/>
      <c r="F43" s="140"/>
      <c r="G43" s="140"/>
      <c r="H43" s="140"/>
      <c r="I43" s="140"/>
      <c r="J43" s="140">
        <f t="shared" si="0"/>
        <v>0</v>
      </c>
      <c r="K43" s="140"/>
      <c r="L43" s="140"/>
      <c r="M43" s="140"/>
      <c r="N43" s="167"/>
      <c r="O43" s="140">
        <f t="shared" si="1"/>
        <v>0</v>
      </c>
      <c r="P43" s="140">
        <f t="shared" si="2"/>
        <v>0</v>
      </c>
    </row>
    <row r="44" spans="1:16" ht="13.9">
      <c r="A44" s="140"/>
      <c r="B44" s="140"/>
      <c r="C44" s="140"/>
      <c r="D44" s="140"/>
      <c r="E44" s="140"/>
      <c r="F44" s="140"/>
      <c r="G44" s="140"/>
      <c r="H44" s="140"/>
      <c r="I44" s="140"/>
      <c r="J44" s="140">
        <f t="shared" si="0"/>
        <v>0</v>
      </c>
      <c r="K44" s="140"/>
      <c r="L44" s="140"/>
      <c r="M44" s="140"/>
      <c r="N44" s="167"/>
      <c r="O44" s="140">
        <f t="shared" si="1"/>
        <v>0</v>
      </c>
      <c r="P44" s="140">
        <f t="shared" si="2"/>
        <v>0</v>
      </c>
    </row>
    <row r="45" spans="1:16" ht="13.9">
      <c r="A45" s="140"/>
      <c r="B45" s="140"/>
      <c r="C45" s="140"/>
      <c r="D45" s="140"/>
      <c r="E45" s="140"/>
      <c r="F45" s="140"/>
      <c r="G45" s="140"/>
      <c r="H45" s="140"/>
      <c r="I45" s="140"/>
      <c r="J45" s="140">
        <f t="shared" si="0"/>
        <v>0</v>
      </c>
      <c r="K45" s="140"/>
      <c r="L45" s="140"/>
      <c r="M45" s="140"/>
      <c r="N45" s="167"/>
      <c r="O45" s="140">
        <f t="shared" si="1"/>
        <v>0</v>
      </c>
      <c r="P45" s="140">
        <f t="shared" si="2"/>
        <v>0</v>
      </c>
    </row>
    <row r="46" spans="1:16" ht="13.9">
      <c r="A46" s="140"/>
      <c r="B46" s="140"/>
      <c r="C46" s="140"/>
      <c r="D46" s="140"/>
      <c r="E46" s="140"/>
      <c r="F46" s="140"/>
      <c r="G46" s="140"/>
      <c r="H46" s="140"/>
      <c r="I46" s="140"/>
      <c r="J46" s="140">
        <f t="shared" si="0"/>
        <v>0</v>
      </c>
      <c r="K46" s="140"/>
      <c r="L46" s="140"/>
      <c r="M46" s="140"/>
      <c r="N46" s="167"/>
      <c r="O46" s="140">
        <f t="shared" si="1"/>
        <v>0</v>
      </c>
      <c r="P46" s="140">
        <f t="shared" si="2"/>
        <v>0</v>
      </c>
    </row>
    <row r="47" spans="1:16" ht="13.9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 t="s">
        <v>167</v>
      </c>
      <c r="L47" s="138"/>
      <c r="M47" s="138"/>
      <c r="N47" s="138"/>
    </row>
  </sheetData>
  <mergeCells count="15">
    <mergeCell ref="F2:F3"/>
    <mergeCell ref="G2:G3"/>
    <mergeCell ref="H2:H3"/>
    <mergeCell ref="A1:N1"/>
    <mergeCell ref="A2:A3"/>
    <mergeCell ref="B2:B3"/>
    <mergeCell ref="C2:C3"/>
    <mergeCell ref="D2:D3"/>
    <mergeCell ref="E2:E3"/>
    <mergeCell ref="I2:I3"/>
    <mergeCell ref="J2:J3"/>
    <mergeCell ref="K2:K3"/>
    <mergeCell ref="L2:L3"/>
    <mergeCell ref="M2:M3"/>
    <mergeCell ref="N2:N3"/>
  </mergeCells>
  <dataValidations count="3">
    <dataValidation type="list" allowBlank="1" showInputMessage="1" showErrorMessage="1" sqref="M4:M46" xr:uid="{1CCCC1D8-03FE-4BB8-8DA2-038FB35E470D}">
      <formula1>"Day,Night"</formula1>
    </dataValidation>
    <dataValidation type="list" allowBlank="1" showInputMessage="1" showErrorMessage="1" sqref="C41:C46" xr:uid="{2D530E12-8E21-461B-A3B1-CF95F05091AA}">
      <formula1>"C39"</formula1>
    </dataValidation>
    <dataValidation type="list" allowBlank="1" showInputMessage="1" showErrorMessage="1" sqref="D18:D46" xr:uid="{2BDE582E-EB12-497A-B898-346FB5B8BD22}">
      <formula1>"Multigrain,Multigrain 60%,Besan,Khapli"</formula1>
    </dataValidation>
  </dataValidations>
  <pageMargins left="0" right="0" top="0" bottom="0" header="0" footer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4DD3-A387-4949-8297-F6DD493BC6ED}">
  <dimension ref="A2:P60"/>
  <sheetViews>
    <sheetView zoomScaleNormal="60" zoomScaleSheetLayoutView="100" workbookViewId="0">
      <pane ySplit="5" topLeftCell="A6" activePane="bottomLeft" state="frozen"/>
      <selection pane="bottomLeft" activeCell="G48" sqref="G48"/>
    </sheetView>
  </sheetViews>
  <sheetFormatPr defaultColWidth="9.140625" defaultRowHeight="13.9"/>
  <cols>
    <col min="1" max="3" width="14.140625" style="148" customWidth="1"/>
    <col min="4" max="4" width="22.42578125" style="148" customWidth="1"/>
    <col min="5" max="5" width="10.28515625" style="148" customWidth="1"/>
    <col min="6" max="6" width="12.140625" style="148" customWidth="1"/>
    <col min="7" max="7" width="9.140625" style="148" customWidth="1"/>
    <col min="8" max="8" width="15.140625" style="148" customWidth="1"/>
    <col min="9" max="9" width="10.7109375" style="148" customWidth="1"/>
    <col min="10" max="10" width="13.85546875" style="148" customWidth="1"/>
    <col min="11" max="11" width="9.85546875" style="148" customWidth="1"/>
    <col min="12" max="12" width="10.140625" style="148" customWidth="1"/>
    <col min="13" max="13" width="9.140625" style="148" customWidth="1"/>
    <col min="14" max="15" width="9.140625" style="148"/>
    <col min="16" max="16" width="10.7109375" style="148" customWidth="1"/>
    <col min="17" max="16384" width="9.140625" style="148"/>
  </cols>
  <sheetData>
    <row r="2" spans="1:16" ht="25.5" customHeight="1">
      <c r="A2" s="247" t="s">
        <v>40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138"/>
    </row>
    <row r="3" spans="1:16" ht="25.5" customHeight="1">
      <c r="A3" s="171"/>
      <c r="B3" s="173"/>
      <c r="C3" s="173"/>
      <c r="D3" s="173"/>
      <c r="E3" s="174">
        <f>SUBTOTAL(9,E6:E60)</f>
        <v>113894.3</v>
      </c>
      <c r="F3" s="174">
        <f t="shared" ref="F3:P3" si="0">SUBTOTAL(9,F6:F60)</f>
        <v>31</v>
      </c>
      <c r="G3" s="174">
        <f t="shared" si="0"/>
        <v>3243.8</v>
      </c>
      <c r="H3" s="174">
        <f t="shared" si="0"/>
        <v>81.5</v>
      </c>
      <c r="I3" s="174">
        <f t="shared" si="0"/>
        <v>4503</v>
      </c>
      <c r="J3" s="174">
        <f t="shared" si="0"/>
        <v>7859.3</v>
      </c>
      <c r="K3" s="174">
        <f t="shared" si="0"/>
        <v>106035</v>
      </c>
      <c r="L3" s="174"/>
      <c r="M3" s="174"/>
      <c r="N3" s="175">
        <f>K3/E3*100</f>
        <v>93.099479078408663</v>
      </c>
      <c r="O3" s="174">
        <f t="shared" si="0"/>
        <v>113894.3</v>
      </c>
      <c r="P3" s="174">
        <f t="shared" si="0"/>
        <v>0</v>
      </c>
    </row>
    <row r="4" spans="1:16" ht="12.75" customHeight="1">
      <c r="A4" s="249" t="s">
        <v>25</v>
      </c>
      <c r="B4" s="249" t="s">
        <v>26</v>
      </c>
      <c r="C4" s="249" t="s">
        <v>27</v>
      </c>
      <c r="D4" s="249" t="s">
        <v>22</v>
      </c>
      <c r="E4" s="251" t="s">
        <v>168</v>
      </c>
      <c r="F4" s="251" t="s">
        <v>169</v>
      </c>
      <c r="G4" s="251" t="s">
        <v>170</v>
      </c>
      <c r="H4" s="251" t="s">
        <v>171</v>
      </c>
      <c r="I4" s="251" t="s">
        <v>172</v>
      </c>
      <c r="J4" s="249" t="s">
        <v>173</v>
      </c>
      <c r="K4" s="249" t="s">
        <v>174</v>
      </c>
      <c r="L4" s="249" t="s">
        <v>35</v>
      </c>
      <c r="M4" s="249" t="s">
        <v>36</v>
      </c>
      <c r="N4" s="253" t="s">
        <v>37</v>
      </c>
      <c r="O4" s="138"/>
    </row>
    <row r="5" spans="1:16" ht="58.5" customHeight="1">
      <c r="A5" s="250"/>
      <c r="B5" s="250"/>
      <c r="C5" s="250"/>
      <c r="D5" s="250"/>
      <c r="E5" s="250"/>
      <c r="F5" s="252"/>
      <c r="G5" s="252"/>
      <c r="H5" s="252"/>
      <c r="I5" s="251"/>
      <c r="J5" s="250"/>
      <c r="K5" s="250"/>
      <c r="L5" s="250"/>
      <c r="M5" s="250"/>
      <c r="N5" s="250"/>
      <c r="O5" s="172" t="s">
        <v>38</v>
      </c>
      <c r="P5" s="148" t="s">
        <v>39</v>
      </c>
    </row>
    <row r="6" spans="1:16" ht="13.9" customHeight="1">
      <c r="A6" s="203">
        <v>46266</v>
      </c>
      <c r="B6" s="140" t="s">
        <v>56</v>
      </c>
      <c r="C6" s="140" t="s">
        <v>152</v>
      </c>
      <c r="D6" s="140" t="s">
        <v>175</v>
      </c>
      <c r="E6" s="140">
        <v>5092</v>
      </c>
      <c r="F6" s="141">
        <v>2</v>
      </c>
      <c r="G6" s="140">
        <v>198</v>
      </c>
      <c r="H6" s="140">
        <v>10</v>
      </c>
      <c r="I6" s="140">
        <v>100</v>
      </c>
      <c r="J6" s="140">
        <f>SUM(F6:I6)</f>
        <v>310</v>
      </c>
      <c r="K6" s="142">
        <v>4782</v>
      </c>
      <c r="L6" s="140">
        <v>3</v>
      </c>
      <c r="M6" s="140" t="s">
        <v>49</v>
      </c>
      <c r="N6" s="143">
        <f>IFERROR(K6/E6,"")</f>
        <v>0.93912018853102908</v>
      </c>
      <c r="O6" s="163">
        <f>J6+K6</f>
        <v>5092</v>
      </c>
      <c r="P6" s="150">
        <f>O6-E6</f>
        <v>0</v>
      </c>
    </row>
    <row r="7" spans="1:16" ht="13.9" customHeight="1">
      <c r="A7" s="203">
        <v>46266</v>
      </c>
      <c r="B7" s="140" t="s">
        <v>56</v>
      </c>
      <c r="C7" s="140" t="s">
        <v>155</v>
      </c>
      <c r="D7" s="140" t="s">
        <v>175</v>
      </c>
      <c r="E7" s="140">
        <v>2134</v>
      </c>
      <c r="F7" s="141">
        <v>2</v>
      </c>
      <c r="G7" s="140">
        <v>15.8</v>
      </c>
      <c r="H7" s="140">
        <v>4</v>
      </c>
      <c r="I7" s="140">
        <v>137.69999999999999</v>
      </c>
      <c r="J7" s="140">
        <f>SUM(F7:I7)</f>
        <v>159.5</v>
      </c>
      <c r="K7" s="142">
        <v>1974.5</v>
      </c>
      <c r="L7" s="140">
        <v>3</v>
      </c>
      <c r="M7" s="140" t="s">
        <v>49</v>
      </c>
      <c r="N7" s="143">
        <f>IFERROR(K7/E7,"")</f>
        <v>0.92525773195876293</v>
      </c>
      <c r="O7" s="163">
        <f>J7+K7</f>
        <v>2134</v>
      </c>
      <c r="P7" s="150">
        <f>O7-E7</f>
        <v>0</v>
      </c>
    </row>
    <row r="8" spans="1:16" ht="13.9" customHeight="1">
      <c r="A8" s="203">
        <v>46267</v>
      </c>
      <c r="B8" s="140" t="s">
        <v>56</v>
      </c>
      <c r="C8" s="140" t="s">
        <v>152</v>
      </c>
      <c r="D8" s="140" t="s">
        <v>175</v>
      </c>
      <c r="E8" s="140">
        <v>4462</v>
      </c>
      <c r="F8" s="141">
        <v>1</v>
      </c>
      <c r="G8" s="140">
        <v>160</v>
      </c>
      <c r="H8" s="140">
        <v>3</v>
      </c>
      <c r="I8" s="140">
        <v>196</v>
      </c>
      <c r="J8" s="140">
        <f>SUM(F8:I8)</f>
        <v>360</v>
      </c>
      <c r="K8" s="142">
        <v>4102</v>
      </c>
      <c r="L8" s="140">
        <v>4</v>
      </c>
      <c r="M8" s="140" t="s">
        <v>49</v>
      </c>
      <c r="N8" s="143">
        <f>IFERROR(K8/E8,"")</f>
        <v>0.91931869116987897</v>
      </c>
      <c r="O8" s="163">
        <f>J8+K8</f>
        <v>4462</v>
      </c>
      <c r="P8" s="150">
        <f>O8-E8</f>
        <v>0</v>
      </c>
    </row>
    <row r="9" spans="1:16" ht="13.9" customHeight="1">
      <c r="A9" s="203">
        <v>46267</v>
      </c>
      <c r="B9" s="140" t="s">
        <v>56</v>
      </c>
      <c r="C9" s="140" t="s">
        <v>155</v>
      </c>
      <c r="D9" s="140" t="s">
        <v>176</v>
      </c>
      <c r="E9" s="140">
        <v>1000</v>
      </c>
      <c r="F9" s="141">
        <v>1</v>
      </c>
      <c r="G9" s="140">
        <v>10</v>
      </c>
      <c r="H9" s="140">
        <v>2</v>
      </c>
      <c r="I9" s="140">
        <v>17</v>
      </c>
      <c r="J9" s="140">
        <f>SUM(F9:I9)</f>
        <v>30</v>
      </c>
      <c r="K9" s="142">
        <v>970</v>
      </c>
      <c r="L9" s="140">
        <v>4</v>
      </c>
      <c r="M9" s="140" t="s">
        <v>49</v>
      </c>
      <c r="N9" s="143">
        <f>IFERROR(K9/E9,"")</f>
        <v>0.97</v>
      </c>
      <c r="O9" s="163">
        <f>J9+K9</f>
        <v>1000</v>
      </c>
      <c r="P9" s="150">
        <f>O9-E9</f>
        <v>0</v>
      </c>
    </row>
    <row r="10" spans="1:16" ht="13.9" customHeight="1">
      <c r="A10" s="203">
        <v>46268</v>
      </c>
      <c r="B10" s="140" t="s">
        <v>56</v>
      </c>
      <c r="C10" s="140" t="s">
        <v>152</v>
      </c>
      <c r="D10" s="140" t="s">
        <v>175</v>
      </c>
      <c r="E10" s="140">
        <v>3395</v>
      </c>
      <c r="F10" s="140">
        <v>1</v>
      </c>
      <c r="G10" s="140">
        <v>160</v>
      </c>
      <c r="H10" s="140">
        <v>3</v>
      </c>
      <c r="I10" s="140">
        <v>54</v>
      </c>
      <c r="J10" s="140">
        <f>SUM(F10:I10)</f>
        <v>218</v>
      </c>
      <c r="K10" s="142">
        <v>3177</v>
      </c>
      <c r="L10" s="140">
        <v>4</v>
      </c>
      <c r="M10" s="140" t="s">
        <v>49</v>
      </c>
      <c r="N10" s="143">
        <f>IFERROR(K10/E10,"")</f>
        <v>0.9357879234167894</v>
      </c>
      <c r="O10" s="163">
        <f>J10+K10</f>
        <v>3395</v>
      </c>
      <c r="P10" s="150">
        <f>O10-E10</f>
        <v>0</v>
      </c>
    </row>
    <row r="11" spans="1:16" ht="13.9" customHeight="1">
      <c r="A11" s="203">
        <v>46269</v>
      </c>
      <c r="B11" s="140" t="s">
        <v>56</v>
      </c>
      <c r="C11" s="140" t="s">
        <v>152</v>
      </c>
      <c r="D11" s="140" t="s">
        <v>175</v>
      </c>
      <c r="E11" s="140">
        <v>4704.5</v>
      </c>
      <c r="F11" s="140">
        <v>0</v>
      </c>
      <c r="G11" s="140">
        <v>158</v>
      </c>
      <c r="H11" s="140">
        <v>4</v>
      </c>
      <c r="I11" s="140">
        <v>168.5</v>
      </c>
      <c r="J11" s="140">
        <f>SUM(F11:I11)</f>
        <v>330.5</v>
      </c>
      <c r="K11" s="142">
        <v>4374</v>
      </c>
      <c r="L11" s="140">
        <v>4</v>
      </c>
      <c r="M11" s="140" t="s">
        <v>49</v>
      </c>
      <c r="N11" s="143">
        <f>IFERROR(K11/E11,"")</f>
        <v>0.92974811350834308</v>
      </c>
      <c r="O11" s="163">
        <f>J11+K11</f>
        <v>4704.5</v>
      </c>
      <c r="P11" s="150">
        <f>O11-E11</f>
        <v>0</v>
      </c>
    </row>
    <row r="12" spans="1:16" ht="13.9" customHeight="1">
      <c r="A12" s="203">
        <v>46270</v>
      </c>
      <c r="B12" s="140" t="s">
        <v>56</v>
      </c>
      <c r="C12" s="140" t="s">
        <v>152</v>
      </c>
      <c r="D12" s="140" t="s">
        <v>175</v>
      </c>
      <c r="E12" s="140">
        <v>4413.5</v>
      </c>
      <c r="F12" s="140">
        <v>1</v>
      </c>
      <c r="G12" s="140">
        <v>165</v>
      </c>
      <c r="H12" s="140">
        <v>2</v>
      </c>
      <c r="I12" s="140">
        <v>188.5</v>
      </c>
      <c r="J12" s="140">
        <f>SUM(F12:I12)</f>
        <v>356.5</v>
      </c>
      <c r="K12" s="142">
        <v>4057</v>
      </c>
      <c r="L12" s="140">
        <v>4</v>
      </c>
      <c r="M12" s="140" t="s">
        <v>49</v>
      </c>
      <c r="N12" s="143">
        <f>IFERROR(K12/E12,"")</f>
        <v>0.91922510479211506</v>
      </c>
      <c r="O12" s="163">
        <f>J12+K12</f>
        <v>4413.5</v>
      </c>
      <c r="P12" s="150">
        <f>O12-E12</f>
        <v>0</v>
      </c>
    </row>
    <row r="13" spans="1:16" ht="13.9" customHeight="1">
      <c r="A13" s="203">
        <v>46272</v>
      </c>
      <c r="B13" s="140" t="s">
        <v>56</v>
      </c>
      <c r="C13" s="140" t="s">
        <v>152</v>
      </c>
      <c r="D13" s="140" t="s">
        <v>175</v>
      </c>
      <c r="E13" s="140">
        <v>4025.5</v>
      </c>
      <c r="F13" s="140">
        <v>0</v>
      </c>
      <c r="G13" s="140">
        <v>127</v>
      </c>
      <c r="H13" s="140">
        <v>3</v>
      </c>
      <c r="I13" s="140">
        <v>99.5</v>
      </c>
      <c r="J13" s="140">
        <f>SUM(F13:I13)</f>
        <v>229.5</v>
      </c>
      <c r="K13" s="142">
        <v>3796</v>
      </c>
      <c r="L13" s="140">
        <v>4</v>
      </c>
      <c r="M13" s="140" t="s">
        <v>49</v>
      </c>
      <c r="N13" s="143">
        <f>IFERROR(K13/E13,"")</f>
        <v>0.94298844863992048</v>
      </c>
      <c r="O13" s="163">
        <f>J13+K13</f>
        <v>4025.5</v>
      </c>
      <c r="P13" s="150">
        <f>O13-E13</f>
        <v>0</v>
      </c>
    </row>
    <row r="14" spans="1:16" ht="13.9" customHeight="1">
      <c r="A14" s="203">
        <v>46273</v>
      </c>
      <c r="B14" s="140" t="s">
        <v>56</v>
      </c>
      <c r="C14" s="140" t="s">
        <v>152</v>
      </c>
      <c r="D14" s="140" t="s">
        <v>175</v>
      </c>
      <c r="E14" s="140">
        <v>4654.3</v>
      </c>
      <c r="F14" s="140">
        <v>1</v>
      </c>
      <c r="G14" s="140">
        <v>210</v>
      </c>
      <c r="H14" s="140">
        <v>2</v>
      </c>
      <c r="I14" s="140">
        <v>77.3</v>
      </c>
      <c r="J14" s="140">
        <f>SUM(F14:I14)</f>
        <v>290.3</v>
      </c>
      <c r="K14" s="142">
        <v>4364</v>
      </c>
      <c r="L14" s="140">
        <v>4</v>
      </c>
      <c r="M14" s="140" t="s">
        <v>49</v>
      </c>
      <c r="N14" s="143">
        <f>IFERROR(K14/E14,"")</f>
        <v>0.93762757020389742</v>
      </c>
      <c r="O14" s="163">
        <f>J14+K14</f>
        <v>4654.3</v>
      </c>
      <c r="P14" s="150">
        <f>O14-E14</f>
        <v>0</v>
      </c>
    </row>
    <row r="15" spans="1:16" ht="13.9" customHeight="1">
      <c r="A15" s="203">
        <v>46274</v>
      </c>
      <c r="B15" s="140" t="s">
        <v>56</v>
      </c>
      <c r="C15" s="140" t="s">
        <v>152</v>
      </c>
      <c r="D15" s="140" t="s">
        <v>175</v>
      </c>
      <c r="E15" s="140">
        <v>3978</v>
      </c>
      <c r="F15" s="140">
        <v>1</v>
      </c>
      <c r="G15" s="140">
        <v>179</v>
      </c>
      <c r="H15" s="140">
        <v>2</v>
      </c>
      <c r="I15" s="140">
        <v>159</v>
      </c>
      <c r="J15" s="140">
        <f>SUM(F15:I15)</f>
        <v>341</v>
      </c>
      <c r="K15" s="142">
        <v>3637</v>
      </c>
      <c r="L15" s="140">
        <v>4</v>
      </c>
      <c r="M15" s="140" t="s">
        <v>49</v>
      </c>
      <c r="N15" s="143">
        <f>IFERROR(K15/E15,"")</f>
        <v>0.91427853192559072</v>
      </c>
      <c r="O15" s="163">
        <f>J15+K15</f>
        <v>3978</v>
      </c>
      <c r="P15" s="150">
        <f>O15-E15</f>
        <v>0</v>
      </c>
    </row>
    <row r="16" spans="1:16" ht="13.9" customHeight="1">
      <c r="A16" s="203">
        <v>46275</v>
      </c>
      <c r="B16" s="140" t="s">
        <v>56</v>
      </c>
      <c r="C16" s="140" t="s">
        <v>152</v>
      </c>
      <c r="D16" s="140" t="s">
        <v>175</v>
      </c>
      <c r="E16" s="140">
        <v>4549</v>
      </c>
      <c r="F16" s="140">
        <v>1</v>
      </c>
      <c r="G16" s="140">
        <v>209</v>
      </c>
      <c r="H16" s="140">
        <v>3</v>
      </c>
      <c r="I16" s="140">
        <v>164</v>
      </c>
      <c r="J16" s="140">
        <f>SUM(F16:I16)</f>
        <v>377</v>
      </c>
      <c r="K16" s="142">
        <v>4172</v>
      </c>
      <c r="L16" s="140">
        <v>4</v>
      </c>
      <c r="M16" s="140" t="s">
        <v>49</v>
      </c>
      <c r="N16" s="143">
        <f>IFERROR(K16/E16,"")</f>
        <v>0.9171246427786327</v>
      </c>
      <c r="O16" s="163">
        <f>J16+K16</f>
        <v>4549</v>
      </c>
      <c r="P16" s="150">
        <f>O16-E16</f>
        <v>0</v>
      </c>
    </row>
    <row r="17" spans="1:16" ht="13.9" customHeight="1">
      <c r="A17" s="203">
        <v>46275</v>
      </c>
      <c r="B17" s="140" t="s">
        <v>56</v>
      </c>
      <c r="C17" s="140" t="s">
        <v>155</v>
      </c>
      <c r="D17" s="140" t="s">
        <v>175</v>
      </c>
      <c r="E17" s="140">
        <v>2182.5</v>
      </c>
      <c r="F17" s="140">
        <v>1</v>
      </c>
      <c r="G17" s="140">
        <v>14</v>
      </c>
      <c r="H17" s="140">
        <v>2</v>
      </c>
      <c r="I17" s="140">
        <v>140.5</v>
      </c>
      <c r="J17" s="140">
        <f>SUM(F17:I17)</f>
        <v>157.5</v>
      </c>
      <c r="K17" s="142">
        <v>2025</v>
      </c>
      <c r="L17" s="140">
        <v>4</v>
      </c>
      <c r="M17" s="140" t="s">
        <v>49</v>
      </c>
      <c r="N17" s="143">
        <f>IFERROR(K17/E17,"")</f>
        <v>0.92783505154639179</v>
      </c>
      <c r="O17" s="163">
        <f>J17+K17</f>
        <v>2182.5</v>
      </c>
      <c r="P17" s="150">
        <f>O17-E17</f>
        <v>0</v>
      </c>
    </row>
    <row r="18" spans="1:16" ht="13.9" customHeight="1">
      <c r="A18" s="203">
        <v>46276</v>
      </c>
      <c r="B18" s="140" t="s">
        <v>56</v>
      </c>
      <c r="C18" s="140" t="s">
        <v>152</v>
      </c>
      <c r="D18" s="140" t="s">
        <v>175</v>
      </c>
      <c r="E18" s="140">
        <v>4313.5</v>
      </c>
      <c r="F18" s="140">
        <v>1</v>
      </c>
      <c r="G18" s="140">
        <v>132</v>
      </c>
      <c r="H18" s="140">
        <v>3</v>
      </c>
      <c r="I18" s="140">
        <v>209.5</v>
      </c>
      <c r="J18" s="140">
        <f>SUM(F18:I18)</f>
        <v>345.5</v>
      </c>
      <c r="K18" s="142">
        <v>3968</v>
      </c>
      <c r="L18" s="140">
        <v>4</v>
      </c>
      <c r="M18" s="140" t="s">
        <v>49</v>
      </c>
      <c r="N18" s="143">
        <f>IFERROR(K18/E18,"")</f>
        <v>0.91990263127390748</v>
      </c>
      <c r="O18" s="163">
        <f>J18+K18</f>
        <v>4313.5</v>
      </c>
      <c r="P18" s="150">
        <f>O18-E18</f>
        <v>0</v>
      </c>
    </row>
    <row r="19" spans="1:16" ht="13.9" customHeight="1">
      <c r="A19" s="203">
        <v>46276</v>
      </c>
      <c r="B19" s="140" t="s">
        <v>56</v>
      </c>
      <c r="C19" s="140" t="s">
        <v>155</v>
      </c>
      <c r="D19" s="140" t="s">
        <v>175</v>
      </c>
      <c r="E19" s="140">
        <v>1891.5</v>
      </c>
      <c r="F19" s="140">
        <v>1</v>
      </c>
      <c r="G19" s="140">
        <v>14</v>
      </c>
      <c r="H19" s="140">
        <v>1</v>
      </c>
      <c r="I19" s="140">
        <v>73.5</v>
      </c>
      <c r="J19" s="140">
        <f>SUM(F19:I19)</f>
        <v>89.5</v>
      </c>
      <c r="K19" s="142">
        <v>1802</v>
      </c>
      <c r="L19" s="140">
        <v>4</v>
      </c>
      <c r="M19" s="140" t="s">
        <v>49</v>
      </c>
      <c r="N19" s="143">
        <f>IFERROR(K19/E19,"")</f>
        <v>0.95268305577583923</v>
      </c>
      <c r="O19" s="163">
        <f>J19+K19</f>
        <v>1891.5</v>
      </c>
      <c r="P19" s="150">
        <f>O19-E19</f>
        <v>0</v>
      </c>
    </row>
    <row r="20" spans="1:16" ht="13.9" customHeight="1">
      <c r="A20" s="203">
        <v>46277</v>
      </c>
      <c r="B20" s="145" t="s">
        <v>56</v>
      </c>
      <c r="C20" s="140" t="s">
        <v>152</v>
      </c>
      <c r="D20" s="145" t="s">
        <v>175</v>
      </c>
      <c r="E20" s="145">
        <v>3926</v>
      </c>
      <c r="F20" s="145">
        <v>1</v>
      </c>
      <c r="G20" s="145">
        <v>161</v>
      </c>
      <c r="H20" s="145">
        <v>2</v>
      </c>
      <c r="I20" s="145">
        <v>125</v>
      </c>
      <c r="J20" s="145">
        <f>SUM(F20:I20)</f>
        <v>289</v>
      </c>
      <c r="K20" s="146">
        <v>3637</v>
      </c>
      <c r="L20" s="145">
        <v>4</v>
      </c>
      <c r="M20" s="145" t="s">
        <v>49</v>
      </c>
      <c r="N20" s="143">
        <f>IFERROR(K20/E20,"")</f>
        <v>0.92638818135506873</v>
      </c>
      <c r="O20" s="168">
        <f>J20+K20</f>
        <v>3926</v>
      </c>
      <c r="P20" s="150">
        <f>O20-E20</f>
        <v>0</v>
      </c>
    </row>
    <row r="21" spans="1:16" ht="13.9" customHeight="1">
      <c r="A21" s="204">
        <v>46277</v>
      </c>
      <c r="B21" s="140" t="s">
        <v>56</v>
      </c>
      <c r="C21" s="140" t="s">
        <v>155</v>
      </c>
      <c r="D21" s="140" t="s">
        <v>175</v>
      </c>
      <c r="E21" s="140">
        <v>2037</v>
      </c>
      <c r="F21" s="140">
        <v>1</v>
      </c>
      <c r="G21" s="140">
        <v>12</v>
      </c>
      <c r="H21" s="140">
        <v>2</v>
      </c>
      <c r="I21" s="140">
        <v>102</v>
      </c>
      <c r="J21" s="140">
        <f>SUM(F21:I21)</f>
        <v>117</v>
      </c>
      <c r="K21" s="142">
        <v>1920</v>
      </c>
      <c r="L21" s="140">
        <v>4</v>
      </c>
      <c r="M21" s="140" t="s">
        <v>49</v>
      </c>
      <c r="N21" s="143">
        <f>IFERROR(K21/E21,"")</f>
        <v>0.94256259204712811</v>
      </c>
      <c r="O21" s="163">
        <f>J21+K21</f>
        <v>2037</v>
      </c>
      <c r="P21" s="150">
        <f>O21-E21</f>
        <v>0</v>
      </c>
    </row>
    <row r="22" spans="1:16" ht="13.9" customHeight="1">
      <c r="A22" s="206">
        <v>46280</v>
      </c>
      <c r="B22" s="150" t="s">
        <v>56</v>
      </c>
      <c r="C22" s="140" t="s">
        <v>152</v>
      </c>
      <c r="D22" s="150" t="s">
        <v>175</v>
      </c>
      <c r="E22" s="150">
        <v>3830</v>
      </c>
      <c r="F22" s="150">
        <v>1</v>
      </c>
      <c r="G22" s="150">
        <v>187</v>
      </c>
      <c r="H22" s="150">
        <v>2</v>
      </c>
      <c r="I22" s="150">
        <v>145</v>
      </c>
      <c r="J22" s="145">
        <f>SUM(F22:I22)</f>
        <v>335</v>
      </c>
      <c r="K22" s="170">
        <v>3495</v>
      </c>
      <c r="L22" s="150">
        <v>4</v>
      </c>
      <c r="M22" s="150" t="s">
        <v>49</v>
      </c>
      <c r="N22" s="143">
        <f>IFERROR(K22/E22,"")</f>
        <v>0.91253263707571797</v>
      </c>
      <c r="O22" s="163">
        <f>J22+K22</f>
        <v>3830</v>
      </c>
      <c r="P22" s="150">
        <f>O22-E22</f>
        <v>0</v>
      </c>
    </row>
    <row r="23" spans="1:16" ht="13.9" customHeight="1">
      <c r="A23" s="206">
        <v>46280</v>
      </c>
      <c r="B23" s="150" t="s">
        <v>56</v>
      </c>
      <c r="C23" s="140" t="s">
        <v>155</v>
      </c>
      <c r="D23" s="150" t="s">
        <v>175</v>
      </c>
      <c r="E23" s="150">
        <v>1746</v>
      </c>
      <c r="F23" s="150">
        <v>1</v>
      </c>
      <c r="G23" s="150">
        <v>15</v>
      </c>
      <c r="H23" s="150">
        <v>1</v>
      </c>
      <c r="I23" s="150">
        <v>89</v>
      </c>
      <c r="J23" s="140">
        <f>SUM(F23:I23)</f>
        <v>106</v>
      </c>
      <c r="K23" s="170">
        <v>1640</v>
      </c>
      <c r="L23" s="150">
        <v>4</v>
      </c>
      <c r="M23" s="150" t="s">
        <v>49</v>
      </c>
      <c r="N23" s="143">
        <f>IFERROR(K23/E23,"")</f>
        <v>0.93928980526918671</v>
      </c>
      <c r="O23" s="163">
        <f>J23+K23</f>
        <v>1746</v>
      </c>
      <c r="P23" s="150">
        <f>O23-E23</f>
        <v>0</v>
      </c>
    </row>
    <row r="24" spans="1:16" ht="13.9" customHeight="1">
      <c r="A24" s="206">
        <v>46281</v>
      </c>
      <c r="B24" s="150" t="s">
        <v>56</v>
      </c>
      <c r="C24" s="140" t="s">
        <v>152</v>
      </c>
      <c r="D24" s="150" t="s">
        <v>175</v>
      </c>
      <c r="E24" s="150">
        <v>4023</v>
      </c>
      <c r="F24" s="150">
        <v>1</v>
      </c>
      <c r="G24" s="150">
        <v>210</v>
      </c>
      <c r="H24" s="150">
        <v>1</v>
      </c>
      <c r="I24" s="150">
        <v>76</v>
      </c>
      <c r="J24" s="145">
        <f>SUM(F24:I24)</f>
        <v>288</v>
      </c>
      <c r="K24" s="170">
        <v>3735</v>
      </c>
      <c r="L24" s="150">
        <v>4</v>
      </c>
      <c r="M24" s="150" t="s">
        <v>49</v>
      </c>
      <c r="N24" s="143">
        <f>IFERROR(K24/E24,"")</f>
        <v>0.92841163310961972</v>
      </c>
      <c r="O24" s="163">
        <f>J24+K24</f>
        <v>4023</v>
      </c>
      <c r="P24" s="150">
        <f>O24-E24</f>
        <v>0</v>
      </c>
    </row>
    <row r="25" spans="1:16" ht="13.9" customHeight="1">
      <c r="A25" s="206">
        <v>46281</v>
      </c>
      <c r="B25" s="150" t="s">
        <v>56</v>
      </c>
      <c r="C25" s="140" t="s">
        <v>155</v>
      </c>
      <c r="D25" s="150" t="s">
        <v>110</v>
      </c>
      <c r="E25" s="150">
        <v>1200</v>
      </c>
      <c r="F25" s="150">
        <v>0</v>
      </c>
      <c r="G25" s="150">
        <v>36</v>
      </c>
      <c r="H25" s="150">
        <v>1</v>
      </c>
      <c r="I25" s="150">
        <v>74.5</v>
      </c>
      <c r="J25" s="140">
        <f>SUM(F25:I25)</f>
        <v>111.5</v>
      </c>
      <c r="K25" s="170">
        <v>1088.5</v>
      </c>
      <c r="L25" s="150">
        <v>4</v>
      </c>
      <c r="M25" s="150" t="s">
        <v>49</v>
      </c>
      <c r="N25" s="143">
        <f>IFERROR(K25/E25,"")</f>
        <v>0.90708333333333335</v>
      </c>
      <c r="O25" s="163">
        <f>J25+K25</f>
        <v>1200</v>
      </c>
      <c r="P25" s="150">
        <f>O25-E25</f>
        <v>0</v>
      </c>
    </row>
    <row r="26" spans="1:16" ht="13.9" customHeight="1">
      <c r="A26" s="206">
        <v>46283</v>
      </c>
      <c r="B26" s="150" t="s">
        <v>56</v>
      </c>
      <c r="C26" s="140" t="s">
        <v>152</v>
      </c>
      <c r="D26" s="150" t="s">
        <v>175</v>
      </c>
      <c r="E26" s="150">
        <v>4510.5</v>
      </c>
      <c r="F26" s="150">
        <v>1</v>
      </c>
      <c r="G26" s="150">
        <v>103</v>
      </c>
      <c r="H26" s="150">
        <v>2</v>
      </c>
      <c r="I26" s="150">
        <v>203.5</v>
      </c>
      <c r="J26" s="145">
        <f>SUM(F26:I26)</f>
        <v>309.5</v>
      </c>
      <c r="K26" s="170">
        <v>4201</v>
      </c>
      <c r="L26" s="150">
        <v>4</v>
      </c>
      <c r="M26" s="150" t="s">
        <v>49</v>
      </c>
      <c r="N26" s="143">
        <f>IFERROR(K26/E26,"")</f>
        <v>0.93138233011861216</v>
      </c>
      <c r="O26" s="163">
        <f>J26+K26</f>
        <v>4510.5</v>
      </c>
      <c r="P26" s="150">
        <f>O26-E26</f>
        <v>0</v>
      </c>
    </row>
    <row r="27" spans="1:16" ht="13.9" customHeight="1">
      <c r="A27" s="206">
        <v>46283</v>
      </c>
      <c r="B27" s="150" t="s">
        <v>56</v>
      </c>
      <c r="C27" s="140" t="s">
        <v>155</v>
      </c>
      <c r="D27" s="150" t="s">
        <v>110</v>
      </c>
      <c r="E27" s="150">
        <v>215</v>
      </c>
      <c r="F27" s="150">
        <v>0</v>
      </c>
      <c r="G27" s="150">
        <v>3</v>
      </c>
      <c r="H27" s="150">
        <v>0</v>
      </c>
      <c r="I27" s="150">
        <v>12</v>
      </c>
      <c r="J27" s="140">
        <f>SUM(F27:I27)</f>
        <v>15</v>
      </c>
      <c r="K27" s="170">
        <v>200</v>
      </c>
      <c r="L27" s="150">
        <v>4</v>
      </c>
      <c r="M27" s="150" t="s">
        <v>49</v>
      </c>
      <c r="N27" s="143">
        <f>IFERROR(K27/E27,"")</f>
        <v>0.93023255813953487</v>
      </c>
      <c r="O27" s="163">
        <f>J27+K27</f>
        <v>215</v>
      </c>
      <c r="P27" s="150">
        <f>O27-E27</f>
        <v>0</v>
      </c>
    </row>
    <row r="28" spans="1:16" ht="13.9" customHeight="1">
      <c r="A28" s="206">
        <v>46284</v>
      </c>
      <c r="B28" s="150" t="s">
        <v>56</v>
      </c>
      <c r="C28" s="140" t="s">
        <v>152</v>
      </c>
      <c r="D28" s="150" t="s">
        <v>175</v>
      </c>
      <c r="E28" s="150">
        <v>4606</v>
      </c>
      <c r="F28" s="150">
        <v>1</v>
      </c>
      <c r="G28" s="150">
        <v>110</v>
      </c>
      <c r="H28" s="150">
        <v>2</v>
      </c>
      <c r="I28" s="150">
        <v>183</v>
      </c>
      <c r="J28" s="145">
        <f>SUM(F28:I28)</f>
        <v>296</v>
      </c>
      <c r="K28" s="170">
        <v>4310</v>
      </c>
      <c r="L28" s="150">
        <v>4</v>
      </c>
      <c r="M28" s="150" t="s">
        <v>49</v>
      </c>
      <c r="N28" s="143">
        <f>IFERROR(K28/E28,"")</f>
        <v>0.93573599652627004</v>
      </c>
      <c r="O28" s="163">
        <f>J28+K28</f>
        <v>4606</v>
      </c>
      <c r="P28" s="150">
        <f>O28-E28</f>
        <v>0</v>
      </c>
    </row>
    <row r="29" spans="1:16" ht="13.9" customHeight="1">
      <c r="A29" s="206">
        <v>46284</v>
      </c>
      <c r="B29" s="150" t="s">
        <v>56</v>
      </c>
      <c r="C29" s="140" t="s">
        <v>155</v>
      </c>
      <c r="D29" s="150" t="s">
        <v>175</v>
      </c>
      <c r="E29" s="150">
        <v>2037</v>
      </c>
      <c r="F29" s="150">
        <v>1</v>
      </c>
      <c r="G29" s="150">
        <v>35</v>
      </c>
      <c r="H29" s="150">
        <v>2</v>
      </c>
      <c r="I29" s="150">
        <v>89</v>
      </c>
      <c r="J29" s="140">
        <f>SUM(F29:I29)</f>
        <v>127</v>
      </c>
      <c r="K29" s="170">
        <v>1910</v>
      </c>
      <c r="L29" s="150">
        <v>4</v>
      </c>
      <c r="M29" s="150" t="s">
        <v>49</v>
      </c>
      <c r="N29" s="143">
        <f>IFERROR(K29/E29,"")</f>
        <v>0.937653411880216</v>
      </c>
      <c r="O29" s="163">
        <f>J29+K29</f>
        <v>2037</v>
      </c>
      <c r="P29" s="150">
        <f>O29-E29</f>
        <v>0</v>
      </c>
    </row>
    <row r="30" spans="1:16" ht="13.9" customHeight="1">
      <c r="A30" s="206">
        <v>46285</v>
      </c>
      <c r="B30" s="150" t="s">
        <v>56</v>
      </c>
      <c r="C30" s="140" t="s">
        <v>155</v>
      </c>
      <c r="D30" s="150" t="s">
        <v>110</v>
      </c>
      <c r="E30" s="150">
        <v>3250</v>
      </c>
      <c r="F30" s="150">
        <v>1</v>
      </c>
      <c r="G30" s="150">
        <v>44</v>
      </c>
      <c r="H30" s="150">
        <v>2</v>
      </c>
      <c r="I30" s="150">
        <v>147</v>
      </c>
      <c r="J30" s="145">
        <f>SUM(F30:I30)</f>
        <v>194</v>
      </c>
      <c r="K30" s="170">
        <v>3056</v>
      </c>
      <c r="L30" s="150">
        <v>4</v>
      </c>
      <c r="M30" s="150" t="s">
        <v>49</v>
      </c>
      <c r="N30" s="143">
        <f>IFERROR(K30/E30,"")</f>
        <v>0.94030769230769229</v>
      </c>
      <c r="O30" s="163">
        <f>J30+K30</f>
        <v>3250</v>
      </c>
      <c r="P30" s="150">
        <f>O30-E30</f>
        <v>0</v>
      </c>
    </row>
    <row r="31" spans="1:16" ht="13.9" customHeight="1">
      <c r="A31" s="206">
        <v>46286</v>
      </c>
      <c r="B31" s="150" t="s">
        <v>56</v>
      </c>
      <c r="C31" s="140" t="s">
        <v>152</v>
      </c>
      <c r="D31" s="150" t="s">
        <v>110</v>
      </c>
      <c r="E31" s="150">
        <v>3870</v>
      </c>
      <c r="F31" s="150">
        <v>1</v>
      </c>
      <c r="G31" s="150">
        <v>70</v>
      </c>
      <c r="H31" s="150">
        <v>2</v>
      </c>
      <c r="I31" s="150">
        <v>206</v>
      </c>
      <c r="J31" s="140">
        <f>SUM(F31:I31)</f>
        <v>279</v>
      </c>
      <c r="K31" s="170">
        <v>3591</v>
      </c>
      <c r="L31" s="150">
        <v>4</v>
      </c>
      <c r="M31" s="150" t="s">
        <v>49</v>
      </c>
      <c r="N31" s="143">
        <f>IFERROR(K31/E31,"")</f>
        <v>0.9279069767441861</v>
      </c>
      <c r="O31" s="163">
        <f>J31+K31</f>
        <v>3870</v>
      </c>
      <c r="P31" s="150">
        <f>O31-E31</f>
        <v>0</v>
      </c>
    </row>
    <row r="32" spans="1:16" ht="13.9" customHeight="1">
      <c r="A32" s="206">
        <v>46287</v>
      </c>
      <c r="B32" s="150" t="s">
        <v>56</v>
      </c>
      <c r="C32" s="140" t="s">
        <v>152</v>
      </c>
      <c r="D32" s="150" t="s">
        <v>110</v>
      </c>
      <c r="E32" s="150">
        <v>2900</v>
      </c>
      <c r="F32" s="150">
        <v>1</v>
      </c>
      <c r="G32" s="150">
        <v>109</v>
      </c>
      <c r="H32" s="150">
        <v>2</v>
      </c>
      <c r="I32" s="150">
        <v>68</v>
      </c>
      <c r="J32" s="145">
        <f>SUM(F32:I32)</f>
        <v>180</v>
      </c>
      <c r="K32" s="170">
        <v>2720</v>
      </c>
      <c r="L32" s="150">
        <v>4</v>
      </c>
      <c r="M32" s="150" t="s">
        <v>49</v>
      </c>
      <c r="N32" s="143">
        <f>IFERROR(K32/E32,"")</f>
        <v>0.93793103448275861</v>
      </c>
      <c r="O32" s="163">
        <f>J32+K32</f>
        <v>2900</v>
      </c>
      <c r="P32" s="150">
        <f>O32-E32</f>
        <v>0</v>
      </c>
    </row>
    <row r="33" spans="1:16" ht="13.9" customHeight="1">
      <c r="A33" s="206">
        <v>46288</v>
      </c>
      <c r="B33" s="150" t="s">
        <v>56</v>
      </c>
      <c r="C33" s="140" t="s">
        <v>152</v>
      </c>
      <c r="D33" s="150" t="s">
        <v>175</v>
      </c>
      <c r="E33" s="150">
        <v>3152.5</v>
      </c>
      <c r="F33" s="150">
        <v>1</v>
      </c>
      <c r="G33" s="150">
        <v>75</v>
      </c>
      <c r="H33" s="150">
        <v>2</v>
      </c>
      <c r="I33" s="150">
        <v>143.5</v>
      </c>
      <c r="J33" s="140">
        <f>SUM(F33:I33)</f>
        <v>221.5</v>
      </c>
      <c r="K33" s="170">
        <v>2931</v>
      </c>
      <c r="L33" s="150">
        <v>4</v>
      </c>
      <c r="M33" s="150" t="s">
        <v>49</v>
      </c>
      <c r="N33" s="143">
        <f>IFERROR(K33/E33,"")</f>
        <v>0.92973830293417925</v>
      </c>
      <c r="O33" s="163">
        <f>J33+K33</f>
        <v>3152.5</v>
      </c>
      <c r="P33" s="150">
        <f>O33-E33</f>
        <v>0</v>
      </c>
    </row>
    <row r="34" spans="1:16" ht="13.9" customHeight="1">
      <c r="A34" s="206">
        <v>46288</v>
      </c>
      <c r="B34" s="150" t="s">
        <v>56</v>
      </c>
      <c r="C34" s="140" t="s">
        <v>155</v>
      </c>
      <c r="D34" s="150" t="s">
        <v>175</v>
      </c>
      <c r="E34" s="150">
        <v>2182.5</v>
      </c>
      <c r="F34" s="150">
        <v>0</v>
      </c>
      <c r="G34" s="150">
        <v>35</v>
      </c>
      <c r="H34" s="150">
        <v>2</v>
      </c>
      <c r="I34" s="150">
        <v>95.5</v>
      </c>
      <c r="J34" s="145">
        <f>SUM(F34:I34)</f>
        <v>132.5</v>
      </c>
      <c r="K34" s="170">
        <v>2050</v>
      </c>
      <c r="L34" s="150">
        <v>4</v>
      </c>
      <c r="M34" s="150" t="s">
        <v>49</v>
      </c>
      <c r="N34" s="143">
        <f>IFERROR(K34/E34,"")</f>
        <v>0.93928980526918671</v>
      </c>
      <c r="O34" s="163">
        <f>J34+K34</f>
        <v>2182.5</v>
      </c>
      <c r="P34" s="150">
        <f>O34-E34</f>
        <v>0</v>
      </c>
    </row>
    <row r="35" spans="1:16" ht="13.9" customHeight="1">
      <c r="A35" s="206">
        <v>46290</v>
      </c>
      <c r="B35" s="150" t="s">
        <v>56</v>
      </c>
      <c r="C35" s="140" t="s">
        <v>152</v>
      </c>
      <c r="D35" s="150" t="s">
        <v>175</v>
      </c>
      <c r="E35" s="150">
        <v>4898.5</v>
      </c>
      <c r="F35" s="150">
        <v>1</v>
      </c>
      <c r="G35" s="150">
        <v>91</v>
      </c>
      <c r="H35" s="150">
        <v>3</v>
      </c>
      <c r="I35" s="150">
        <v>166.5</v>
      </c>
      <c r="J35" s="140">
        <f>SUM(F35:I35)</f>
        <v>261.5</v>
      </c>
      <c r="K35" s="170">
        <v>4637</v>
      </c>
      <c r="L35" s="150">
        <v>4</v>
      </c>
      <c r="M35" s="150" t="s">
        <v>49</v>
      </c>
      <c r="N35" s="143">
        <f>IFERROR(K35/E35,"")</f>
        <v>0.9466163111156477</v>
      </c>
      <c r="O35" s="163">
        <f>J35+K35</f>
        <v>4898.5</v>
      </c>
      <c r="P35" s="150">
        <f>O35-E35</f>
        <v>0</v>
      </c>
    </row>
    <row r="36" spans="1:16" ht="13.9" customHeight="1">
      <c r="A36" s="206">
        <v>46291</v>
      </c>
      <c r="B36" s="150" t="s">
        <v>56</v>
      </c>
      <c r="C36" s="140" t="s">
        <v>152</v>
      </c>
      <c r="D36" s="150" t="s">
        <v>136</v>
      </c>
      <c r="E36" s="150">
        <v>2150</v>
      </c>
      <c r="F36" s="150">
        <v>0</v>
      </c>
      <c r="G36" s="150">
        <v>31</v>
      </c>
      <c r="H36" s="150">
        <v>1</v>
      </c>
      <c r="I36" s="150">
        <v>110</v>
      </c>
      <c r="J36" s="145">
        <f>SUM(F36:I36)</f>
        <v>142</v>
      </c>
      <c r="K36" s="170">
        <v>2008</v>
      </c>
      <c r="L36" s="150">
        <v>4</v>
      </c>
      <c r="M36" s="150" t="s">
        <v>49</v>
      </c>
      <c r="N36" s="143">
        <f>IFERROR(K36/E36,"")</f>
        <v>0.93395348837209302</v>
      </c>
      <c r="O36" s="163">
        <f>J36+K36</f>
        <v>2150</v>
      </c>
      <c r="P36" s="150">
        <f>O36-E36</f>
        <v>0</v>
      </c>
    </row>
    <row r="37" spans="1:16" ht="13.9" customHeight="1">
      <c r="A37" s="206">
        <v>46291</v>
      </c>
      <c r="B37" s="150" t="s">
        <v>56</v>
      </c>
      <c r="C37" s="140" t="s">
        <v>155</v>
      </c>
      <c r="D37" s="150" t="s">
        <v>177</v>
      </c>
      <c r="E37" s="150">
        <v>100</v>
      </c>
      <c r="F37" s="150">
        <v>0</v>
      </c>
      <c r="G37" s="150">
        <v>0</v>
      </c>
      <c r="H37" s="150">
        <v>0</v>
      </c>
      <c r="I37" s="150">
        <v>8</v>
      </c>
      <c r="J37" s="140">
        <f>SUM(F37:I37)</f>
        <v>8</v>
      </c>
      <c r="K37" s="170">
        <v>92</v>
      </c>
      <c r="L37" s="150">
        <v>4</v>
      </c>
      <c r="M37" s="150" t="s">
        <v>49</v>
      </c>
      <c r="N37" s="143">
        <f>IFERROR(K37/E37,"")</f>
        <v>0.92</v>
      </c>
      <c r="O37" s="163">
        <f>J37+K37</f>
        <v>100</v>
      </c>
      <c r="P37" s="150">
        <f>O37-E37</f>
        <v>0</v>
      </c>
    </row>
    <row r="38" spans="1:16" ht="13.9" customHeight="1">
      <c r="A38" s="206">
        <v>46291</v>
      </c>
      <c r="B38" s="150" t="s">
        <v>56</v>
      </c>
      <c r="C38" s="140" t="s">
        <v>155</v>
      </c>
      <c r="D38" s="150" t="s">
        <v>164</v>
      </c>
      <c r="E38" s="150">
        <v>100</v>
      </c>
      <c r="F38" s="150">
        <v>0</v>
      </c>
      <c r="G38" s="150">
        <v>0</v>
      </c>
      <c r="H38" s="150">
        <v>0</v>
      </c>
      <c r="I38" s="150">
        <v>9</v>
      </c>
      <c r="J38" s="145">
        <f>SUM(F38:I38)</f>
        <v>9</v>
      </c>
      <c r="K38" s="170">
        <v>91</v>
      </c>
      <c r="L38" s="150">
        <v>4</v>
      </c>
      <c r="M38" s="150" t="s">
        <v>49</v>
      </c>
      <c r="N38" s="143">
        <f>IFERROR(K38/E38,"")</f>
        <v>0.91</v>
      </c>
      <c r="O38" s="163">
        <f>J38+K38</f>
        <v>100</v>
      </c>
      <c r="P38" s="150">
        <f>O38-E38</f>
        <v>0</v>
      </c>
    </row>
    <row r="39" spans="1:16" ht="13.9" customHeight="1">
      <c r="A39" s="206">
        <v>46292</v>
      </c>
      <c r="B39" s="150" t="s">
        <v>56</v>
      </c>
      <c r="C39" s="140" t="s">
        <v>152</v>
      </c>
      <c r="D39" s="150" t="s">
        <v>136</v>
      </c>
      <c r="E39" s="150">
        <v>2800</v>
      </c>
      <c r="F39" s="150">
        <v>1</v>
      </c>
      <c r="G39" s="150">
        <v>19</v>
      </c>
      <c r="H39" s="150">
        <v>2</v>
      </c>
      <c r="I39" s="150">
        <v>148</v>
      </c>
      <c r="J39" s="140">
        <f>SUM(F39:I39)</f>
        <v>170</v>
      </c>
      <c r="K39" s="170">
        <v>2630</v>
      </c>
      <c r="L39" s="150">
        <v>3</v>
      </c>
      <c r="M39" s="150" t="s">
        <v>49</v>
      </c>
      <c r="N39" s="143">
        <f>IFERROR(K39/E39,"")</f>
        <v>0.93928571428571428</v>
      </c>
      <c r="O39" s="163">
        <f>J39+K39</f>
        <v>2800</v>
      </c>
      <c r="P39" s="150">
        <f>O39-E39</f>
        <v>0</v>
      </c>
    </row>
    <row r="40" spans="1:16" ht="13.9" customHeight="1">
      <c r="A40" s="206">
        <v>46293</v>
      </c>
      <c r="B40" s="150" t="s">
        <v>56</v>
      </c>
      <c r="C40" s="140" t="s">
        <v>152</v>
      </c>
      <c r="D40" s="150" t="s">
        <v>136</v>
      </c>
      <c r="E40" s="150">
        <v>3500</v>
      </c>
      <c r="F40" s="150">
        <v>1</v>
      </c>
      <c r="G40" s="150">
        <v>33</v>
      </c>
      <c r="H40" s="150">
        <v>2</v>
      </c>
      <c r="I40" s="150">
        <v>224</v>
      </c>
      <c r="J40" s="145">
        <f>SUM(F40:I40)</f>
        <v>260</v>
      </c>
      <c r="K40" s="170">
        <v>3240</v>
      </c>
      <c r="L40" s="150">
        <v>3</v>
      </c>
      <c r="M40" s="150" t="s">
        <v>49</v>
      </c>
      <c r="N40" s="143">
        <f>IFERROR(K40/E40,"")</f>
        <v>0.92571428571428571</v>
      </c>
      <c r="O40" s="163">
        <f>J40+K40</f>
        <v>3500</v>
      </c>
      <c r="P40" s="150">
        <f>O40-E40</f>
        <v>0</v>
      </c>
    </row>
    <row r="41" spans="1:16" ht="13.9" customHeight="1">
      <c r="A41" s="206">
        <v>46294</v>
      </c>
      <c r="B41" s="150" t="s">
        <v>56</v>
      </c>
      <c r="C41" s="140" t="s">
        <v>152</v>
      </c>
      <c r="D41" s="150" t="s">
        <v>164</v>
      </c>
      <c r="E41" s="150">
        <v>2450</v>
      </c>
      <c r="F41" s="150">
        <v>1</v>
      </c>
      <c r="G41" s="150">
        <v>35</v>
      </c>
      <c r="H41" s="150">
        <v>2</v>
      </c>
      <c r="I41" s="150">
        <v>110</v>
      </c>
      <c r="J41" s="140">
        <f>SUM(F41:I41)</f>
        <v>148</v>
      </c>
      <c r="K41" s="170">
        <v>2302</v>
      </c>
      <c r="L41" s="150">
        <v>4</v>
      </c>
      <c r="M41" s="150" t="s">
        <v>49</v>
      </c>
      <c r="N41" s="143">
        <f>IFERROR(K41/E41,"")</f>
        <v>0.93959183673469393</v>
      </c>
      <c r="O41" s="163">
        <f>J41+K41</f>
        <v>2450</v>
      </c>
      <c r="P41" s="150">
        <f>O41-E41</f>
        <v>0</v>
      </c>
    </row>
    <row r="42" spans="1:16" ht="12.75">
      <c r="A42" s="206">
        <v>46294</v>
      </c>
      <c r="B42" s="150" t="s">
        <v>178</v>
      </c>
      <c r="C42" s="140" t="s">
        <v>155</v>
      </c>
      <c r="D42" s="150" t="s">
        <v>47</v>
      </c>
      <c r="E42" s="150">
        <v>30</v>
      </c>
      <c r="F42" s="150">
        <v>0</v>
      </c>
      <c r="G42" s="150">
        <v>0</v>
      </c>
      <c r="H42" s="150">
        <v>0</v>
      </c>
      <c r="I42" s="150">
        <v>1</v>
      </c>
      <c r="J42" s="140">
        <f>SUM(F42:I42)</f>
        <v>1</v>
      </c>
      <c r="K42" s="170">
        <v>29</v>
      </c>
      <c r="L42" s="150">
        <v>3</v>
      </c>
      <c r="M42" s="150" t="s">
        <v>49</v>
      </c>
      <c r="N42" s="143">
        <f>IFERROR(K42/E42,"")</f>
        <v>0.96666666666666667</v>
      </c>
      <c r="O42" s="163">
        <f>J42+K42</f>
        <v>30</v>
      </c>
      <c r="P42" s="150">
        <f>O42-E42</f>
        <v>0</v>
      </c>
    </row>
    <row r="43" spans="1:16" ht="12.75">
      <c r="A43" s="206">
        <v>46295</v>
      </c>
      <c r="B43" s="150" t="s">
        <v>56</v>
      </c>
      <c r="C43" s="140" t="s">
        <v>152</v>
      </c>
      <c r="D43" s="150" t="s">
        <v>177</v>
      </c>
      <c r="E43" s="150">
        <v>3135</v>
      </c>
      <c r="F43" s="150">
        <v>1</v>
      </c>
      <c r="G43" s="150">
        <v>67</v>
      </c>
      <c r="H43" s="150">
        <v>2</v>
      </c>
      <c r="I43" s="150">
        <v>159</v>
      </c>
      <c r="J43" s="140">
        <f>SUM(F43:I43)</f>
        <v>229</v>
      </c>
      <c r="K43" s="170">
        <v>2906</v>
      </c>
      <c r="L43" s="150">
        <v>4</v>
      </c>
      <c r="M43" s="150" t="s">
        <v>49</v>
      </c>
      <c r="N43" s="143">
        <f>IFERROR(K43/E43,"")</f>
        <v>0.92695374800637964</v>
      </c>
      <c r="O43" s="163">
        <f>J43+K43</f>
        <v>3135</v>
      </c>
      <c r="P43" s="150">
        <f>O43-E43</f>
        <v>0</v>
      </c>
    </row>
    <row r="44" spans="1:16" ht="12.75">
      <c r="A44" s="206">
        <v>46295</v>
      </c>
      <c r="B44" s="150" t="s">
        <v>56</v>
      </c>
      <c r="C44" s="140" t="s">
        <v>152</v>
      </c>
      <c r="D44" s="150" t="s">
        <v>179</v>
      </c>
      <c r="E44" s="150">
        <v>450</v>
      </c>
      <c r="F44" s="150">
        <v>0</v>
      </c>
      <c r="G44" s="150">
        <v>11</v>
      </c>
      <c r="H44" s="150">
        <v>0.5</v>
      </c>
      <c r="I44" s="150">
        <v>23.5</v>
      </c>
      <c r="J44" s="140">
        <f>SUM(F44:I44)</f>
        <v>35</v>
      </c>
      <c r="K44" s="170">
        <v>415</v>
      </c>
      <c r="L44" s="150">
        <v>4</v>
      </c>
      <c r="M44" s="150"/>
      <c r="N44" s="143">
        <f>IFERROR(K44/E44,"")</f>
        <v>0.92222222222222228</v>
      </c>
      <c r="O44" s="163">
        <f>J44+K44</f>
        <v>450</v>
      </c>
      <c r="P44" s="150">
        <f>O44-E44</f>
        <v>0</v>
      </c>
    </row>
    <row r="45" spans="1:16" ht="12.75">
      <c r="A45" s="150"/>
      <c r="B45" s="150"/>
      <c r="C45" s="140"/>
      <c r="D45" s="150"/>
      <c r="E45" s="150"/>
      <c r="F45" s="150"/>
      <c r="G45" s="150"/>
      <c r="H45" s="150"/>
      <c r="I45" s="150"/>
      <c r="J45" s="140">
        <f>SUM(F45:I45)</f>
        <v>0</v>
      </c>
      <c r="K45" s="150"/>
      <c r="L45" s="150"/>
      <c r="M45" s="150"/>
      <c r="N45" s="143" t="str">
        <f t="shared" ref="N38:N60" si="1">IFERROR(K45/E45,"")</f>
        <v/>
      </c>
      <c r="O45" s="163">
        <f t="shared" ref="O42:O52" si="2">J45+K45</f>
        <v>0</v>
      </c>
      <c r="P45" s="150">
        <f t="shared" ref="P42:P52" si="3">O45-E45</f>
        <v>0</v>
      </c>
    </row>
    <row r="46" spans="1:16" ht="12.75">
      <c r="A46" s="150"/>
      <c r="B46" s="150"/>
      <c r="C46" s="14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43" t="str">
        <f t="shared" si="1"/>
        <v/>
      </c>
      <c r="O46" s="163">
        <f t="shared" si="2"/>
        <v>0</v>
      </c>
      <c r="P46" s="150">
        <f t="shared" si="3"/>
        <v>0</v>
      </c>
    </row>
    <row r="47" spans="1:16" ht="12.75">
      <c r="A47" s="150"/>
      <c r="B47" s="150"/>
      <c r="C47" s="14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43" t="str">
        <f t="shared" si="1"/>
        <v/>
      </c>
      <c r="O47" s="163">
        <f t="shared" si="2"/>
        <v>0</v>
      </c>
      <c r="P47" s="150">
        <f t="shared" si="3"/>
        <v>0</v>
      </c>
    </row>
    <row r="48" spans="1:16" ht="12.75">
      <c r="A48" s="150"/>
      <c r="B48" s="150"/>
      <c r="C48" s="14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43" t="str">
        <f t="shared" si="1"/>
        <v/>
      </c>
      <c r="O48" s="163">
        <f t="shared" si="2"/>
        <v>0</v>
      </c>
      <c r="P48" s="150">
        <f t="shared" si="3"/>
        <v>0</v>
      </c>
    </row>
    <row r="49" spans="1:16" ht="12.75">
      <c r="A49" s="150"/>
      <c r="B49" s="150"/>
      <c r="C49" s="14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43" t="str">
        <f t="shared" si="1"/>
        <v/>
      </c>
      <c r="O49" s="163">
        <f t="shared" si="2"/>
        <v>0</v>
      </c>
      <c r="P49" s="150">
        <f t="shared" si="3"/>
        <v>0</v>
      </c>
    </row>
    <row r="50" spans="1:16" ht="12.75">
      <c r="A50" s="150"/>
      <c r="B50" s="150"/>
      <c r="C50" s="14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43" t="str">
        <f t="shared" si="1"/>
        <v/>
      </c>
      <c r="O50" s="163">
        <f t="shared" si="2"/>
        <v>0</v>
      </c>
      <c r="P50" s="150">
        <f t="shared" si="3"/>
        <v>0</v>
      </c>
    </row>
    <row r="51" spans="1:16" ht="12.75">
      <c r="A51" s="150"/>
      <c r="B51" s="150"/>
      <c r="C51" s="14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43" t="str">
        <f t="shared" si="1"/>
        <v/>
      </c>
      <c r="O51" s="163">
        <f t="shared" si="2"/>
        <v>0</v>
      </c>
      <c r="P51" s="150">
        <f t="shared" si="3"/>
        <v>0</v>
      </c>
    </row>
    <row r="52" spans="1:16" ht="12.75">
      <c r="A52" s="150"/>
      <c r="B52" s="150"/>
      <c r="C52" s="14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43" t="str">
        <f t="shared" si="1"/>
        <v/>
      </c>
      <c r="O52" s="163">
        <f t="shared" si="2"/>
        <v>0</v>
      </c>
      <c r="P52" s="150">
        <f t="shared" si="3"/>
        <v>0</v>
      </c>
    </row>
    <row r="53" spans="1:16">
      <c r="A53" s="150"/>
      <c r="B53" s="150"/>
      <c r="C53" s="14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43" t="str">
        <f t="shared" si="1"/>
        <v/>
      </c>
      <c r="O53" s="150"/>
      <c r="P53" s="150"/>
    </row>
    <row r="54" spans="1:16">
      <c r="A54" s="150"/>
      <c r="B54" s="150"/>
      <c r="C54" s="14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43" t="str">
        <f t="shared" si="1"/>
        <v/>
      </c>
      <c r="O54" s="150"/>
      <c r="P54" s="150"/>
    </row>
    <row r="55" spans="1:16">
      <c r="A55" s="150"/>
      <c r="B55" s="150"/>
      <c r="C55" s="14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43" t="str">
        <f t="shared" si="1"/>
        <v/>
      </c>
      <c r="O55" s="150"/>
      <c r="P55" s="150"/>
    </row>
    <row r="56" spans="1:16">
      <c r="A56" s="150"/>
      <c r="B56" s="150"/>
      <c r="C56" s="14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43" t="str">
        <f t="shared" si="1"/>
        <v/>
      </c>
      <c r="O56" s="150"/>
      <c r="P56" s="150"/>
    </row>
    <row r="57" spans="1:16">
      <c r="A57" s="150"/>
      <c r="B57" s="150"/>
      <c r="C57" s="14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43" t="str">
        <f t="shared" si="1"/>
        <v/>
      </c>
      <c r="O57" s="150"/>
      <c r="P57" s="150"/>
    </row>
    <row r="58" spans="1:16">
      <c r="A58" s="150"/>
      <c r="B58" s="150"/>
      <c r="C58" s="14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43" t="str">
        <f t="shared" si="1"/>
        <v/>
      </c>
      <c r="O58" s="150"/>
      <c r="P58" s="150"/>
    </row>
    <row r="59" spans="1:16">
      <c r="A59" s="150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43" t="str">
        <f t="shared" si="1"/>
        <v/>
      </c>
      <c r="O59" s="150"/>
      <c r="P59" s="150"/>
    </row>
    <row r="60" spans="1:16">
      <c r="A60" s="150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43" t="str">
        <f t="shared" si="1"/>
        <v/>
      </c>
      <c r="O60" s="150"/>
      <c r="P60" s="150"/>
    </row>
  </sheetData>
  <mergeCells count="15">
    <mergeCell ref="A2:N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dataValidations count="2">
    <dataValidation type="list" allowBlank="1" showInputMessage="1" showErrorMessage="1" sqref="M6:M21" xr:uid="{17F0CFBB-D8B2-4E67-AD42-D96FD7545AE2}">
      <formula1>"Day,Night"</formula1>
    </dataValidation>
    <dataValidation type="list" allowBlank="1" showInputMessage="1" showErrorMessage="1" sqref="C6:C58" xr:uid="{89415FC9-EC6A-4B06-BC61-760114DDF4A4}">
      <formula1>"C6 New Plant,C6 Old Plant"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A4BC-FE5F-4D77-8034-4AF40C1C0F68}">
  <dimension ref="A2:P43"/>
  <sheetViews>
    <sheetView zoomScaleNormal="60" zoomScaleSheetLayoutView="100" workbookViewId="0">
      <pane ySplit="5" topLeftCell="D6" activePane="bottomLeft" state="frozen"/>
      <selection pane="bottomLeft" activeCell="I37" sqref="I37"/>
    </sheetView>
  </sheetViews>
  <sheetFormatPr defaultColWidth="8.85546875" defaultRowHeight="13.9"/>
  <cols>
    <col min="1" max="1" width="13.42578125" style="148" customWidth="1"/>
    <col min="2" max="2" width="14.140625" style="148" customWidth="1"/>
    <col min="3" max="3" width="10" style="148" customWidth="1"/>
    <col min="4" max="4" width="13.7109375" style="148" customWidth="1"/>
    <col min="5" max="5" width="13.140625" style="148" customWidth="1"/>
    <col min="6" max="6" width="13.7109375" style="148" customWidth="1"/>
    <col min="7" max="7" width="12.140625" style="148" customWidth="1"/>
    <col min="8" max="9" width="10.28515625" style="148" customWidth="1"/>
    <col min="10" max="10" width="12.140625" style="148" customWidth="1"/>
    <col min="11" max="16" width="10.28515625" style="148" customWidth="1"/>
    <col min="17" max="16384" width="8.85546875" style="148"/>
  </cols>
  <sheetData>
    <row r="2" spans="1:16" ht="30" customHeight="1" thickBot="1">
      <c r="A2" s="293" t="s">
        <v>40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5"/>
      <c r="O2" s="138"/>
      <c r="P2" s="138"/>
    </row>
    <row r="3" spans="1:16" ht="30" customHeight="1">
      <c r="A3" s="177"/>
      <c r="B3" s="179"/>
      <c r="C3" s="179"/>
      <c r="D3" s="179"/>
      <c r="E3" s="178">
        <f>SUBTOTAL(9,E6:E43)</f>
        <v>228520</v>
      </c>
      <c r="F3" s="178">
        <f t="shared" ref="F3:K3" si="0">SUBTOTAL(9,F6:F43)</f>
        <v>907</v>
      </c>
      <c r="G3" s="178">
        <f t="shared" si="0"/>
        <v>4609.2000000000007</v>
      </c>
      <c r="H3" s="178">
        <f t="shared" si="0"/>
        <v>626.20000000000005</v>
      </c>
      <c r="I3" s="178">
        <f t="shared" si="0"/>
        <v>8702.6</v>
      </c>
      <c r="J3" s="178">
        <f t="shared" si="0"/>
        <v>14866</v>
      </c>
      <c r="K3" s="178">
        <f t="shared" si="0"/>
        <v>213524</v>
      </c>
      <c r="L3" s="178"/>
      <c r="M3" s="178"/>
      <c r="N3" s="178">
        <f>K3/E3*100</f>
        <v>93.437773499037277</v>
      </c>
      <c r="O3" s="138"/>
      <c r="P3" s="138"/>
    </row>
    <row r="4" spans="1:16" ht="28.15" customHeight="1">
      <c r="A4" s="296" t="s">
        <v>25</v>
      </c>
      <c r="B4" s="298" t="s">
        <v>26</v>
      </c>
      <c r="C4" s="300" t="s">
        <v>27</v>
      </c>
      <c r="D4" s="300" t="s">
        <v>22</v>
      </c>
      <c r="E4" s="302" t="s">
        <v>168</v>
      </c>
      <c r="F4" s="302" t="s">
        <v>169</v>
      </c>
      <c r="G4" s="302" t="s">
        <v>170</v>
      </c>
      <c r="H4" s="302" t="s">
        <v>171</v>
      </c>
      <c r="I4" s="302" t="s">
        <v>172</v>
      </c>
      <c r="J4" s="300" t="s">
        <v>173</v>
      </c>
      <c r="K4" s="300" t="s">
        <v>174</v>
      </c>
      <c r="L4" s="300" t="s">
        <v>35</v>
      </c>
      <c r="M4" s="300" t="s">
        <v>36</v>
      </c>
      <c r="N4" s="303" t="s">
        <v>37</v>
      </c>
      <c r="O4" s="300" t="s">
        <v>38</v>
      </c>
      <c r="P4" s="304" t="s">
        <v>39</v>
      </c>
    </row>
    <row r="5" spans="1:16" ht="22.15" customHeight="1">
      <c r="A5" s="297"/>
      <c r="B5" s="299"/>
      <c r="C5" s="301"/>
      <c r="D5" s="301"/>
      <c r="E5" s="301"/>
      <c r="F5" s="302"/>
      <c r="G5" s="302"/>
      <c r="H5" s="302"/>
      <c r="I5" s="302"/>
      <c r="J5" s="301"/>
      <c r="K5" s="301"/>
      <c r="L5" s="301"/>
      <c r="M5" s="301"/>
      <c r="N5" s="301"/>
      <c r="O5" s="300"/>
      <c r="P5" s="304"/>
    </row>
    <row r="6" spans="1:16" ht="13.9" customHeight="1">
      <c r="A6" s="206">
        <v>46266</v>
      </c>
      <c r="B6" s="149" t="s">
        <v>127</v>
      </c>
      <c r="C6" s="150" t="s">
        <v>20</v>
      </c>
      <c r="D6" s="150" t="s">
        <v>51</v>
      </c>
      <c r="E6" s="150">
        <v>14620</v>
      </c>
      <c r="F6" s="150">
        <v>48</v>
      </c>
      <c r="G6" s="150">
        <v>30</v>
      </c>
      <c r="H6" s="150">
        <v>30.7</v>
      </c>
      <c r="I6" s="150">
        <v>921.3</v>
      </c>
      <c r="J6" s="150">
        <f>IFERROR(F6+G6+H6+I6,"")</f>
        <v>1030</v>
      </c>
      <c r="K6" s="170">
        <v>13590</v>
      </c>
      <c r="L6" s="150">
        <v>7</v>
      </c>
      <c r="M6" s="150" t="s">
        <v>49</v>
      </c>
      <c r="N6" s="176">
        <f>IFERROR(K6/E6,"")</f>
        <v>0.92954856361149107</v>
      </c>
      <c r="O6" s="150">
        <f>J6+K6</f>
        <v>14620</v>
      </c>
      <c r="P6" s="150">
        <f>O6-E6</f>
        <v>0</v>
      </c>
    </row>
    <row r="7" spans="1:16" ht="13.9" customHeight="1">
      <c r="A7" s="206">
        <v>46267</v>
      </c>
      <c r="B7" s="149" t="s">
        <v>127</v>
      </c>
      <c r="C7" s="150" t="s">
        <v>20</v>
      </c>
      <c r="D7" s="150" t="s">
        <v>51</v>
      </c>
      <c r="E7" s="150">
        <v>8300</v>
      </c>
      <c r="F7" s="150">
        <v>56</v>
      </c>
      <c r="G7" s="150">
        <v>135</v>
      </c>
      <c r="H7" s="150">
        <v>25</v>
      </c>
      <c r="I7" s="150">
        <v>484</v>
      </c>
      <c r="J7" s="150">
        <f>IFERROR(F7+G7+H7+I7,"")</f>
        <v>700</v>
      </c>
      <c r="K7" s="170">
        <v>7600</v>
      </c>
      <c r="L7" s="150">
        <v>7</v>
      </c>
      <c r="M7" s="150" t="s">
        <v>49</v>
      </c>
      <c r="N7" s="176">
        <f>IFERROR(K7/E7,"")</f>
        <v>0.91566265060240959</v>
      </c>
      <c r="O7" s="150">
        <f>J7+K7</f>
        <v>8300</v>
      </c>
      <c r="P7" s="150">
        <f>O7-E7</f>
        <v>0</v>
      </c>
    </row>
    <row r="8" spans="1:16" ht="13.9" customHeight="1">
      <c r="A8" s="206">
        <v>46268</v>
      </c>
      <c r="B8" s="149" t="s">
        <v>127</v>
      </c>
      <c r="C8" s="150" t="s">
        <v>20</v>
      </c>
      <c r="D8" s="150" t="s">
        <v>51</v>
      </c>
      <c r="E8" s="150">
        <v>6550</v>
      </c>
      <c r="F8" s="150">
        <v>32</v>
      </c>
      <c r="G8" s="150">
        <v>38</v>
      </c>
      <c r="H8" s="150">
        <v>19</v>
      </c>
      <c r="I8" s="150">
        <v>261</v>
      </c>
      <c r="J8" s="150">
        <f>IFERROR(F8+G8+H8+I8,"")</f>
        <v>350</v>
      </c>
      <c r="K8" s="170">
        <v>6200</v>
      </c>
      <c r="L8" s="150">
        <v>7</v>
      </c>
      <c r="M8" s="150" t="s">
        <v>49</v>
      </c>
      <c r="N8" s="176">
        <f>IFERROR(K8/E8,"")</f>
        <v>0.94656488549618323</v>
      </c>
      <c r="O8" s="150">
        <f>J8+K8</f>
        <v>6550</v>
      </c>
      <c r="P8" s="150">
        <f>O8-E8</f>
        <v>0</v>
      </c>
    </row>
    <row r="9" spans="1:16" ht="13.9" customHeight="1">
      <c r="A9" s="206">
        <v>46268</v>
      </c>
      <c r="B9" s="149" t="s">
        <v>147</v>
      </c>
      <c r="C9" s="150" t="s">
        <v>20</v>
      </c>
      <c r="D9" s="150" t="s">
        <v>65</v>
      </c>
      <c r="E9" s="150">
        <v>620</v>
      </c>
      <c r="F9" s="150">
        <v>0</v>
      </c>
      <c r="G9" s="150">
        <v>0</v>
      </c>
      <c r="H9" s="150">
        <v>5</v>
      </c>
      <c r="I9" s="150">
        <v>10</v>
      </c>
      <c r="J9" s="150">
        <v>30</v>
      </c>
      <c r="K9" s="170">
        <v>590</v>
      </c>
      <c r="L9" s="150">
        <v>1</v>
      </c>
      <c r="M9" s="150" t="s">
        <v>49</v>
      </c>
      <c r="N9" s="176">
        <f>IFERROR(K9/E9,"")</f>
        <v>0.95161290322580649</v>
      </c>
      <c r="O9" s="150">
        <f>J9+K9</f>
        <v>620</v>
      </c>
      <c r="P9" s="150">
        <f>O9-E9</f>
        <v>0</v>
      </c>
    </row>
    <row r="10" spans="1:16" ht="13.9" customHeight="1">
      <c r="A10" s="206">
        <v>46269</v>
      </c>
      <c r="B10" s="149" t="s">
        <v>127</v>
      </c>
      <c r="C10" s="150" t="s">
        <v>20</v>
      </c>
      <c r="D10" s="150" t="s">
        <v>51</v>
      </c>
      <c r="E10" s="150">
        <v>6800</v>
      </c>
      <c r="F10" s="150">
        <v>38</v>
      </c>
      <c r="G10" s="150">
        <v>32</v>
      </c>
      <c r="H10" s="150">
        <v>16</v>
      </c>
      <c r="I10" s="150">
        <v>356</v>
      </c>
      <c r="J10" s="150">
        <f>IFERROR(F10+G10+H10+I10,"")</f>
        <v>442</v>
      </c>
      <c r="K10" s="170">
        <v>6358</v>
      </c>
      <c r="L10" s="150">
        <v>7</v>
      </c>
      <c r="M10" s="150" t="s">
        <v>49</v>
      </c>
      <c r="N10" s="176">
        <f>IFERROR(K10/E10,"")</f>
        <v>0.93500000000000005</v>
      </c>
      <c r="O10" s="150">
        <f>J10+K10</f>
        <v>6800</v>
      </c>
      <c r="P10" s="150">
        <f>O10-E10</f>
        <v>0</v>
      </c>
    </row>
    <row r="11" spans="1:16" ht="13.9" customHeight="1">
      <c r="A11" s="206">
        <v>46269</v>
      </c>
      <c r="B11" s="149" t="s">
        <v>147</v>
      </c>
      <c r="C11" s="150" t="s">
        <v>20</v>
      </c>
      <c r="D11" s="150" t="s">
        <v>65</v>
      </c>
      <c r="E11" s="150">
        <v>290</v>
      </c>
      <c r="F11" s="150">
        <v>0</v>
      </c>
      <c r="G11" s="150">
        <v>0</v>
      </c>
      <c r="H11" s="150">
        <v>8</v>
      </c>
      <c r="I11" s="150">
        <v>12</v>
      </c>
      <c r="J11" s="150">
        <f>IFERROR(F11+G11+H11+I11,"")</f>
        <v>20</v>
      </c>
      <c r="K11" s="170">
        <v>270</v>
      </c>
      <c r="L11" s="150">
        <v>1</v>
      </c>
      <c r="M11" s="150" t="s">
        <v>49</v>
      </c>
      <c r="N11" s="176">
        <f>IFERROR(K11/E11,"")</f>
        <v>0.93103448275862066</v>
      </c>
      <c r="O11" s="150">
        <f>J11+K11</f>
        <v>290</v>
      </c>
      <c r="P11" s="150">
        <f>O11-E11</f>
        <v>0</v>
      </c>
    </row>
    <row r="12" spans="1:16" ht="13.9" customHeight="1">
      <c r="A12" s="206">
        <v>46270</v>
      </c>
      <c r="B12" s="149" t="s">
        <v>127</v>
      </c>
      <c r="C12" s="150" t="s">
        <v>20</v>
      </c>
      <c r="D12" s="150" t="s">
        <v>51</v>
      </c>
      <c r="E12" s="150">
        <v>8900</v>
      </c>
      <c r="F12" s="150">
        <v>28</v>
      </c>
      <c r="G12" s="150">
        <v>41</v>
      </c>
      <c r="H12" s="150">
        <v>26</v>
      </c>
      <c r="I12" s="150">
        <v>405</v>
      </c>
      <c r="J12" s="150">
        <f>IFERROR(F12+G12+H12+I12,"")</f>
        <v>500</v>
      </c>
      <c r="K12" s="170">
        <v>8400</v>
      </c>
      <c r="L12" s="150">
        <v>7</v>
      </c>
      <c r="M12" s="150" t="s">
        <v>49</v>
      </c>
      <c r="N12" s="176">
        <f>IFERROR(K12/E12,"")</f>
        <v>0.9438202247191011</v>
      </c>
      <c r="O12" s="150">
        <f>J12+K12</f>
        <v>8900</v>
      </c>
      <c r="P12" s="150">
        <f>O12-E12</f>
        <v>0</v>
      </c>
    </row>
    <row r="13" spans="1:16" ht="13.9" customHeight="1">
      <c r="A13" s="206">
        <v>46270</v>
      </c>
      <c r="B13" s="149" t="s">
        <v>147</v>
      </c>
      <c r="C13" s="150" t="s">
        <v>20</v>
      </c>
      <c r="D13" s="150" t="s">
        <v>65</v>
      </c>
      <c r="E13" s="150">
        <v>1050</v>
      </c>
      <c r="F13" s="150">
        <v>0</v>
      </c>
      <c r="G13" s="150">
        <v>5</v>
      </c>
      <c r="H13" s="150">
        <v>10</v>
      </c>
      <c r="I13" s="150">
        <v>5</v>
      </c>
      <c r="J13" s="150">
        <f>IFERROR(F13+G13+H13+I13,"")</f>
        <v>20</v>
      </c>
      <c r="K13" s="170">
        <v>1030</v>
      </c>
      <c r="L13" s="150">
        <v>1</v>
      </c>
      <c r="M13" s="150" t="s">
        <v>49</v>
      </c>
      <c r="N13" s="176">
        <f>IFERROR(K13/E13,"")</f>
        <v>0.98095238095238091</v>
      </c>
      <c r="O13" s="150">
        <f>J13+K13</f>
        <v>1050</v>
      </c>
      <c r="P13" s="150">
        <f>O13-E13</f>
        <v>0</v>
      </c>
    </row>
    <row r="14" spans="1:16" ht="13.9" customHeight="1">
      <c r="A14" s="206">
        <v>46271</v>
      </c>
      <c r="B14" s="149" t="s">
        <v>147</v>
      </c>
      <c r="C14" s="150" t="s">
        <v>20</v>
      </c>
      <c r="D14" s="150" t="s">
        <v>65</v>
      </c>
      <c r="E14" s="150">
        <v>480</v>
      </c>
      <c r="F14" s="150">
        <v>0</v>
      </c>
      <c r="G14" s="150">
        <v>8</v>
      </c>
      <c r="H14" s="150">
        <v>10</v>
      </c>
      <c r="I14" s="150">
        <v>12</v>
      </c>
      <c r="J14" s="150">
        <f>IFERROR(F14+G14+H14+I14,"")</f>
        <v>30</v>
      </c>
      <c r="K14" s="150">
        <v>450</v>
      </c>
      <c r="L14" s="150">
        <v>1</v>
      </c>
      <c r="M14" s="150" t="s">
        <v>49</v>
      </c>
      <c r="N14" s="176">
        <f>IFERROR(K14/E14,"")</f>
        <v>0.9375</v>
      </c>
      <c r="O14" s="150">
        <f>J14+K14</f>
        <v>480</v>
      </c>
      <c r="P14" s="150">
        <f>O14-E14</f>
        <v>0</v>
      </c>
    </row>
    <row r="15" spans="1:16" ht="13.9" customHeight="1">
      <c r="A15" s="206">
        <v>46272</v>
      </c>
      <c r="B15" s="149" t="s">
        <v>127</v>
      </c>
      <c r="C15" s="150" t="s">
        <v>20</v>
      </c>
      <c r="D15" s="150" t="s">
        <v>51</v>
      </c>
      <c r="E15" s="150">
        <v>9000</v>
      </c>
      <c r="F15" s="150">
        <v>55</v>
      </c>
      <c r="G15" s="150">
        <v>25</v>
      </c>
      <c r="H15" s="150">
        <v>28</v>
      </c>
      <c r="I15" s="150">
        <v>442</v>
      </c>
      <c r="J15" s="150">
        <f>IFERROR(F15+G15+H15+I15,"")</f>
        <v>550</v>
      </c>
      <c r="K15" s="170">
        <v>8450</v>
      </c>
      <c r="L15" s="150">
        <v>7</v>
      </c>
      <c r="M15" s="150" t="s">
        <v>49</v>
      </c>
      <c r="N15" s="176">
        <f>IFERROR(K15/E15,"")</f>
        <v>0.93888888888888888</v>
      </c>
      <c r="O15" s="150">
        <f>J15+K15</f>
        <v>9000</v>
      </c>
      <c r="P15" s="150">
        <f>O15-E15</f>
        <v>0</v>
      </c>
    </row>
    <row r="16" spans="1:16" ht="13.9" customHeight="1">
      <c r="A16" s="206">
        <v>46273</v>
      </c>
      <c r="B16" s="149" t="s">
        <v>127</v>
      </c>
      <c r="C16" s="150" t="s">
        <v>20</v>
      </c>
      <c r="D16" s="150" t="s">
        <v>51</v>
      </c>
      <c r="E16" s="150">
        <v>7600</v>
      </c>
      <c r="F16" s="150">
        <v>48</v>
      </c>
      <c r="G16" s="150">
        <v>22</v>
      </c>
      <c r="H16" s="150">
        <v>31</v>
      </c>
      <c r="I16" s="150">
        <v>390</v>
      </c>
      <c r="J16" s="150">
        <f>IFERROR(F16+G16+H16+I16,"")</f>
        <v>491</v>
      </c>
      <c r="K16" s="170">
        <v>7109</v>
      </c>
      <c r="L16" s="150">
        <v>7</v>
      </c>
      <c r="M16" s="150" t="s">
        <v>49</v>
      </c>
      <c r="N16" s="176">
        <f>IFERROR(K16/E16,"")</f>
        <v>0.93539473684210528</v>
      </c>
      <c r="O16" s="150">
        <f>J16+K16</f>
        <v>7600</v>
      </c>
      <c r="P16" s="150">
        <f>O16-E16</f>
        <v>0</v>
      </c>
    </row>
    <row r="17" spans="1:16" ht="13.9" customHeight="1">
      <c r="A17" s="206">
        <v>46274</v>
      </c>
      <c r="B17" s="149" t="s">
        <v>127</v>
      </c>
      <c r="C17" s="150" t="s">
        <v>20</v>
      </c>
      <c r="D17" s="150" t="s">
        <v>51</v>
      </c>
      <c r="E17" s="150">
        <v>8600</v>
      </c>
      <c r="F17" s="150">
        <v>54</v>
      </c>
      <c r="G17" s="150">
        <v>36</v>
      </c>
      <c r="H17" s="150">
        <v>22</v>
      </c>
      <c r="I17" s="150">
        <v>338</v>
      </c>
      <c r="J17" s="150">
        <f>IFERROR(F17+G17+H17+I17,"")</f>
        <v>450</v>
      </c>
      <c r="K17" s="170">
        <v>8150</v>
      </c>
      <c r="L17" s="150">
        <v>7</v>
      </c>
      <c r="M17" s="150" t="s">
        <v>49</v>
      </c>
      <c r="N17" s="176">
        <f>IFERROR(K17/E17,"")</f>
        <v>0.94767441860465118</v>
      </c>
      <c r="O17" s="150">
        <f>J17+K17</f>
        <v>8600</v>
      </c>
      <c r="P17" s="150">
        <f>O17-E17</f>
        <v>0</v>
      </c>
    </row>
    <row r="18" spans="1:16" ht="13.9" customHeight="1">
      <c r="A18" s="206">
        <v>46275</v>
      </c>
      <c r="B18" s="149" t="s">
        <v>127</v>
      </c>
      <c r="C18" s="150" t="s">
        <v>20</v>
      </c>
      <c r="D18" s="150" t="s">
        <v>48</v>
      </c>
      <c r="E18" s="150">
        <v>3500</v>
      </c>
      <c r="F18" s="150">
        <v>15</v>
      </c>
      <c r="G18" s="150">
        <v>6.3</v>
      </c>
      <c r="H18" s="150">
        <v>12</v>
      </c>
      <c r="I18" s="150">
        <v>186.7</v>
      </c>
      <c r="J18" s="150">
        <f>IFERROR(F18+G18+H18+I18,"")</f>
        <v>220</v>
      </c>
      <c r="K18" s="170">
        <v>3280</v>
      </c>
      <c r="L18" s="150">
        <v>7</v>
      </c>
      <c r="M18" s="150" t="s">
        <v>49</v>
      </c>
      <c r="N18" s="176">
        <f>IFERROR(K18/E18,"")</f>
        <v>0.93714285714285717</v>
      </c>
      <c r="O18" s="150">
        <f>J18+K18</f>
        <v>3500</v>
      </c>
      <c r="P18" s="150">
        <f>O18-E18</f>
        <v>0</v>
      </c>
    </row>
    <row r="19" spans="1:16" ht="13.9" customHeight="1">
      <c r="A19" s="206">
        <v>46276</v>
      </c>
      <c r="B19" s="149" t="s">
        <v>127</v>
      </c>
      <c r="C19" s="150" t="s">
        <v>20</v>
      </c>
      <c r="D19" s="150" t="s">
        <v>48</v>
      </c>
      <c r="E19" s="150">
        <v>12750</v>
      </c>
      <c r="F19" s="150">
        <v>56</v>
      </c>
      <c r="G19" s="150">
        <v>464</v>
      </c>
      <c r="H19" s="150">
        <v>29</v>
      </c>
      <c r="I19" s="150">
        <v>401</v>
      </c>
      <c r="J19" s="150">
        <v>950</v>
      </c>
      <c r="K19" s="170">
        <v>11800</v>
      </c>
      <c r="L19" s="150">
        <v>7</v>
      </c>
      <c r="M19" s="150" t="s">
        <v>49</v>
      </c>
      <c r="N19" s="176">
        <v>0.93</v>
      </c>
      <c r="O19" s="150">
        <f>J19+K19</f>
        <v>12750</v>
      </c>
      <c r="P19" s="150">
        <f>O19-E19</f>
        <v>0</v>
      </c>
    </row>
    <row r="20" spans="1:16" ht="13.9" customHeight="1">
      <c r="A20" s="206">
        <v>46277</v>
      </c>
      <c r="B20" s="149" t="s">
        <v>127</v>
      </c>
      <c r="C20" s="150" t="s">
        <v>20</v>
      </c>
      <c r="D20" s="150" t="s">
        <v>48</v>
      </c>
      <c r="E20" s="150">
        <v>9250</v>
      </c>
      <c r="F20" s="150">
        <v>46</v>
      </c>
      <c r="G20" s="150">
        <v>241</v>
      </c>
      <c r="H20" s="150">
        <v>18</v>
      </c>
      <c r="I20" s="150">
        <v>295</v>
      </c>
      <c r="J20" s="150">
        <f>F20+G20+H20+I20</f>
        <v>600</v>
      </c>
      <c r="K20" s="170">
        <v>8650</v>
      </c>
      <c r="L20" s="150">
        <v>7</v>
      </c>
      <c r="M20" s="150" t="s">
        <v>49</v>
      </c>
      <c r="N20" s="176">
        <v>0.93</v>
      </c>
      <c r="O20" s="150">
        <f>J20+K20</f>
        <v>9250</v>
      </c>
      <c r="P20" s="150">
        <f>O20-E20</f>
        <v>0</v>
      </c>
    </row>
    <row r="21" spans="1:16" ht="13.9" customHeight="1">
      <c r="A21" s="206">
        <v>46280</v>
      </c>
      <c r="B21" s="149" t="s">
        <v>127</v>
      </c>
      <c r="C21" s="150" t="s">
        <v>20</v>
      </c>
      <c r="D21" s="150" t="s">
        <v>48</v>
      </c>
      <c r="E21" s="150">
        <v>10420</v>
      </c>
      <c r="F21" s="150">
        <v>32</v>
      </c>
      <c r="G21" s="150">
        <v>95</v>
      </c>
      <c r="H21" s="150">
        <v>29</v>
      </c>
      <c r="I21" s="150">
        <v>413</v>
      </c>
      <c r="J21" s="150">
        <v>575</v>
      </c>
      <c r="K21" s="150">
        <v>9845</v>
      </c>
      <c r="L21" s="150">
        <v>7</v>
      </c>
      <c r="M21" s="150" t="s">
        <v>49</v>
      </c>
      <c r="N21" s="176">
        <f>IFERROR(K21/E21,"")</f>
        <v>0.94481765834932818</v>
      </c>
      <c r="O21" s="150">
        <f>J21+K21</f>
        <v>10420</v>
      </c>
      <c r="P21" s="150">
        <f>O21-E21</f>
        <v>0</v>
      </c>
    </row>
    <row r="22" spans="1:16" ht="13.9" customHeight="1">
      <c r="A22" s="206">
        <v>46281</v>
      </c>
      <c r="B22" s="149" t="s">
        <v>127</v>
      </c>
      <c r="C22" s="150" t="s">
        <v>20</v>
      </c>
      <c r="D22" s="150" t="s">
        <v>48</v>
      </c>
      <c r="E22" s="150">
        <v>3300</v>
      </c>
      <c r="F22" s="150">
        <v>16</v>
      </c>
      <c r="G22" s="150">
        <v>8</v>
      </c>
      <c r="H22" s="150">
        <v>13</v>
      </c>
      <c r="I22" s="150">
        <v>63</v>
      </c>
      <c r="J22" s="150">
        <v>100</v>
      </c>
      <c r="K22" s="150">
        <v>3070</v>
      </c>
      <c r="L22" s="150">
        <v>7</v>
      </c>
      <c r="M22" s="150" t="s">
        <v>49</v>
      </c>
      <c r="N22" s="176">
        <f>IFERROR(K22/E22,"")</f>
        <v>0.9303030303030303</v>
      </c>
      <c r="O22" s="150">
        <v>3300</v>
      </c>
      <c r="P22" s="150">
        <f>O22-E22</f>
        <v>0</v>
      </c>
    </row>
    <row r="23" spans="1:16" ht="13.9" customHeight="1">
      <c r="A23" s="206">
        <v>46283</v>
      </c>
      <c r="B23" s="149" t="s">
        <v>127</v>
      </c>
      <c r="C23" s="150" t="s">
        <v>20</v>
      </c>
      <c r="D23" s="150" t="s">
        <v>48</v>
      </c>
      <c r="E23" s="150">
        <v>6350</v>
      </c>
      <c r="F23" s="150">
        <v>36</v>
      </c>
      <c r="G23" s="150">
        <v>68</v>
      </c>
      <c r="H23" s="150">
        <v>29</v>
      </c>
      <c r="I23" s="150">
        <v>287</v>
      </c>
      <c r="J23" s="150">
        <f>IFERROR(F23+G23+H23+I23,"")</f>
        <v>420</v>
      </c>
      <c r="K23" s="150">
        <v>5930</v>
      </c>
      <c r="L23" s="150">
        <v>7</v>
      </c>
      <c r="M23" s="150" t="s">
        <v>49</v>
      </c>
      <c r="N23" s="176">
        <f>IFERROR(K23/E23,"")</f>
        <v>0.93385826771653546</v>
      </c>
      <c r="O23" s="150">
        <f>J23+K23</f>
        <v>6350</v>
      </c>
      <c r="P23" s="150">
        <f>O23-E23</f>
        <v>0</v>
      </c>
    </row>
    <row r="24" spans="1:16" ht="13.9" customHeight="1">
      <c r="A24" s="206">
        <v>46284</v>
      </c>
      <c r="B24" s="149" t="s">
        <v>127</v>
      </c>
      <c r="C24" s="150" t="s">
        <v>20</v>
      </c>
      <c r="D24" s="150" t="s">
        <v>48</v>
      </c>
      <c r="E24" s="150">
        <v>12270</v>
      </c>
      <c r="F24" s="150">
        <v>38</v>
      </c>
      <c r="G24" s="150">
        <v>605</v>
      </c>
      <c r="H24" s="150">
        <v>32</v>
      </c>
      <c r="I24" s="150">
        <v>165</v>
      </c>
      <c r="J24" s="150">
        <f>IFERROR(F24+G24+H24+I24,"")</f>
        <v>840</v>
      </c>
      <c r="K24" s="150">
        <v>11430</v>
      </c>
      <c r="L24" s="150">
        <v>7</v>
      </c>
      <c r="M24" s="150" t="s">
        <v>49</v>
      </c>
      <c r="N24" s="176">
        <f>IFERROR(K24/E24,"")</f>
        <v>0.93154034229828853</v>
      </c>
      <c r="O24" s="150">
        <f>J24+K24</f>
        <v>12270</v>
      </c>
      <c r="P24" s="150">
        <f>O24-E24</f>
        <v>0</v>
      </c>
    </row>
    <row r="25" spans="1:16" ht="13.9" customHeight="1">
      <c r="A25" s="206">
        <v>46285</v>
      </c>
      <c r="B25" s="149" t="s">
        <v>127</v>
      </c>
      <c r="C25" s="150" t="s">
        <v>20</v>
      </c>
      <c r="D25" s="150" t="s">
        <v>48</v>
      </c>
      <c r="E25" s="150">
        <v>9600</v>
      </c>
      <c r="F25" s="150">
        <v>32</v>
      </c>
      <c r="G25" s="150">
        <v>534</v>
      </c>
      <c r="H25" s="150">
        <v>28</v>
      </c>
      <c r="I25" s="150">
        <v>81</v>
      </c>
      <c r="J25" s="150">
        <f>IFERROR(F25+G25+H25+I25,"")</f>
        <v>675</v>
      </c>
      <c r="K25" s="150">
        <v>8925</v>
      </c>
      <c r="L25" s="150">
        <v>7</v>
      </c>
      <c r="M25" s="150" t="s">
        <v>49</v>
      </c>
      <c r="N25" s="176">
        <f>IFERROR(K25/E25,"")</f>
        <v>0.9296875</v>
      </c>
      <c r="O25" s="150">
        <f>J25+K25</f>
        <v>9600</v>
      </c>
      <c r="P25" s="150">
        <f>O25-E25</f>
        <v>0</v>
      </c>
    </row>
    <row r="26" spans="1:16" ht="13.9" customHeight="1">
      <c r="A26" s="206">
        <v>46286</v>
      </c>
      <c r="B26" s="149" t="s">
        <v>163</v>
      </c>
      <c r="C26" s="150" t="s">
        <v>20</v>
      </c>
      <c r="D26" s="150" t="s">
        <v>48</v>
      </c>
      <c r="E26" s="150">
        <v>11500</v>
      </c>
      <c r="F26" s="150">
        <v>36</v>
      </c>
      <c r="G26" s="150">
        <v>185</v>
      </c>
      <c r="H26" s="150">
        <v>31</v>
      </c>
      <c r="I26" s="150">
        <v>428</v>
      </c>
      <c r="J26" s="150">
        <f>IFERROR(F26+G26+H26+I26,"")</f>
        <v>680</v>
      </c>
      <c r="K26" s="150">
        <v>10820</v>
      </c>
      <c r="L26" s="150">
        <v>7</v>
      </c>
      <c r="M26" s="150" t="s">
        <v>49</v>
      </c>
      <c r="N26" s="176">
        <f>IFERROR(K26/E26,"")</f>
        <v>0.94086956521739129</v>
      </c>
      <c r="O26" s="150">
        <f>J26+K26</f>
        <v>11500</v>
      </c>
      <c r="P26" s="150">
        <f>O26-E26</f>
        <v>0</v>
      </c>
    </row>
    <row r="27" spans="1:16" ht="13.9" customHeight="1">
      <c r="A27" s="206">
        <v>46287</v>
      </c>
      <c r="B27" s="149" t="s">
        <v>127</v>
      </c>
      <c r="C27" s="150" t="s">
        <v>20</v>
      </c>
      <c r="D27" s="150" t="s">
        <v>48</v>
      </c>
      <c r="E27" s="150">
        <v>12450</v>
      </c>
      <c r="F27" s="150">
        <v>39</v>
      </c>
      <c r="G27" s="150">
        <v>200</v>
      </c>
      <c r="H27" s="150">
        <v>27</v>
      </c>
      <c r="I27" s="150">
        <v>564</v>
      </c>
      <c r="J27" s="150">
        <f>IFERROR(F27+G27+H27+I27,"")</f>
        <v>830</v>
      </c>
      <c r="K27" s="150">
        <v>11620</v>
      </c>
      <c r="L27" s="150">
        <v>7</v>
      </c>
      <c r="M27" s="150" t="s">
        <v>49</v>
      </c>
      <c r="N27" s="176">
        <f>IFERROR(K27/E27,"")</f>
        <v>0.93333333333333335</v>
      </c>
      <c r="O27" s="150">
        <f>J27+K27</f>
        <v>12450</v>
      </c>
      <c r="P27" s="150">
        <f>O27-E27</f>
        <v>0</v>
      </c>
    </row>
    <row r="28" spans="1:16" ht="13.9" customHeight="1">
      <c r="A28" s="206">
        <v>46288</v>
      </c>
      <c r="B28" s="149" t="s">
        <v>127</v>
      </c>
      <c r="C28" s="150" t="s">
        <v>20</v>
      </c>
      <c r="D28" s="150" t="s">
        <v>48</v>
      </c>
      <c r="E28" s="150">
        <v>12200</v>
      </c>
      <c r="F28" s="150">
        <v>34</v>
      </c>
      <c r="G28" s="150">
        <v>185</v>
      </c>
      <c r="H28" s="150">
        <v>23</v>
      </c>
      <c r="I28" s="150">
        <v>518</v>
      </c>
      <c r="J28" s="150">
        <f>IFERROR(F28+G28+H28+I28,"")</f>
        <v>760</v>
      </c>
      <c r="K28" s="150">
        <v>11440</v>
      </c>
      <c r="L28" s="150">
        <v>7</v>
      </c>
      <c r="M28" s="150" t="s">
        <v>49</v>
      </c>
      <c r="N28" s="176">
        <f>IFERROR(K28/E28,"")</f>
        <v>0.93770491803278688</v>
      </c>
      <c r="O28" s="150">
        <f>J28+K28</f>
        <v>12200</v>
      </c>
      <c r="P28" s="150">
        <f>O28-E28</f>
        <v>0</v>
      </c>
    </row>
    <row r="29" spans="1:16" ht="13.9" customHeight="1">
      <c r="A29" s="206">
        <v>46289</v>
      </c>
      <c r="B29" s="149" t="s">
        <v>127</v>
      </c>
      <c r="C29" s="150" t="s">
        <v>20</v>
      </c>
      <c r="D29" s="150" t="s">
        <v>48</v>
      </c>
      <c r="E29" s="150">
        <v>5270</v>
      </c>
      <c r="F29" s="150">
        <v>23</v>
      </c>
      <c r="G29" s="150">
        <v>246</v>
      </c>
      <c r="H29" s="150">
        <v>18</v>
      </c>
      <c r="I29" s="150">
        <v>63</v>
      </c>
      <c r="J29" s="150">
        <f>IFERROR(F29+G29+H29+I29,"")</f>
        <v>350</v>
      </c>
      <c r="K29" s="150">
        <v>4920</v>
      </c>
      <c r="L29" s="150">
        <v>7</v>
      </c>
      <c r="M29" s="150" t="s">
        <v>49</v>
      </c>
      <c r="N29" s="176">
        <f>IFERROR(K29/E29,"")</f>
        <v>0.93358633776091082</v>
      </c>
      <c r="O29" s="150">
        <f>J29+K29</f>
        <v>5270</v>
      </c>
      <c r="P29" s="150">
        <f>O29-E29</f>
        <v>0</v>
      </c>
    </row>
    <row r="30" spans="1:16" ht="13.9" customHeight="1">
      <c r="A30" s="206">
        <v>46290</v>
      </c>
      <c r="B30" s="149" t="s">
        <v>127</v>
      </c>
      <c r="C30" s="150" t="s">
        <v>20</v>
      </c>
      <c r="D30" s="150" t="s">
        <v>48</v>
      </c>
      <c r="E30" s="150">
        <v>11750</v>
      </c>
      <c r="F30" s="150">
        <v>39</v>
      </c>
      <c r="G30" s="150">
        <v>320</v>
      </c>
      <c r="H30" s="150">
        <v>23</v>
      </c>
      <c r="I30" s="150">
        <v>413</v>
      </c>
      <c r="J30" s="150">
        <f>IFERROR(F30+G30+H30+I30,"")</f>
        <v>795</v>
      </c>
      <c r="K30" s="150">
        <v>10955</v>
      </c>
      <c r="L30" s="150">
        <v>7</v>
      </c>
      <c r="M30" s="150" t="s">
        <v>49</v>
      </c>
      <c r="N30" s="176">
        <f>IFERROR(K30/E30,"")</f>
        <v>0.93234042553191487</v>
      </c>
      <c r="O30" s="150">
        <f>J30+K30</f>
        <v>11750</v>
      </c>
      <c r="P30" s="150">
        <f>O30-E30</f>
        <v>0</v>
      </c>
    </row>
    <row r="31" spans="1:16" ht="13.9" customHeight="1">
      <c r="A31" s="206">
        <v>46291</v>
      </c>
      <c r="B31" s="149" t="s">
        <v>127</v>
      </c>
      <c r="C31" s="150" t="s">
        <v>20</v>
      </c>
      <c r="D31" s="150" t="s">
        <v>48</v>
      </c>
      <c r="E31" s="150">
        <v>10000</v>
      </c>
      <c r="F31" s="150">
        <v>31</v>
      </c>
      <c r="G31" s="150">
        <v>269</v>
      </c>
      <c r="H31" s="150">
        <v>28</v>
      </c>
      <c r="I31" s="150">
        <v>347</v>
      </c>
      <c r="J31" s="150">
        <f>IFERROR(F31+G31+H31+I31,"")</f>
        <v>675</v>
      </c>
      <c r="K31" s="150">
        <v>9325</v>
      </c>
      <c r="L31" s="150">
        <v>7</v>
      </c>
      <c r="M31" s="150" t="s">
        <v>49</v>
      </c>
      <c r="N31" s="176">
        <f>IFERROR(K31/E31,"")</f>
        <v>0.9325</v>
      </c>
      <c r="O31" s="150">
        <f>J31+K31</f>
        <v>10000</v>
      </c>
      <c r="P31" s="150">
        <f>O31-E31</f>
        <v>0</v>
      </c>
    </row>
    <row r="32" spans="1:16" ht="13.9" customHeight="1">
      <c r="A32" s="206">
        <v>46293</v>
      </c>
      <c r="B32" s="149" t="s">
        <v>127</v>
      </c>
      <c r="C32" s="150" t="s">
        <v>20</v>
      </c>
      <c r="D32" s="150" t="s">
        <v>48</v>
      </c>
      <c r="E32" s="150">
        <v>8900</v>
      </c>
      <c r="F32" s="150">
        <v>28</v>
      </c>
      <c r="G32" s="150">
        <v>279.89999999999998</v>
      </c>
      <c r="H32" s="150">
        <v>19.5</v>
      </c>
      <c r="I32" s="150">
        <v>342.6</v>
      </c>
      <c r="J32" s="150">
        <f>IFERROR(F32+G32+H32+I32,"")</f>
        <v>670</v>
      </c>
      <c r="K32" s="150">
        <v>8230</v>
      </c>
      <c r="L32" s="150">
        <v>7</v>
      </c>
      <c r="M32" s="150" t="s">
        <v>49</v>
      </c>
      <c r="N32" s="176">
        <f>IFERROR(K32/E32,"")</f>
        <v>0.92471910112359545</v>
      </c>
      <c r="O32" s="150">
        <f>J32+K32</f>
        <v>8900</v>
      </c>
      <c r="P32" s="150">
        <f>O32-E32</f>
        <v>0</v>
      </c>
    </row>
    <row r="33" spans="1:16" ht="13.9" customHeight="1">
      <c r="A33" s="206">
        <v>46294</v>
      </c>
      <c r="B33" s="149" t="s">
        <v>130</v>
      </c>
      <c r="C33" s="150" t="s">
        <v>20</v>
      </c>
      <c r="D33" s="150" t="s">
        <v>48</v>
      </c>
      <c r="E33" s="150">
        <v>6500</v>
      </c>
      <c r="F33" s="150">
        <v>19</v>
      </c>
      <c r="G33" s="150">
        <v>179</v>
      </c>
      <c r="H33" s="150">
        <v>12</v>
      </c>
      <c r="I33" s="150">
        <v>265</v>
      </c>
      <c r="J33" s="150">
        <f>IFERROR(F33+G33+H33+I33,"")</f>
        <v>475</v>
      </c>
      <c r="K33" s="150">
        <v>6025</v>
      </c>
      <c r="L33" s="150">
        <v>7</v>
      </c>
      <c r="M33" s="150" t="s">
        <v>49</v>
      </c>
      <c r="N33" s="176">
        <f>IFERROR(K33/E33,"")</f>
        <v>0.92692307692307696</v>
      </c>
      <c r="O33" s="150">
        <f>J33+K33</f>
        <v>6500</v>
      </c>
      <c r="P33" s="150">
        <f>O33-E33</f>
        <v>0</v>
      </c>
    </row>
    <row r="34" spans="1:16" ht="13.9" customHeight="1">
      <c r="A34" s="206">
        <v>46295</v>
      </c>
      <c r="B34" s="149" t="s">
        <v>127</v>
      </c>
      <c r="C34" s="150" t="s">
        <v>20</v>
      </c>
      <c r="D34" s="150" t="s">
        <v>48</v>
      </c>
      <c r="E34" s="150">
        <v>9700</v>
      </c>
      <c r="F34" s="150">
        <v>28</v>
      </c>
      <c r="G34" s="150">
        <v>352</v>
      </c>
      <c r="H34" s="150">
        <v>24</v>
      </c>
      <c r="I34" s="150">
        <v>234</v>
      </c>
      <c r="J34" s="150">
        <f>IFERROR(F34+G34+H34+I34,"")</f>
        <v>638</v>
      </c>
      <c r="K34" s="150">
        <v>9062</v>
      </c>
      <c r="L34" s="150">
        <v>7</v>
      </c>
      <c r="M34" s="150" t="s">
        <v>49</v>
      </c>
      <c r="N34" s="176">
        <f>IFERROR(K34/E34,"")</f>
        <v>0.93422680412371129</v>
      </c>
      <c r="O34" s="150">
        <f>J34+K34</f>
        <v>9700</v>
      </c>
      <c r="P34" s="150">
        <f>O34-E34</f>
        <v>0</v>
      </c>
    </row>
    <row r="35" spans="1:16" ht="12.75">
      <c r="A35" s="150"/>
      <c r="B35" s="149"/>
      <c r="C35" s="150"/>
      <c r="D35" s="150"/>
      <c r="E35" s="150"/>
      <c r="F35" s="150"/>
      <c r="G35" s="150"/>
      <c r="H35" s="150"/>
      <c r="I35" s="150"/>
      <c r="J35" s="150">
        <f t="shared" ref="J23:J43" si="1">IFERROR(F35+G35+H35+I35,"")</f>
        <v>0</v>
      </c>
      <c r="K35" s="150"/>
      <c r="L35" s="150"/>
      <c r="M35" s="150"/>
      <c r="N35" s="176" t="str">
        <f t="shared" ref="N21:N43" si="2">IFERROR(K35/E35,"")</f>
        <v/>
      </c>
      <c r="O35" s="150">
        <f t="shared" ref="O7:O43" si="3">J35+K35</f>
        <v>0</v>
      </c>
      <c r="P35" s="150">
        <f t="shared" ref="P7:P43" si="4">O35-E35</f>
        <v>0</v>
      </c>
    </row>
    <row r="36" spans="1:16">
      <c r="A36" s="150"/>
      <c r="B36" s="149"/>
      <c r="C36" s="150"/>
      <c r="D36" s="150"/>
      <c r="E36" s="150"/>
      <c r="F36" s="150"/>
      <c r="G36" s="150"/>
      <c r="H36" s="150"/>
      <c r="I36" s="150"/>
      <c r="J36" s="150">
        <f t="shared" si="1"/>
        <v>0</v>
      </c>
      <c r="K36" s="150"/>
      <c r="L36" s="150"/>
      <c r="M36" s="150"/>
      <c r="N36" s="176" t="str">
        <f t="shared" si="2"/>
        <v/>
      </c>
      <c r="O36" s="150">
        <f t="shared" si="3"/>
        <v>0</v>
      </c>
      <c r="P36" s="150">
        <f t="shared" si="4"/>
        <v>0</v>
      </c>
    </row>
    <row r="37" spans="1:16">
      <c r="A37" s="150"/>
      <c r="B37" s="149"/>
      <c r="C37" s="150"/>
      <c r="D37" s="150"/>
      <c r="E37" s="150"/>
      <c r="F37" s="150"/>
      <c r="G37" s="150"/>
      <c r="H37" s="150"/>
      <c r="I37" s="150"/>
      <c r="J37" s="150">
        <f t="shared" si="1"/>
        <v>0</v>
      </c>
      <c r="K37" s="150"/>
      <c r="L37" s="150"/>
      <c r="M37" s="150"/>
      <c r="N37" s="176" t="str">
        <f t="shared" si="2"/>
        <v/>
      </c>
      <c r="O37" s="150">
        <f t="shared" si="3"/>
        <v>0</v>
      </c>
      <c r="P37" s="150">
        <f t="shared" si="4"/>
        <v>0</v>
      </c>
    </row>
    <row r="38" spans="1:16">
      <c r="A38" s="150"/>
      <c r="B38" s="149"/>
      <c r="C38" s="150"/>
      <c r="D38" s="150"/>
      <c r="E38" s="150"/>
      <c r="F38" s="150"/>
      <c r="G38" s="150"/>
      <c r="H38" s="150"/>
      <c r="I38" s="150"/>
      <c r="J38" s="150">
        <f t="shared" si="1"/>
        <v>0</v>
      </c>
      <c r="K38" s="150"/>
      <c r="L38" s="150"/>
      <c r="M38" s="150"/>
      <c r="N38" s="176" t="str">
        <f t="shared" si="2"/>
        <v/>
      </c>
      <c r="O38" s="150">
        <f t="shared" si="3"/>
        <v>0</v>
      </c>
      <c r="P38" s="150">
        <f t="shared" si="4"/>
        <v>0</v>
      </c>
    </row>
    <row r="39" spans="1:16">
      <c r="A39" s="150"/>
      <c r="B39" s="149"/>
      <c r="C39" s="150"/>
      <c r="D39" s="150"/>
      <c r="E39" s="150"/>
      <c r="F39" s="150"/>
      <c r="G39" s="150"/>
      <c r="H39" s="150"/>
      <c r="I39" s="150"/>
      <c r="J39" s="150">
        <f t="shared" si="1"/>
        <v>0</v>
      </c>
      <c r="K39" s="150"/>
      <c r="L39" s="150"/>
      <c r="M39" s="150"/>
      <c r="N39" s="176" t="str">
        <f t="shared" si="2"/>
        <v/>
      </c>
      <c r="O39" s="150">
        <f t="shared" si="3"/>
        <v>0</v>
      </c>
      <c r="P39" s="150">
        <f t="shared" si="4"/>
        <v>0</v>
      </c>
    </row>
    <row r="40" spans="1:16">
      <c r="A40" s="150"/>
      <c r="B40" s="149"/>
      <c r="C40" s="150"/>
      <c r="D40" s="150"/>
      <c r="E40" s="150"/>
      <c r="F40" s="150"/>
      <c r="G40" s="150"/>
      <c r="H40" s="150"/>
      <c r="I40" s="150"/>
      <c r="J40" s="150">
        <f t="shared" si="1"/>
        <v>0</v>
      </c>
      <c r="K40" s="150"/>
      <c r="L40" s="150"/>
      <c r="M40" s="150"/>
      <c r="N40" s="176" t="str">
        <f t="shared" si="2"/>
        <v/>
      </c>
      <c r="O40" s="150">
        <f t="shared" si="3"/>
        <v>0</v>
      </c>
      <c r="P40" s="150">
        <f t="shared" si="4"/>
        <v>0</v>
      </c>
    </row>
    <row r="41" spans="1:16">
      <c r="A41" s="150"/>
      <c r="B41" s="149"/>
      <c r="C41" s="150"/>
      <c r="D41" s="150"/>
      <c r="E41" s="150"/>
      <c r="F41" s="150"/>
      <c r="G41" s="150"/>
      <c r="H41" s="150"/>
      <c r="I41" s="150"/>
      <c r="J41" s="150">
        <f t="shared" si="1"/>
        <v>0</v>
      </c>
      <c r="K41" s="150"/>
      <c r="L41" s="150"/>
      <c r="M41" s="150"/>
      <c r="N41" s="176" t="str">
        <f t="shared" si="2"/>
        <v/>
      </c>
      <c r="O41" s="150">
        <f t="shared" si="3"/>
        <v>0</v>
      </c>
      <c r="P41" s="150">
        <f t="shared" si="4"/>
        <v>0</v>
      </c>
    </row>
    <row r="42" spans="1:16">
      <c r="A42" s="150"/>
      <c r="B42" s="149"/>
      <c r="C42" s="150"/>
      <c r="D42" s="150"/>
      <c r="E42" s="150"/>
      <c r="F42" s="150"/>
      <c r="G42" s="150"/>
      <c r="H42" s="150"/>
      <c r="I42" s="150"/>
      <c r="J42" s="150">
        <f t="shared" si="1"/>
        <v>0</v>
      </c>
      <c r="K42" s="150"/>
      <c r="L42" s="150"/>
      <c r="M42" s="150"/>
      <c r="N42" s="176" t="str">
        <f t="shared" si="2"/>
        <v/>
      </c>
      <c r="O42" s="150">
        <f t="shared" si="3"/>
        <v>0</v>
      </c>
      <c r="P42" s="150">
        <f t="shared" si="4"/>
        <v>0</v>
      </c>
    </row>
    <row r="43" spans="1:16">
      <c r="A43" s="150"/>
      <c r="B43" s="149"/>
      <c r="C43" s="150"/>
      <c r="D43" s="150"/>
      <c r="E43" s="150"/>
      <c r="F43" s="150"/>
      <c r="G43" s="150"/>
      <c r="H43" s="150"/>
      <c r="I43" s="150"/>
      <c r="J43" s="150">
        <f t="shared" si="1"/>
        <v>0</v>
      </c>
      <c r="K43" s="150"/>
      <c r="L43" s="150"/>
      <c r="M43" s="150"/>
      <c r="N43" s="176" t="str">
        <f t="shared" si="2"/>
        <v/>
      </c>
      <c r="O43" s="150">
        <f t="shared" si="3"/>
        <v>0</v>
      </c>
      <c r="P43" s="150">
        <f t="shared" si="4"/>
        <v>0</v>
      </c>
    </row>
  </sheetData>
  <mergeCells count="17">
    <mergeCell ref="O4:O5"/>
    <mergeCell ref="P4:P5"/>
    <mergeCell ref="A2:N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dataValidations count="4">
    <dataValidation type="list" allowBlank="1" showInputMessage="1" showErrorMessage="1" sqref="M6:M18 M21:M43" xr:uid="{0ACBFFB8-556C-4E64-BB8A-0D7D15833FAA}">
      <formula1>"Day,Night"</formula1>
    </dataValidation>
    <dataValidation type="list" allowBlank="1" showInputMessage="1" showErrorMessage="1" sqref="C35:C43" xr:uid="{77CD995C-8B07-4288-95A8-10AD3BB3D775}">
      <formula1>"C/39"</formula1>
    </dataValidation>
    <dataValidation type="list" allowBlank="1" showInputMessage="1" showErrorMessage="1" sqref="D6:D18 D21:D43" xr:uid="{D568394E-B57D-40BF-B4DA-377A3F6D9AAD}">
      <formula1>"Multigrain,Multigrain 60%,Besan,Khapli"</formula1>
    </dataValidation>
    <dataValidation type="list" allowBlank="1" showInputMessage="1" showErrorMessage="1" sqref="C6:C34" xr:uid="{D5C4EBBC-1502-4280-8A1F-342D2E0CF555}">
      <formula1>"C39"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194D-EF69-4D09-951E-F36F942CE65B}">
  <sheetPr filterMode="1">
    <tabColor rgb="FFFFFF00"/>
  </sheetPr>
  <dimension ref="A2:P60"/>
  <sheetViews>
    <sheetView tabSelected="1" zoomScaleNormal="60" zoomScaleSheetLayoutView="100" workbookViewId="0">
      <pane ySplit="5" topLeftCell="A11" activePane="bottomLeft" state="frozen"/>
      <selection pane="bottomLeft" activeCell="A16" sqref="A16"/>
    </sheetView>
  </sheetViews>
  <sheetFormatPr defaultColWidth="9.140625" defaultRowHeight="12.75"/>
  <cols>
    <col min="1" max="3" width="14.140625" style="148" customWidth="1"/>
    <col min="4" max="4" width="22.42578125" style="148" customWidth="1"/>
    <col min="5" max="5" width="10.28515625" style="148" customWidth="1"/>
    <col min="6" max="6" width="12.140625" style="148" customWidth="1"/>
    <col min="7" max="7" width="9.140625" style="148" customWidth="1"/>
    <col min="8" max="8" width="15.140625" style="148" customWidth="1"/>
    <col min="9" max="9" width="10.7109375" style="148" customWidth="1"/>
    <col min="10" max="10" width="13.85546875" style="148" customWidth="1"/>
    <col min="11" max="11" width="9.85546875" style="148" customWidth="1"/>
    <col min="12" max="12" width="10.140625" style="148" customWidth="1"/>
    <col min="13" max="13" width="9.140625" style="148" customWidth="1"/>
    <col min="14" max="15" width="9.140625" style="148"/>
    <col min="16" max="16" width="10.7109375" style="148" customWidth="1"/>
    <col min="17" max="16384" width="9.140625" style="148"/>
  </cols>
  <sheetData>
    <row r="2" spans="1:16" ht="25.5" customHeight="1">
      <c r="A2" s="247" t="s">
        <v>40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138"/>
    </row>
    <row r="3" spans="1:16" ht="25.5" customHeight="1">
      <c r="A3" s="171"/>
      <c r="B3" s="173"/>
      <c r="C3" s="173"/>
      <c r="D3" s="173"/>
      <c r="E3" s="174">
        <f>SUBTOTAL(9,E6:E60)</f>
        <v>35747.5</v>
      </c>
      <c r="F3" s="174">
        <f t="shared" ref="F3:P3" si="0">SUBTOTAL(9,F6:F60)</f>
        <v>9</v>
      </c>
      <c r="G3" s="174">
        <f t="shared" si="0"/>
        <v>474</v>
      </c>
      <c r="H3" s="174">
        <f t="shared" si="0"/>
        <v>19</v>
      </c>
      <c r="I3" s="174">
        <f t="shared" si="0"/>
        <v>1989.5</v>
      </c>
      <c r="J3" s="174">
        <f t="shared" si="0"/>
        <v>2491.5</v>
      </c>
      <c r="K3" s="174">
        <f t="shared" si="0"/>
        <v>33256</v>
      </c>
      <c r="L3" s="174"/>
      <c r="M3" s="174"/>
      <c r="N3" s="175">
        <f>K3/E3*100</f>
        <v>93.030281837890755</v>
      </c>
      <c r="O3" s="174">
        <f t="shared" si="0"/>
        <v>35747.5</v>
      </c>
      <c r="P3" s="174">
        <f t="shared" si="0"/>
        <v>0</v>
      </c>
    </row>
    <row r="4" spans="1:16" ht="12.75" customHeight="1">
      <c r="A4" s="249" t="s">
        <v>25</v>
      </c>
      <c r="B4" s="249" t="s">
        <v>26</v>
      </c>
      <c r="C4" s="249" t="s">
        <v>27</v>
      </c>
      <c r="D4" s="249" t="s">
        <v>22</v>
      </c>
      <c r="E4" s="251" t="s">
        <v>168</v>
      </c>
      <c r="F4" s="251" t="s">
        <v>169</v>
      </c>
      <c r="G4" s="251" t="s">
        <v>170</v>
      </c>
      <c r="H4" s="251" t="s">
        <v>171</v>
      </c>
      <c r="I4" s="251" t="s">
        <v>172</v>
      </c>
      <c r="J4" s="249" t="s">
        <v>173</v>
      </c>
      <c r="K4" s="249" t="s">
        <v>174</v>
      </c>
      <c r="L4" s="249" t="s">
        <v>35</v>
      </c>
      <c r="M4" s="249" t="s">
        <v>36</v>
      </c>
      <c r="N4" s="253" t="s">
        <v>37</v>
      </c>
      <c r="O4" s="138"/>
    </row>
    <row r="5" spans="1:16" ht="58.5" customHeight="1">
      <c r="A5" s="250"/>
      <c r="B5" s="250"/>
      <c r="C5" s="250"/>
      <c r="D5" s="250"/>
      <c r="E5" s="250"/>
      <c r="F5" s="252"/>
      <c r="G5" s="252"/>
      <c r="H5" s="252"/>
      <c r="I5" s="251"/>
      <c r="J5" s="250"/>
      <c r="K5" s="250"/>
      <c r="L5" s="250"/>
      <c r="M5" s="250"/>
      <c r="N5" s="250"/>
      <c r="O5" s="172" t="s">
        <v>38</v>
      </c>
      <c r="P5" s="148" t="s">
        <v>39</v>
      </c>
    </row>
    <row r="6" spans="1:16" ht="13.9" customHeight="1">
      <c r="A6" s="203">
        <v>46296</v>
      </c>
      <c r="B6" s="140" t="s">
        <v>56</v>
      </c>
      <c r="C6" s="140" t="s">
        <v>152</v>
      </c>
      <c r="D6" s="140" t="s">
        <v>180</v>
      </c>
      <c r="E6" s="140">
        <v>997.5</v>
      </c>
      <c r="F6" s="141">
        <v>1</v>
      </c>
      <c r="G6" s="140">
        <v>29</v>
      </c>
      <c r="H6" s="140">
        <v>1</v>
      </c>
      <c r="I6" s="140">
        <v>48.5</v>
      </c>
      <c r="J6" s="140">
        <f>SUM(F6:I6)</f>
        <v>79.5</v>
      </c>
      <c r="K6" s="142">
        <v>918</v>
      </c>
      <c r="L6" s="140">
        <v>4</v>
      </c>
      <c r="M6" s="140" t="s">
        <v>49</v>
      </c>
      <c r="N6" s="143">
        <f>IFERROR(K6/E6,"")</f>
        <v>0.92030075187969929</v>
      </c>
      <c r="O6" s="163">
        <f>J6+K6</f>
        <v>997.5</v>
      </c>
      <c r="P6" s="150">
        <f>O6-E6</f>
        <v>0</v>
      </c>
    </row>
    <row r="7" spans="1:16" ht="13.9" customHeight="1">
      <c r="A7" s="203">
        <v>46296</v>
      </c>
      <c r="B7" s="140" t="s">
        <v>56</v>
      </c>
      <c r="C7" s="140" t="s">
        <v>152</v>
      </c>
      <c r="D7" s="140" t="s">
        <v>181</v>
      </c>
      <c r="E7" s="140">
        <v>1750</v>
      </c>
      <c r="F7" s="141">
        <v>1</v>
      </c>
      <c r="G7" s="140">
        <v>9</v>
      </c>
      <c r="H7" s="140">
        <v>1</v>
      </c>
      <c r="I7" s="140">
        <v>101</v>
      </c>
      <c r="J7" s="140">
        <f>SUM(F7:I7)</f>
        <v>112</v>
      </c>
      <c r="K7" s="142">
        <v>1638</v>
      </c>
      <c r="L7" s="140">
        <v>4</v>
      </c>
      <c r="M7" s="140" t="s">
        <v>49</v>
      </c>
      <c r="N7" s="143">
        <f>IFERROR(K7/E7,"")</f>
        <v>0.93600000000000005</v>
      </c>
      <c r="O7" s="163">
        <f>J7+K7</f>
        <v>1750</v>
      </c>
      <c r="P7" s="150">
        <f>O7-E7</f>
        <v>0</v>
      </c>
    </row>
    <row r="8" spans="1:16" ht="13.9" customHeight="1">
      <c r="A8" s="203">
        <v>46298</v>
      </c>
      <c r="B8" s="140" t="s">
        <v>56</v>
      </c>
      <c r="C8" s="140" t="s">
        <v>152</v>
      </c>
      <c r="D8" s="140" t="s">
        <v>181</v>
      </c>
      <c r="E8" s="140">
        <v>4000</v>
      </c>
      <c r="F8" s="141">
        <v>1</v>
      </c>
      <c r="G8" s="140">
        <v>52</v>
      </c>
      <c r="H8" s="140">
        <v>2</v>
      </c>
      <c r="I8" s="140">
        <v>245</v>
      </c>
      <c r="J8" s="140">
        <f>SUM(F8:I8)</f>
        <v>300</v>
      </c>
      <c r="K8" s="142">
        <v>3700</v>
      </c>
      <c r="L8" s="140">
        <v>4</v>
      </c>
      <c r="M8" s="140" t="s">
        <v>49</v>
      </c>
      <c r="N8" s="143">
        <f>IFERROR(K8/E8,"")</f>
        <v>0.92500000000000004</v>
      </c>
      <c r="O8" s="163">
        <f>J8+K8</f>
        <v>4000</v>
      </c>
      <c r="P8" s="150">
        <f>O8-E8</f>
        <v>0</v>
      </c>
    </row>
    <row r="9" spans="1:16" ht="13.9" customHeight="1">
      <c r="A9" s="203">
        <v>46300</v>
      </c>
      <c r="B9" s="140" t="s">
        <v>56</v>
      </c>
      <c r="C9" s="140" t="s">
        <v>152</v>
      </c>
      <c r="D9" s="140" t="s">
        <v>181</v>
      </c>
      <c r="E9" s="140">
        <v>4000</v>
      </c>
      <c r="F9" s="141">
        <v>1</v>
      </c>
      <c r="G9" s="140">
        <v>50</v>
      </c>
      <c r="H9" s="140">
        <v>2</v>
      </c>
      <c r="I9" s="140">
        <v>227</v>
      </c>
      <c r="J9" s="140">
        <f>SUM(F9:I9)</f>
        <v>280</v>
      </c>
      <c r="K9" s="142">
        <v>3720</v>
      </c>
      <c r="L9" s="140">
        <v>4</v>
      </c>
      <c r="M9" s="140" t="s">
        <v>49</v>
      </c>
      <c r="N9" s="143">
        <f>IFERROR(K9/E9,"")</f>
        <v>0.93</v>
      </c>
      <c r="O9" s="163">
        <f>J9+K9</f>
        <v>4000</v>
      </c>
      <c r="P9" s="150">
        <f>O9-E9</f>
        <v>0</v>
      </c>
    </row>
    <row r="10" spans="1:16" ht="13.9" customHeight="1">
      <c r="A10" s="203">
        <v>46301</v>
      </c>
      <c r="B10" s="140" t="s">
        <v>56</v>
      </c>
      <c r="C10" s="140" t="s">
        <v>152</v>
      </c>
      <c r="D10" s="140" t="s">
        <v>181</v>
      </c>
      <c r="E10" s="140">
        <v>3800</v>
      </c>
      <c r="F10" s="140">
        <v>1</v>
      </c>
      <c r="G10" s="140">
        <v>29</v>
      </c>
      <c r="H10" s="140">
        <v>2</v>
      </c>
      <c r="I10" s="140">
        <v>234</v>
      </c>
      <c r="J10" s="140">
        <f>SUM(F10:I10)</f>
        <v>266</v>
      </c>
      <c r="K10" s="142">
        <v>3534</v>
      </c>
      <c r="L10" s="140">
        <v>4</v>
      </c>
      <c r="M10" s="140" t="s">
        <v>49</v>
      </c>
      <c r="N10" s="143">
        <f>IFERROR(K10/E10,"")</f>
        <v>0.93</v>
      </c>
      <c r="O10" s="163">
        <f>J10+K10</f>
        <v>3800</v>
      </c>
      <c r="P10" s="150">
        <f>O10-E10</f>
        <v>0</v>
      </c>
    </row>
    <row r="11" spans="1:16" ht="13.9" customHeight="1">
      <c r="A11" s="203">
        <v>46302</v>
      </c>
      <c r="B11" s="140" t="s">
        <v>56</v>
      </c>
      <c r="C11" s="140" t="s">
        <v>152</v>
      </c>
      <c r="D11" s="140" t="s">
        <v>181</v>
      </c>
      <c r="E11" s="140">
        <v>4050</v>
      </c>
      <c r="F11" s="140">
        <v>1</v>
      </c>
      <c r="G11" s="140">
        <v>32</v>
      </c>
      <c r="H11" s="140">
        <v>2</v>
      </c>
      <c r="I11" s="140">
        <v>184</v>
      </c>
      <c r="J11" s="140">
        <f>SUM(F11:I11)</f>
        <v>219</v>
      </c>
      <c r="K11" s="142">
        <v>3831</v>
      </c>
      <c r="L11" s="140">
        <v>4</v>
      </c>
      <c r="M11" s="140" t="s">
        <v>49</v>
      </c>
      <c r="N11" s="143">
        <f>IFERROR(K11/E11,"")</f>
        <v>0.94592592592592595</v>
      </c>
      <c r="O11" s="163">
        <f>J11+K11</f>
        <v>4050</v>
      </c>
      <c r="P11" s="150">
        <f>O11-E11</f>
        <v>0</v>
      </c>
    </row>
    <row r="12" spans="1:16" ht="13.9" customHeight="1">
      <c r="A12" s="203">
        <v>46303</v>
      </c>
      <c r="B12" s="140" t="s">
        <v>56</v>
      </c>
      <c r="C12" s="140" t="s">
        <v>152</v>
      </c>
      <c r="D12" s="140" t="s">
        <v>181</v>
      </c>
      <c r="E12" s="140">
        <v>1150</v>
      </c>
      <c r="F12" s="140">
        <v>0</v>
      </c>
      <c r="G12" s="140">
        <v>8</v>
      </c>
      <c r="H12" s="140">
        <v>1</v>
      </c>
      <c r="I12" s="140">
        <v>74</v>
      </c>
      <c r="J12" s="140">
        <f>SUM(F12:I12)</f>
        <v>83</v>
      </c>
      <c r="K12" s="142">
        <v>1067</v>
      </c>
      <c r="L12" s="140">
        <v>4</v>
      </c>
      <c r="M12" s="140" t="s">
        <v>49</v>
      </c>
      <c r="N12" s="143">
        <f>IFERROR(K12/E12,"")</f>
        <v>0.92782608695652169</v>
      </c>
      <c r="O12" s="163">
        <f>J12+K12</f>
        <v>1150</v>
      </c>
      <c r="P12" s="150">
        <f>O12-E12</f>
        <v>0</v>
      </c>
    </row>
    <row r="13" spans="1:16" ht="13.9" customHeight="1">
      <c r="A13" s="203">
        <v>46304</v>
      </c>
      <c r="B13" s="140" t="s">
        <v>56</v>
      </c>
      <c r="C13" s="140" t="s">
        <v>152</v>
      </c>
      <c r="D13" s="140" t="s">
        <v>181</v>
      </c>
      <c r="E13" s="140">
        <v>5750</v>
      </c>
      <c r="F13" s="140">
        <v>1</v>
      </c>
      <c r="G13" s="140">
        <v>105</v>
      </c>
      <c r="H13" s="140">
        <v>3</v>
      </c>
      <c r="I13" s="140">
        <v>341</v>
      </c>
      <c r="J13" s="140">
        <f>SUM(F13:I13)</f>
        <v>450</v>
      </c>
      <c r="K13" s="142">
        <v>5300</v>
      </c>
      <c r="L13" s="140">
        <v>4</v>
      </c>
      <c r="M13" s="140" t="s">
        <v>49</v>
      </c>
      <c r="N13" s="143">
        <f>IFERROR(K13/E13,"")</f>
        <v>0.92173913043478262</v>
      </c>
      <c r="O13" s="163">
        <f>J13+K13</f>
        <v>5750</v>
      </c>
      <c r="P13" s="150">
        <f>O13-E13</f>
        <v>0</v>
      </c>
    </row>
    <row r="14" spans="1:16" ht="13.9" customHeight="1">
      <c r="A14" s="203">
        <v>46305</v>
      </c>
      <c r="B14" s="140" t="s">
        <v>56</v>
      </c>
      <c r="C14" s="140" t="s">
        <v>152</v>
      </c>
      <c r="D14" s="140" t="s">
        <v>181</v>
      </c>
      <c r="E14" s="140">
        <v>6050</v>
      </c>
      <c r="F14" s="140">
        <v>1</v>
      </c>
      <c r="G14" s="140">
        <v>110</v>
      </c>
      <c r="H14" s="140">
        <v>3</v>
      </c>
      <c r="I14" s="140">
        <v>328</v>
      </c>
      <c r="J14" s="140">
        <f>SUM(F14:I14)</f>
        <v>442</v>
      </c>
      <c r="K14" s="142">
        <v>5608</v>
      </c>
      <c r="L14" s="140">
        <v>4</v>
      </c>
      <c r="M14" s="140" t="s">
        <v>49</v>
      </c>
      <c r="N14" s="143">
        <f>IFERROR(K14/E14,"")</f>
        <v>0.92694214876033054</v>
      </c>
      <c r="O14" s="163">
        <f>J14+K14</f>
        <v>6050</v>
      </c>
      <c r="P14" s="150">
        <f>O14-E14</f>
        <v>0</v>
      </c>
    </row>
    <row r="15" spans="1:16">
      <c r="A15" s="139">
        <v>46307</v>
      </c>
      <c r="B15" s="140" t="s">
        <v>56</v>
      </c>
      <c r="C15" s="140" t="s">
        <v>152</v>
      </c>
      <c r="D15" s="140" t="s">
        <v>181</v>
      </c>
      <c r="E15" s="140">
        <v>4200</v>
      </c>
      <c r="F15" s="140">
        <v>1</v>
      </c>
      <c r="G15" s="140">
        <v>50</v>
      </c>
      <c r="H15" s="140">
        <v>2</v>
      </c>
      <c r="I15" s="140">
        <v>207</v>
      </c>
      <c r="J15" s="140">
        <f t="shared" ref="J6:J41" si="1">SUM(F15:I15)</f>
        <v>260</v>
      </c>
      <c r="K15" s="140">
        <v>3940</v>
      </c>
      <c r="L15" s="140">
        <v>3</v>
      </c>
      <c r="M15" s="140" t="s">
        <v>49</v>
      </c>
      <c r="N15" s="143">
        <f t="shared" ref="N6:N60" si="2">IFERROR(K15/E15,"")</f>
        <v>0.93809523809523809</v>
      </c>
      <c r="O15" s="163">
        <f t="shared" ref="O6:O52" si="3">J15+K15</f>
        <v>4200</v>
      </c>
      <c r="P15" s="150">
        <f t="shared" ref="P6:P52" si="4">O15-E15</f>
        <v>0</v>
      </c>
    </row>
    <row r="16" spans="1:16" ht="13.9">
      <c r="A16" s="139"/>
      <c r="B16" s="140"/>
      <c r="C16" s="140"/>
      <c r="D16" s="140"/>
      <c r="E16" s="140"/>
      <c r="F16" s="140"/>
      <c r="G16" s="140"/>
      <c r="H16" s="140"/>
      <c r="I16" s="140"/>
      <c r="J16" s="140">
        <f t="shared" si="1"/>
        <v>0</v>
      </c>
      <c r="K16" s="140"/>
      <c r="L16" s="140"/>
      <c r="M16" s="140"/>
      <c r="N16" s="143" t="str">
        <f t="shared" si="2"/>
        <v/>
      </c>
      <c r="O16" s="163">
        <f t="shared" si="3"/>
        <v>0</v>
      </c>
      <c r="P16" s="150">
        <f t="shared" si="4"/>
        <v>0</v>
      </c>
    </row>
    <row r="17" spans="1:16" ht="13.9">
      <c r="A17" s="139"/>
      <c r="B17" s="140"/>
      <c r="C17" s="140"/>
      <c r="D17" s="140"/>
      <c r="E17" s="140"/>
      <c r="F17" s="140"/>
      <c r="G17" s="140"/>
      <c r="H17" s="140"/>
      <c r="I17" s="140"/>
      <c r="J17" s="140">
        <f t="shared" si="1"/>
        <v>0</v>
      </c>
      <c r="K17" s="140"/>
      <c r="L17" s="140"/>
      <c r="M17" s="140"/>
      <c r="N17" s="143" t="str">
        <f t="shared" si="2"/>
        <v/>
      </c>
      <c r="O17" s="163">
        <f t="shared" si="3"/>
        <v>0</v>
      </c>
      <c r="P17" s="150">
        <f t="shared" si="4"/>
        <v>0</v>
      </c>
    </row>
    <row r="18" spans="1:16" ht="13.9">
      <c r="A18" s="139"/>
      <c r="B18" s="140"/>
      <c r="C18" s="140"/>
      <c r="D18" s="140"/>
      <c r="E18" s="140"/>
      <c r="F18" s="140"/>
      <c r="G18" s="140"/>
      <c r="H18" s="140"/>
      <c r="I18" s="140"/>
      <c r="J18" s="140">
        <f t="shared" si="1"/>
        <v>0</v>
      </c>
      <c r="K18" s="140"/>
      <c r="L18" s="140"/>
      <c r="M18" s="140"/>
      <c r="N18" s="143" t="str">
        <f t="shared" si="2"/>
        <v/>
      </c>
      <c r="O18" s="163">
        <f t="shared" si="3"/>
        <v>0</v>
      </c>
      <c r="P18" s="150">
        <f t="shared" si="4"/>
        <v>0</v>
      </c>
    </row>
    <row r="19" spans="1:16" ht="13.9">
      <c r="A19" s="139"/>
      <c r="B19" s="140"/>
      <c r="C19" s="140"/>
      <c r="D19" s="140"/>
      <c r="E19" s="140"/>
      <c r="F19" s="140"/>
      <c r="G19" s="140"/>
      <c r="H19" s="140"/>
      <c r="I19" s="140"/>
      <c r="J19" s="140">
        <f t="shared" si="1"/>
        <v>0</v>
      </c>
      <c r="K19" s="140"/>
      <c r="L19" s="140"/>
      <c r="M19" s="140"/>
      <c r="N19" s="143" t="str">
        <f t="shared" si="2"/>
        <v/>
      </c>
      <c r="O19" s="163">
        <f t="shared" si="3"/>
        <v>0</v>
      </c>
      <c r="P19" s="150">
        <f t="shared" si="4"/>
        <v>0</v>
      </c>
    </row>
    <row r="20" spans="1:16" ht="13.9">
      <c r="A20" s="139"/>
      <c r="B20" s="145"/>
      <c r="C20" s="140"/>
      <c r="D20" s="145"/>
      <c r="E20" s="145"/>
      <c r="F20" s="145"/>
      <c r="G20" s="145"/>
      <c r="H20" s="145"/>
      <c r="I20" s="145"/>
      <c r="J20" s="145">
        <f t="shared" si="1"/>
        <v>0</v>
      </c>
      <c r="K20" s="145"/>
      <c r="L20" s="145"/>
      <c r="M20" s="145"/>
      <c r="N20" s="143" t="str">
        <f t="shared" si="2"/>
        <v/>
      </c>
      <c r="O20" s="168">
        <f t="shared" si="3"/>
        <v>0</v>
      </c>
      <c r="P20" s="150">
        <f t="shared" si="4"/>
        <v>0</v>
      </c>
    </row>
    <row r="21" spans="1:16" ht="13.9">
      <c r="A21" s="144"/>
      <c r="B21" s="140"/>
      <c r="C21" s="140"/>
      <c r="D21" s="140"/>
      <c r="E21" s="140"/>
      <c r="F21" s="140"/>
      <c r="G21" s="140"/>
      <c r="H21" s="140"/>
      <c r="I21" s="140"/>
      <c r="J21" s="140">
        <f t="shared" si="1"/>
        <v>0</v>
      </c>
      <c r="K21" s="140"/>
      <c r="L21" s="140"/>
      <c r="M21" s="140"/>
      <c r="N21" s="143" t="str">
        <f t="shared" si="2"/>
        <v/>
      </c>
      <c r="O21" s="163">
        <f t="shared" si="3"/>
        <v>0</v>
      </c>
      <c r="P21" s="150">
        <f t="shared" si="4"/>
        <v>0</v>
      </c>
    </row>
    <row r="22" spans="1:16" ht="13.9">
      <c r="A22" s="169"/>
      <c r="B22" s="150"/>
      <c r="C22" s="140"/>
      <c r="D22" s="150"/>
      <c r="E22" s="150"/>
      <c r="F22" s="150"/>
      <c r="G22" s="150"/>
      <c r="H22" s="150"/>
      <c r="I22" s="150"/>
      <c r="J22" s="145">
        <f t="shared" si="1"/>
        <v>0</v>
      </c>
      <c r="K22" s="150"/>
      <c r="L22" s="150"/>
      <c r="M22" s="150"/>
      <c r="N22" s="143" t="str">
        <f t="shared" si="2"/>
        <v/>
      </c>
      <c r="O22" s="163">
        <f t="shared" si="3"/>
        <v>0</v>
      </c>
      <c r="P22" s="150">
        <f t="shared" si="4"/>
        <v>0</v>
      </c>
    </row>
    <row r="23" spans="1:16" ht="13.9">
      <c r="A23" s="169"/>
      <c r="B23" s="150"/>
      <c r="C23" s="140"/>
      <c r="D23" s="150"/>
      <c r="E23" s="150"/>
      <c r="F23" s="150"/>
      <c r="G23" s="150"/>
      <c r="H23" s="150"/>
      <c r="I23" s="150"/>
      <c r="J23" s="140">
        <f t="shared" si="1"/>
        <v>0</v>
      </c>
      <c r="K23" s="150"/>
      <c r="L23" s="150"/>
      <c r="M23" s="150"/>
      <c r="N23" s="143" t="str">
        <f t="shared" si="2"/>
        <v/>
      </c>
      <c r="O23" s="163">
        <f t="shared" si="3"/>
        <v>0</v>
      </c>
      <c r="P23" s="150">
        <f t="shared" si="4"/>
        <v>0</v>
      </c>
    </row>
    <row r="24" spans="1:16" ht="13.9">
      <c r="A24" s="169"/>
      <c r="B24" s="150"/>
      <c r="C24" s="140"/>
      <c r="D24" s="150"/>
      <c r="E24" s="150"/>
      <c r="F24" s="150"/>
      <c r="G24" s="150"/>
      <c r="H24" s="150"/>
      <c r="I24" s="150"/>
      <c r="J24" s="145">
        <f t="shared" si="1"/>
        <v>0</v>
      </c>
      <c r="K24" s="150"/>
      <c r="L24" s="150"/>
      <c r="M24" s="150"/>
      <c r="N24" s="143" t="str">
        <f t="shared" si="2"/>
        <v/>
      </c>
      <c r="O24" s="163">
        <f t="shared" si="3"/>
        <v>0</v>
      </c>
      <c r="P24" s="150">
        <f t="shared" si="4"/>
        <v>0</v>
      </c>
    </row>
    <row r="25" spans="1:16" ht="13.9">
      <c r="A25" s="169"/>
      <c r="B25" s="150"/>
      <c r="C25" s="140"/>
      <c r="D25" s="150"/>
      <c r="E25" s="150"/>
      <c r="F25" s="150"/>
      <c r="G25" s="150"/>
      <c r="H25" s="150"/>
      <c r="I25" s="150"/>
      <c r="J25" s="140">
        <f t="shared" si="1"/>
        <v>0</v>
      </c>
      <c r="K25" s="150"/>
      <c r="L25" s="150"/>
      <c r="M25" s="150"/>
      <c r="N25" s="143" t="str">
        <f t="shared" si="2"/>
        <v/>
      </c>
      <c r="O25" s="163">
        <f t="shared" si="3"/>
        <v>0</v>
      </c>
      <c r="P25" s="150">
        <f t="shared" si="4"/>
        <v>0</v>
      </c>
    </row>
    <row r="26" spans="1:16" ht="13.9">
      <c r="A26" s="169"/>
      <c r="B26" s="150"/>
      <c r="C26" s="140"/>
      <c r="D26" s="150"/>
      <c r="E26" s="150"/>
      <c r="F26" s="150"/>
      <c r="G26" s="150"/>
      <c r="H26" s="150"/>
      <c r="I26" s="150"/>
      <c r="J26" s="145">
        <f t="shared" si="1"/>
        <v>0</v>
      </c>
      <c r="K26" s="150"/>
      <c r="L26" s="150"/>
      <c r="M26" s="150"/>
      <c r="N26" s="143" t="str">
        <f t="shared" si="2"/>
        <v/>
      </c>
      <c r="O26" s="163">
        <f t="shared" si="3"/>
        <v>0</v>
      </c>
      <c r="P26" s="150">
        <f t="shared" si="4"/>
        <v>0</v>
      </c>
    </row>
    <row r="27" spans="1:16" ht="13.9">
      <c r="A27" s="169"/>
      <c r="B27" s="150"/>
      <c r="C27" s="140"/>
      <c r="D27" s="150"/>
      <c r="E27" s="150"/>
      <c r="F27" s="150"/>
      <c r="G27" s="150"/>
      <c r="H27" s="150"/>
      <c r="I27" s="150"/>
      <c r="J27" s="140">
        <f t="shared" si="1"/>
        <v>0</v>
      </c>
      <c r="K27" s="150"/>
      <c r="L27" s="150"/>
      <c r="M27" s="150"/>
      <c r="N27" s="143" t="str">
        <f t="shared" si="2"/>
        <v/>
      </c>
      <c r="O27" s="163">
        <f t="shared" si="3"/>
        <v>0</v>
      </c>
      <c r="P27" s="150">
        <f t="shared" si="4"/>
        <v>0</v>
      </c>
    </row>
    <row r="28" spans="1:16" ht="13.9">
      <c r="A28" s="169"/>
      <c r="B28" s="150"/>
      <c r="C28" s="140"/>
      <c r="D28" s="150"/>
      <c r="E28" s="150"/>
      <c r="F28" s="150"/>
      <c r="G28" s="150"/>
      <c r="H28" s="150"/>
      <c r="I28" s="150"/>
      <c r="J28" s="145">
        <f t="shared" si="1"/>
        <v>0</v>
      </c>
      <c r="K28" s="150"/>
      <c r="L28" s="150"/>
      <c r="M28" s="150"/>
      <c r="N28" s="143" t="str">
        <f t="shared" si="2"/>
        <v/>
      </c>
      <c r="O28" s="163">
        <f t="shared" si="3"/>
        <v>0</v>
      </c>
      <c r="P28" s="150">
        <f t="shared" si="4"/>
        <v>0</v>
      </c>
    </row>
    <row r="29" spans="1:16" ht="13.9">
      <c r="A29" s="169"/>
      <c r="B29" s="150"/>
      <c r="C29" s="140"/>
      <c r="D29" s="150"/>
      <c r="E29" s="150"/>
      <c r="F29" s="150"/>
      <c r="G29" s="150"/>
      <c r="H29" s="150"/>
      <c r="I29" s="150"/>
      <c r="J29" s="140">
        <f t="shared" si="1"/>
        <v>0</v>
      </c>
      <c r="K29" s="150"/>
      <c r="L29" s="150"/>
      <c r="M29" s="150"/>
      <c r="N29" s="143" t="str">
        <f t="shared" si="2"/>
        <v/>
      </c>
      <c r="O29" s="163">
        <f t="shared" si="3"/>
        <v>0</v>
      </c>
      <c r="P29" s="150">
        <f t="shared" si="4"/>
        <v>0</v>
      </c>
    </row>
    <row r="30" spans="1:16" ht="13.9">
      <c r="A30" s="169"/>
      <c r="B30" s="150"/>
      <c r="C30" s="140"/>
      <c r="D30" s="150"/>
      <c r="E30" s="150"/>
      <c r="F30" s="150"/>
      <c r="G30" s="150"/>
      <c r="H30" s="150"/>
      <c r="I30" s="150"/>
      <c r="J30" s="145">
        <f t="shared" si="1"/>
        <v>0</v>
      </c>
      <c r="K30" s="150"/>
      <c r="L30" s="150"/>
      <c r="M30" s="150"/>
      <c r="N30" s="143" t="str">
        <f t="shared" si="2"/>
        <v/>
      </c>
      <c r="O30" s="163">
        <f t="shared" si="3"/>
        <v>0</v>
      </c>
      <c r="P30" s="150">
        <f t="shared" si="4"/>
        <v>0</v>
      </c>
    </row>
    <row r="31" spans="1:16" ht="13.9">
      <c r="A31" s="169"/>
      <c r="B31" s="150"/>
      <c r="C31" s="140"/>
      <c r="D31" s="150"/>
      <c r="E31" s="150"/>
      <c r="F31" s="150"/>
      <c r="G31" s="150"/>
      <c r="H31" s="150"/>
      <c r="I31" s="150"/>
      <c r="J31" s="140">
        <f t="shared" si="1"/>
        <v>0</v>
      </c>
      <c r="K31" s="150"/>
      <c r="L31" s="150"/>
      <c r="M31" s="150"/>
      <c r="N31" s="143" t="str">
        <f t="shared" si="2"/>
        <v/>
      </c>
      <c r="O31" s="163">
        <f t="shared" si="3"/>
        <v>0</v>
      </c>
      <c r="P31" s="150">
        <f t="shared" si="4"/>
        <v>0</v>
      </c>
    </row>
    <row r="32" spans="1:16" ht="13.9">
      <c r="A32" s="169"/>
      <c r="B32" s="150"/>
      <c r="C32" s="140"/>
      <c r="D32" s="150"/>
      <c r="E32" s="150"/>
      <c r="F32" s="150"/>
      <c r="G32" s="150"/>
      <c r="H32" s="150"/>
      <c r="I32" s="150"/>
      <c r="J32" s="145">
        <f t="shared" si="1"/>
        <v>0</v>
      </c>
      <c r="K32" s="150"/>
      <c r="L32" s="150"/>
      <c r="M32" s="150"/>
      <c r="N32" s="143" t="str">
        <f t="shared" si="2"/>
        <v/>
      </c>
      <c r="O32" s="163">
        <f t="shared" si="3"/>
        <v>0</v>
      </c>
      <c r="P32" s="150">
        <f t="shared" si="4"/>
        <v>0</v>
      </c>
    </row>
    <row r="33" spans="1:16" ht="13.9">
      <c r="A33" s="169"/>
      <c r="B33" s="150"/>
      <c r="C33" s="140"/>
      <c r="D33" s="150"/>
      <c r="E33" s="150"/>
      <c r="F33" s="150"/>
      <c r="G33" s="150"/>
      <c r="H33" s="150"/>
      <c r="I33" s="150"/>
      <c r="J33" s="140">
        <f t="shared" si="1"/>
        <v>0</v>
      </c>
      <c r="K33" s="150"/>
      <c r="L33" s="150"/>
      <c r="M33" s="150"/>
      <c r="N33" s="143" t="str">
        <f t="shared" si="2"/>
        <v/>
      </c>
      <c r="O33" s="163">
        <f t="shared" si="3"/>
        <v>0</v>
      </c>
      <c r="P33" s="150">
        <f t="shared" si="4"/>
        <v>0</v>
      </c>
    </row>
    <row r="34" spans="1:16" ht="13.9">
      <c r="A34" s="169"/>
      <c r="B34" s="150"/>
      <c r="C34" s="140"/>
      <c r="D34" s="150"/>
      <c r="E34" s="150"/>
      <c r="F34" s="150"/>
      <c r="G34" s="150"/>
      <c r="H34" s="150"/>
      <c r="I34" s="150"/>
      <c r="J34" s="145">
        <f t="shared" si="1"/>
        <v>0</v>
      </c>
      <c r="K34" s="150"/>
      <c r="L34" s="150"/>
      <c r="M34" s="150"/>
      <c r="N34" s="143" t="str">
        <f t="shared" si="2"/>
        <v/>
      </c>
      <c r="O34" s="163">
        <f t="shared" si="3"/>
        <v>0</v>
      </c>
      <c r="P34" s="150">
        <f t="shared" si="4"/>
        <v>0</v>
      </c>
    </row>
    <row r="35" spans="1:16" ht="13.9">
      <c r="A35" s="169"/>
      <c r="B35" s="150"/>
      <c r="C35" s="140"/>
      <c r="D35" s="150"/>
      <c r="E35" s="150"/>
      <c r="F35" s="150"/>
      <c r="G35" s="150"/>
      <c r="H35" s="150"/>
      <c r="I35" s="150"/>
      <c r="J35" s="140">
        <f t="shared" si="1"/>
        <v>0</v>
      </c>
      <c r="K35" s="150"/>
      <c r="L35" s="150"/>
      <c r="M35" s="150"/>
      <c r="N35" s="143" t="str">
        <f t="shared" si="2"/>
        <v/>
      </c>
      <c r="O35" s="163">
        <f t="shared" si="3"/>
        <v>0</v>
      </c>
      <c r="P35" s="150">
        <f t="shared" si="4"/>
        <v>0</v>
      </c>
    </row>
    <row r="36" spans="1:16" ht="13.9">
      <c r="A36" s="169"/>
      <c r="B36" s="150"/>
      <c r="C36" s="140"/>
      <c r="D36" s="150"/>
      <c r="E36" s="150"/>
      <c r="F36" s="150"/>
      <c r="G36" s="150"/>
      <c r="H36" s="150"/>
      <c r="I36" s="150"/>
      <c r="J36" s="145">
        <f t="shared" si="1"/>
        <v>0</v>
      </c>
      <c r="K36" s="150"/>
      <c r="L36" s="150"/>
      <c r="M36" s="150"/>
      <c r="N36" s="143" t="str">
        <f t="shared" si="2"/>
        <v/>
      </c>
      <c r="O36" s="163">
        <f t="shared" si="3"/>
        <v>0</v>
      </c>
      <c r="P36" s="150">
        <f t="shared" si="4"/>
        <v>0</v>
      </c>
    </row>
    <row r="37" spans="1:16" ht="13.9">
      <c r="A37" s="169"/>
      <c r="B37" s="150"/>
      <c r="C37" s="140"/>
      <c r="D37" s="150"/>
      <c r="E37" s="150"/>
      <c r="F37" s="150"/>
      <c r="G37" s="150"/>
      <c r="H37" s="150"/>
      <c r="I37" s="150"/>
      <c r="J37" s="140">
        <f t="shared" si="1"/>
        <v>0</v>
      </c>
      <c r="K37" s="150"/>
      <c r="L37" s="150"/>
      <c r="M37" s="150"/>
      <c r="N37" s="143" t="str">
        <f t="shared" si="2"/>
        <v/>
      </c>
      <c r="O37" s="163">
        <f t="shared" si="3"/>
        <v>0</v>
      </c>
      <c r="P37" s="150">
        <f t="shared" si="4"/>
        <v>0</v>
      </c>
    </row>
    <row r="38" spans="1:16" ht="13.9">
      <c r="A38" s="169"/>
      <c r="B38" s="150"/>
      <c r="C38" s="140"/>
      <c r="D38" s="150"/>
      <c r="E38" s="150"/>
      <c r="F38" s="150"/>
      <c r="G38" s="150"/>
      <c r="H38" s="150"/>
      <c r="I38" s="150"/>
      <c r="J38" s="145">
        <f t="shared" si="1"/>
        <v>0</v>
      </c>
      <c r="K38" s="150"/>
      <c r="L38" s="150"/>
      <c r="M38" s="150"/>
      <c r="N38" s="143" t="str">
        <f t="shared" si="2"/>
        <v/>
      </c>
      <c r="O38" s="163">
        <f t="shared" si="3"/>
        <v>0</v>
      </c>
      <c r="P38" s="150">
        <f t="shared" si="4"/>
        <v>0</v>
      </c>
    </row>
    <row r="39" spans="1:16" ht="13.9">
      <c r="A39" s="169"/>
      <c r="B39" s="150"/>
      <c r="C39" s="140"/>
      <c r="D39" s="150"/>
      <c r="E39" s="150"/>
      <c r="F39" s="150"/>
      <c r="G39" s="150"/>
      <c r="H39" s="150"/>
      <c r="I39" s="150"/>
      <c r="J39" s="140">
        <f t="shared" si="1"/>
        <v>0</v>
      </c>
      <c r="K39" s="150"/>
      <c r="L39" s="150"/>
      <c r="M39" s="150"/>
      <c r="N39" s="143" t="str">
        <f t="shared" si="2"/>
        <v/>
      </c>
      <c r="O39" s="163">
        <f t="shared" si="3"/>
        <v>0</v>
      </c>
      <c r="P39" s="150">
        <f t="shared" si="4"/>
        <v>0</v>
      </c>
    </row>
    <row r="40" spans="1:16" ht="13.9">
      <c r="A40" s="169"/>
      <c r="B40" s="150"/>
      <c r="C40" s="140"/>
      <c r="D40" s="150"/>
      <c r="E40" s="150"/>
      <c r="F40" s="150"/>
      <c r="G40" s="150"/>
      <c r="H40" s="150"/>
      <c r="I40" s="150"/>
      <c r="J40" s="145">
        <f t="shared" si="1"/>
        <v>0</v>
      </c>
      <c r="K40" s="150"/>
      <c r="L40" s="150"/>
      <c r="M40" s="150"/>
      <c r="N40" s="143" t="str">
        <f t="shared" si="2"/>
        <v/>
      </c>
      <c r="O40" s="163">
        <f t="shared" si="3"/>
        <v>0</v>
      </c>
      <c r="P40" s="150">
        <f t="shared" si="4"/>
        <v>0</v>
      </c>
    </row>
    <row r="41" spans="1:16" ht="13.9">
      <c r="A41" s="169"/>
      <c r="B41" s="150"/>
      <c r="C41" s="140"/>
      <c r="D41" s="150"/>
      <c r="E41" s="150"/>
      <c r="F41" s="150"/>
      <c r="G41" s="150"/>
      <c r="H41" s="150"/>
      <c r="I41" s="150"/>
      <c r="J41" s="140">
        <f t="shared" si="1"/>
        <v>0</v>
      </c>
      <c r="K41" s="150"/>
      <c r="L41" s="150"/>
      <c r="M41" s="150"/>
      <c r="N41" s="143" t="str">
        <f t="shared" si="2"/>
        <v/>
      </c>
      <c r="O41" s="163">
        <f t="shared" si="3"/>
        <v>0</v>
      </c>
      <c r="P41" s="150">
        <f t="shared" si="4"/>
        <v>0</v>
      </c>
    </row>
    <row r="42" spans="1:16">
      <c r="A42" s="169"/>
      <c r="B42" s="150"/>
      <c r="C42" s="140"/>
      <c r="D42" s="150"/>
      <c r="E42" s="150"/>
      <c r="F42" s="150"/>
      <c r="G42" s="150"/>
      <c r="H42" s="150"/>
      <c r="I42" s="150"/>
      <c r="J42" s="140">
        <f>SUM(F42:I42)</f>
        <v>0</v>
      </c>
      <c r="K42" s="150"/>
      <c r="L42" s="150"/>
      <c r="M42" s="150"/>
      <c r="N42" s="143" t="str">
        <f t="shared" si="2"/>
        <v/>
      </c>
      <c r="O42" s="163">
        <f t="shared" si="3"/>
        <v>0</v>
      </c>
      <c r="P42" s="150">
        <f t="shared" si="4"/>
        <v>0</v>
      </c>
    </row>
    <row r="43" spans="1:16">
      <c r="A43" s="169"/>
      <c r="B43" s="150"/>
      <c r="C43" s="140"/>
      <c r="D43" s="150"/>
      <c r="E43" s="150"/>
      <c r="F43" s="150"/>
      <c r="G43" s="150"/>
      <c r="H43" s="150"/>
      <c r="I43" s="150"/>
      <c r="J43" s="140">
        <f>SUM(F43:I43)</f>
        <v>0</v>
      </c>
      <c r="K43" s="150"/>
      <c r="L43" s="150"/>
      <c r="M43" s="150"/>
      <c r="N43" s="143" t="str">
        <f t="shared" si="2"/>
        <v/>
      </c>
      <c r="O43" s="163">
        <f t="shared" si="3"/>
        <v>0</v>
      </c>
      <c r="P43" s="150">
        <f t="shared" si="4"/>
        <v>0</v>
      </c>
    </row>
    <row r="44" spans="1:16">
      <c r="A44" s="169"/>
      <c r="B44" s="150"/>
      <c r="C44" s="140"/>
      <c r="D44" s="150"/>
      <c r="E44" s="150"/>
      <c r="F44" s="150"/>
      <c r="G44" s="150"/>
      <c r="H44" s="150"/>
      <c r="I44" s="150"/>
      <c r="J44" s="140">
        <f>SUM(F44:I44)</f>
        <v>0</v>
      </c>
      <c r="K44" s="150"/>
      <c r="L44" s="150"/>
      <c r="M44" s="150"/>
      <c r="N44" s="143" t="str">
        <f t="shared" si="2"/>
        <v/>
      </c>
      <c r="O44" s="163">
        <f t="shared" si="3"/>
        <v>0</v>
      </c>
      <c r="P44" s="150">
        <f t="shared" si="4"/>
        <v>0</v>
      </c>
    </row>
    <row r="45" spans="1:16">
      <c r="A45" s="150"/>
      <c r="B45" s="150"/>
      <c r="C45" s="140"/>
      <c r="D45" s="150"/>
      <c r="E45" s="150"/>
      <c r="F45" s="150"/>
      <c r="G45" s="150"/>
      <c r="H45" s="150"/>
      <c r="I45" s="150"/>
      <c r="J45" s="140">
        <f>SUM(F45:I45)</f>
        <v>0</v>
      </c>
      <c r="K45" s="150"/>
      <c r="L45" s="150"/>
      <c r="M45" s="150"/>
      <c r="N45" s="143" t="str">
        <f t="shared" si="2"/>
        <v/>
      </c>
      <c r="O45" s="163">
        <f t="shared" si="3"/>
        <v>0</v>
      </c>
      <c r="P45" s="150">
        <f t="shared" si="4"/>
        <v>0</v>
      </c>
    </row>
    <row r="46" spans="1:16">
      <c r="A46" s="150"/>
      <c r="B46" s="150"/>
      <c r="C46" s="14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43" t="str">
        <f t="shared" si="2"/>
        <v/>
      </c>
      <c r="O46" s="163">
        <f t="shared" si="3"/>
        <v>0</v>
      </c>
      <c r="P46" s="150">
        <f t="shared" si="4"/>
        <v>0</v>
      </c>
    </row>
    <row r="47" spans="1:16">
      <c r="A47" s="150"/>
      <c r="B47" s="150"/>
      <c r="C47" s="14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43" t="str">
        <f t="shared" si="2"/>
        <v/>
      </c>
      <c r="O47" s="163">
        <f t="shared" si="3"/>
        <v>0</v>
      </c>
      <c r="P47" s="150">
        <f t="shared" si="4"/>
        <v>0</v>
      </c>
    </row>
    <row r="48" spans="1:16">
      <c r="A48" s="150"/>
      <c r="B48" s="150"/>
      <c r="C48" s="14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43" t="str">
        <f t="shared" si="2"/>
        <v/>
      </c>
      <c r="O48" s="163">
        <f t="shared" si="3"/>
        <v>0</v>
      </c>
      <c r="P48" s="150">
        <f t="shared" si="4"/>
        <v>0</v>
      </c>
    </row>
    <row r="49" spans="1:16">
      <c r="A49" s="150"/>
      <c r="B49" s="150"/>
      <c r="C49" s="14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43" t="str">
        <f t="shared" si="2"/>
        <v/>
      </c>
      <c r="O49" s="163">
        <f t="shared" si="3"/>
        <v>0</v>
      </c>
      <c r="P49" s="150">
        <f t="shared" si="4"/>
        <v>0</v>
      </c>
    </row>
    <row r="50" spans="1:16">
      <c r="A50" s="150"/>
      <c r="B50" s="150"/>
      <c r="C50" s="14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43" t="str">
        <f t="shared" si="2"/>
        <v/>
      </c>
      <c r="O50" s="163">
        <f t="shared" si="3"/>
        <v>0</v>
      </c>
      <c r="P50" s="150">
        <f t="shared" si="4"/>
        <v>0</v>
      </c>
    </row>
    <row r="51" spans="1:16">
      <c r="A51" s="150"/>
      <c r="B51" s="150"/>
      <c r="C51" s="14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43" t="str">
        <f t="shared" si="2"/>
        <v/>
      </c>
      <c r="O51" s="163">
        <f t="shared" si="3"/>
        <v>0</v>
      </c>
      <c r="P51" s="150">
        <f t="shared" si="4"/>
        <v>0</v>
      </c>
    </row>
    <row r="52" spans="1:16">
      <c r="A52" s="150"/>
      <c r="B52" s="150"/>
      <c r="C52" s="14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43" t="str">
        <f t="shared" si="2"/>
        <v/>
      </c>
      <c r="O52" s="163">
        <f t="shared" si="3"/>
        <v>0</v>
      </c>
      <c r="P52" s="150">
        <f t="shared" si="4"/>
        <v>0</v>
      </c>
    </row>
    <row r="53" spans="1:16" ht="13.9">
      <c r="A53" s="150"/>
      <c r="B53" s="150"/>
      <c r="C53" s="14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43" t="str">
        <f t="shared" si="2"/>
        <v/>
      </c>
      <c r="O53" s="150"/>
      <c r="P53" s="150"/>
    </row>
    <row r="54" spans="1:16" ht="13.9">
      <c r="A54" s="150"/>
      <c r="B54" s="150"/>
      <c r="C54" s="14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43" t="str">
        <f t="shared" si="2"/>
        <v/>
      </c>
      <c r="O54" s="150"/>
      <c r="P54" s="150"/>
    </row>
    <row r="55" spans="1:16" ht="13.9">
      <c r="A55" s="150"/>
      <c r="B55" s="150"/>
      <c r="C55" s="14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43" t="str">
        <f t="shared" si="2"/>
        <v/>
      </c>
      <c r="O55" s="150"/>
      <c r="P55" s="150"/>
    </row>
    <row r="56" spans="1:16" ht="13.9">
      <c r="A56" s="150"/>
      <c r="B56" s="150"/>
      <c r="C56" s="14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43" t="str">
        <f t="shared" si="2"/>
        <v/>
      </c>
      <c r="O56" s="150"/>
      <c r="P56" s="150"/>
    </row>
    <row r="57" spans="1:16" ht="13.9">
      <c r="A57" s="150"/>
      <c r="B57" s="150"/>
      <c r="C57" s="14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43" t="str">
        <f t="shared" si="2"/>
        <v/>
      </c>
      <c r="O57" s="150"/>
      <c r="P57" s="150"/>
    </row>
    <row r="58" spans="1:16" ht="13.9">
      <c r="A58" s="150"/>
      <c r="B58" s="150"/>
      <c r="C58" s="14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43" t="str">
        <f t="shared" si="2"/>
        <v/>
      </c>
      <c r="O58" s="150"/>
      <c r="P58" s="150"/>
    </row>
    <row r="59" spans="1:16" ht="13.9">
      <c r="A59" s="150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43" t="str">
        <f t="shared" si="2"/>
        <v/>
      </c>
      <c r="O59" s="150"/>
      <c r="P59" s="150"/>
    </row>
    <row r="60" spans="1:16" ht="13.9">
      <c r="A60" s="150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43" t="str">
        <f t="shared" si="2"/>
        <v/>
      </c>
      <c r="O60" s="150"/>
      <c r="P60" s="150"/>
    </row>
  </sheetData>
  <autoFilter ref="A5:P60" xr:uid="{0EFE4DD3-A387-4949-8297-F6DD493BC6ED}">
    <filterColumn colId="2">
      <filters blank="1">
        <filter val="C6 New Plant"/>
      </filters>
    </filterColumn>
  </autoFilter>
  <mergeCells count="15">
    <mergeCell ref="A2:N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dataValidations count="2">
    <dataValidation type="list" allowBlank="1" showInputMessage="1" showErrorMessage="1" sqref="C6:C58" xr:uid="{6EE4E24F-4568-446B-9F72-E432BAB3C035}">
      <formula1>"C6 New Plant,C6 Old Plant"</formula1>
    </dataValidation>
    <dataValidation type="list" allowBlank="1" showInputMessage="1" showErrorMessage="1" sqref="M6:M21" xr:uid="{43D69D06-72DA-4BA4-8BFA-CC15B9B3AA0B}">
      <formula1>"Day,Night"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28B2-C1FB-44A8-BE0A-76431EDDE8D5}">
  <sheetPr>
    <tabColor rgb="FFFFFF00"/>
  </sheetPr>
  <dimension ref="A2:P43"/>
  <sheetViews>
    <sheetView zoomScaleNormal="60" zoomScaleSheetLayoutView="100" workbookViewId="0">
      <pane ySplit="5" topLeftCell="A6" activePane="bottomLeft" state="frozen"/>
      <selection pane="bottomLeft" activeCell="S60" sqref="S60:S62"/>
    </sheetView>
  </sheetViews>
  <sheetFormatPr defaultColWidth="8.85546875" defaultRowHeight="12.75"/>
  <cols>
    <col min="1" max="1" width="13.42578125" style="148" customWidth="1"/>
    <col min="2" max="2" width="14.140625" style="148" customWidth="1"/>
    <col min="3" max="3" width="10" style="148" customWidth="1"/>
    <col min="4" max="4" width="13.7109375" style="148" customWidth="1"/>
    <col min="5" max="5" width="13.140625" style="148" customWidth="1"/>
    <col min="6" max="6" width="13.7109375" style="148" customWidth="1"/>
    <col min="7" max="7" width="12.140625" style="148" customWidth="1"/>
    <col min="8" max="9" width="10.28515625" style="148" customWidth="1"/>
    <col min="10" max="10" width="12.140625" style="148" customWidth="1"/>
    <col min="11" max="16" width="10.28515625" style="148" customWidth="1"/>
    <col min="17" max="16384" width="8.85546875" style="148"/>
  </cols>
  <sheetData>
    <row r="2" spans="1:16" ht="30" customHeight="1">
      <c r="A2" s="293" t="s">
        <v>40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5"/>
      <c r="O2" s="138"/>
      <c r="P2" s="138"/>
    </row>
    <row r="3" spans="1:16" ht="30" customHeight="1">
      <c r="A3" s="177"/>
      <c r="B3" s="179"/>
      <c r="C3" s="179"/>
      <c r="D3" s="179"/>
      <c r="E3" s="178">
        <f>SUBTOTAL(9,E6:E43)</f>
        <v>92450</v>
      </c>
      <c r="F3" s="178">
        <f t="shared" ref="F3:K3" si="0">SUBTOTAL(9,F6:F43)</f>
        <v>225</v>
      </c>
      <c r="G3" s="178">
        <f t="shared" si="0"/>
        <v>2424</v>
      </c>
      <c r="H3" s="178">
        <f t="shared" si="0"/>
        <v>230</v>
      </c>
      <c r="I3" s="178">
        <f t="shared" si="0"/>
        <v>3686</v>
      </c>
      <c r="J3" s="178">
        <f t="shared" si="0"/>
        <v>6565</v>
      </c>
      <c r="K3" s="178">
        <f t="shared" si="0"/>
        <v>85885</v>
      </c>
      <c r="L3" s="178"/>
      <c r="M3" s="178"/>
      <c r="N3" s="178">
        <f>K3/E3*100</f>
        <v>92.89886425094646</v>
      </c>
      <c r="O3" s="138"/>
      <c r="P3" s="138"/>
    </row>
    <row r="4" spans="1:16" ht="28.15" customHeight="1">
      <c r="A4" s="296" t="s">
        <v>25</v>
      </c>
      <c r="B4" s="298" t="s">
        <v>26</v>
      </c>
      <c r="C4" s="300" t="s">
        <v>27</v>
      </c>
      <c r="D4" s="300" t="s">
        <v>22</v>
      </c>
      <c r="E4" s="302" t="s">
        <v>168</v>
      </c>
      <c r="F4" s="302" t="s">
        <v>169</v>
      </c>
      <c r="G4" s="302" t="s">
        <v>170</v>
      </c>
      <c r="H4" s="302" t="s">
        <v>171</v>
      </c>
      <c r="I4" s="302" t="s">
        <v>172</v>
      </c>
      <c r="J4" s="300" t="s">
        <v>173</v>
      </c>
      <c r="K4" s="300" t="s">
        <v>174</v>
      </c>
      <c r="L4" s="300" t="s">
        <v>35</v>
      </c>
      <c r="M4" s="300" t="s">
        <v>36</v>
      </c>
      <c r="N4" s="303" t="s">
        <v>37</v>
      </c>
      <c r="O4" s="300" t="s">
        <v>38</v>
      </c>
      <c r="P4" s="304" t="s">
        <v>39</v>
      </c>
    </row>
    <row r="5" spans="1:16" ht="22.15" customHeight="1">
      <c r="A5" s="297"/>
      <c r="B5" s="299"/>
      <c r="C5" s="301"/>
      <c r="D5" s="301"/>
      <c r="E5" s="301"/>
      <c r="F5" s="302"/>
      <c r="G5" s="302"/>
      <c r="H5" s="302"/>
      <c r="I5" s="302"/>
      <c r="J5" s="301"/>
      <c r="K5" s="301"/>
      <c r="L5" s="301"/>
      <c r="M5" s="301"/>
      <c r="N5" s="301"/>
      <c r="O5" s="300"/>
      <c r="P5" s="304"/>
    </row>
    <row r="6" spans="1:16">
      <c r="A6" s="206">
        <v>46296</v>
      </c>
      <c r="B6" s="149" t="s">
        <v>127</v>
      </c>
      <c r="C6" s="150" t="s">
        <v>20</v>
      </c>
      <c r="D6" s="150" t="s">
        <v>48</v>
      </c>
      <c r="E6" s="150">
        <v>9800</v>
      </c>
      <c r="F6" s="150">
        <v>19</v>
      </c>
      <c r="G6" s="150">
        <v>345</v>
      </c>
      <c r="H6" s="150">
        <v>19</v>
      </c>
      <c r="I6" s="150">
        <v>267</v>
      </c>
      <c r="J6" s="150">
        <f>IFERROR(F6+G6+H6+I6,"")</f>
        <v>650</v>
      </c>
      <c r="K6" s="150">
        <v>9150</v>
      </c>
      <c r="L6" s="150">
        <v>7</v>
      </c>
      <c r="M6" s="150" t="s">
        <v>49</v>
      </c>
      <c r="N6" s="176">
        <f>IFERROR(K6/E6,"")</f>
        <v>0.93367346938775508</v>
      </c>
      <c r="O6" s="150">
        <f>J6+K6</f>
        <v>9800</v>
      </c>
      <c r="P6" s="150">
        <f>O6-E6</f>
        <v>0</v>
      </c>
    </row>
    <row r="7" spans="1:16">
      <c r="A7" s="206">
        <v>46298</v>
      </c>
      <c r="B7" s="149" t="s">
        <v>127</v>
      </c>
      <c r="C7" s="150" t="s">
        <v>20</v>
      </c>
      <c r="D7" s="150" t="s">
        <v>48</v>
      </c>
      <c r="E7" s="150">
        <v>8400</v>
      </c>
      <c r="F7" s="150">
        <v>16</v>
      </c>
      <c r="G7" s="150">
        <v>216</v>
      </c>
      <c r="H7" s="150">
        <v>15</v>
      </c>
      <c r="I7" s="150">
        <v>373</v>
      </c>
      <c r="J7" s="150">
        <f>IFERROR(F7+G7+H7+I7,"")</f>
        <v>620</v>
      </c>
      <c r="K7" s="150">
        <v>7780</v>
      </c>
      <c r="L7" s="150">
        <v>7</v>
      </c>
      <c r="M7" s="150" t="s">
        <v>49</v>
      </c>
      <c r="N7" s="176">
        <f>IFERROR(K7/E7,"")</f>
        <v>0.92619047619047623</v>
      </c>
      <c r="O7" s="150">
        <f>J7+K7</f>
        <v>8400</v>
      </c>
      <c r="P7" s="150">
        <f>O7-E7</f>
        <v>0</v>
      </c>
    </row>
    <row r="8" spans="1:16">
      <c r="A8" s="206">
        <v>46299</v>
      </c>
      <c r="B8" s="149" t="s">
        <v>127</v>
      </c>
      <c r="C8" s="150" t="s">
        <v>20</v>
      </c>
      <c r="D8" s="150" t="s">
        <v>48</v>
      </c>
      <c r="E8" s="150">
        <v>9500</v>
      </c>
      <c r="F8" s="150">
        <v>29</v>
      </c>
      <c r="G8" s="150">
        <v>249</v>
      </c>
      <c r="H8" s="150">
        <v>25</v>
      </c>
      <c r="I8" s="150">
        <v>397</v>
      </c>
      <c r="J8" s="150">
        <f>IFERROR(F8+G8+H8+I8,"")</f>
        <v>700</v>
      </c>
      <c r="K8" s="150">
        <v>8800</v>
      </c>
      <c r="L8" s="150">
        <v>7</v>
      </c>
      <c r="M8" s="150" t="s">
        <v>49</v>
      </c>
      <c r="N8" s="176">
        <f>IFERROR(K8/E8,"")</f>
        <v>0.9263157894736842</v>
      </c>
      <c r="O8" s="150">
        <f>J8+K8</f>
        <v>9500</v>
      </c>
      <c r="P8" s="150">
        <f>O8-E8</f>
        <v>0</v>
      </c>
    </row>
    <row r="9" spans="1:16">
      <c r="A9" s="206">
        <v>46300</v>
      </c>
      <c r="B9" s="149" t="s">
        <v>127</v>
      </c>
      <c r="C9" s="150" t="s">
        <v>20</v>
      </c>
      <c r="D9" s="150" t="s">
        <v>48</v>
      </c>
      <c r="E9" s="150">
        <v>15500</v>
      </c>
      <c r="F9" s="150">
        <v>38</v>
      </c>
      <c r="G9" s="150">
        <v>315</v>
      </c>
      <c r="H9" s="150">
        <v>38</v>
      </c>
      <c r="I9" s="150">
        <v>894</v>
      </c>
      <c r="J9" s="150">
        <f>IFERROR(F9+G9+H9+I9,"")</f>
        <v>1285</v>
      </c>
      <c r="K9" s="150">
        <v>14215</v>
      </c>
      <c r="L9" s="150">
        <v>7</v>
      </c>
      <c r="M9" s="150" t="s">
        <v>49</v>
      </c>
      <c r="N9" s="176">
        <f>IFERROR(K9/E9,"")</f>
        <v>0.9170967741935484</v>
      </c>
      <c r="O9" s="150">
        <f>J9+K9</f>
        <v>15500</v>
      </c>
      <c r="P9" s="150">
        <f>O9-E9</f>
        <v>0</v>
      </c>
    </row>
    <row r="10" spans="1:16">
      <c r="A10" s="206">
        <v>46301</v>
      </c>
      <c r="B10" s="149" t="s">
        <v>127</v>
      </c>
      <c r="C10" s="150" t="s">
        <v>20</v>
      </c>
      <c r="D10" s="150" t="s">
        <v>48</v>
      </c>
      <c r="E10" s="150">
        <v>8300</v>
      </c>
      <c r="F10" s="150">
        <v>26</v>
      </c>
      <c r="G10" s="150">
        <v>276</v>
      </c>
      <c r="H10" s="150">
        <v>31</v>
      </c>
      <c r="I10" s="150">
        <v>217</v>
      </c>
      <c r="J10" s="150">
        <f>IFERROR(F10+G10+H10+I10,"")</f>
        <v>550</v>
      </c>
      <c r="K10" s="150">
        <v>7750</v>
      </c>
      <c r="L10" s="150">
        <v>7</v>
      </c>
      <c r="M10" s="150" t="s">
        <v>49</v>
      </c>
      <c r="N10" s="176">
        <f>IFERROR(K10/E10,"")</f>
        <v>0.9337349397590361</v>
      </c>
      <c r="O10" s="150">
        <f>J10+K10</f>
        <v>8300</v>
      </c>
      <c r="P10" s="150">
        <f>O10-E10</f>
        <v>0</v>
      </c>
    </row>
    <row r="11" spans="1:16">
      <c r="A11" s="206">
        <v>46302</v>
      </c>
      <c r="B11" s="149" t="s">
        <v>127</v>
      </c>
      <c r="C11" s="150" t="s">
        <v>20</v>
      </c>
      <c r="D11" s="150" t="s">
        <v>48</v>
      </c>
      <c r="E11" s="150">
        <v>13100</v>
      </c>
      <c r="F11" s="150">
        <v>27</v>
      </c>
      <c r="G11" s="150">
        <v>316</v>
      </c>
      <c r="H11" s="150">
        <v>29</v>
      </c>
      <c r="I11" s="150">
        <v>528</v>
      </c>
      <c r="J11" s="150">
        <f>IFERROR(F11+G11+H11+I11,"")</f>
        <v>900</v>
      </c>
      <c r="K11" s="150">
        <v>12200</v>
      </c>
      <c r="L11" s="150">
        <v>7</v>
      </c>
      <c r="M11" s="150" t="s">
        <v>49</v>
      </c>
      <c r="N11" s="176">
        <f>IFERROR(K11/E11,"")</f>
        <v>0.93129770992366412</v>
      </c>
      <c r="O11" s="150">
        <f>J11+K11</f>
        <v>13100</v>
      </c>
      <c r="P11" s="150">
        <f>O11-E11</f>
        <v>0</v>
      </c>
    </row>
    <row r="12" spans="1:16">
      <c r="A12" s="206">
        <v>46303</v>
      </c>
      <c r="B12" s="149" t="s">
        <v>127</v>
      </c>
      <c r="C12" s="150" t="s">
        <v>20</v>
      </c>
      <c r="D12" s="150" t="s">
        <v>48</v>
      </c>
      <c r="E12" s="150">
        <v>17650</v>
      </c>
      <c r="F12" s="150">
        <v>32</v>
      </c>
      <c r="G12" s="150">
        <v>375</v>
      </c>
      <c r="H12" s="150">
        <v>34</v>
      </c>
      <c r="I12" s="150">
        <v>719</v>
      </c>
      <c r="J12" s="150">
        <f>IFERROR(F12+G12+H12+I12,"")</f>
        <v>1160</v>
      </c>
      <c r="K12" s="150">
        <v>16490</v>
      </c>
      <c r="L12" s="150">
        <v>7</v>
      </c>
      <c r="M12" s="150" t="s">
        <v>49</v>
      </c>
      <c r="N12" s="176">
        <f>IFERROR(K12/E12,"")</f>
        <v>0.93427762039660056</v>
      </c>
      <c r="O12" s="150">
        <f>J12+K12</f>
        <v>17650</v>
      </c>
      <c r="P12" s="150">
        <f>O12-E12</f>
        <v>0</v>
      </c>
    </row>
    <row r="13" spans="1:16">
      <c r="A13" s="206">
        <v>46304</v>
      </c>
      <c r="B13" s="149" t="s">
        <v>127</v>
      </c>
      <c r="C13" s="150" t="s">
        <v>20</v>
      </c>
      <c r="D13" s="150" t="s">
        <v>48</v>
      </c>
      <c r="E13" s="150">
        <v>10200</v>
      </c>
      <c r="F13" s="150">
        <v>38</v>
      </c>
      <c r="G13" s="150">
        <f>140+192</f>
        <v>332</v>
      </c>
      <c r="H13" s="150">
        <v>39</v>
      </c>
      <c r="I13" s="150">
        <v>291</v>
      </c>
      <c r="J13" s="150">
        <f>IFERROR(F13+G13+H13+I13,"")</f>
        <v>700</v>
      </c>
      <c r="K13" s="150">
        <v>9500</v>
      </c>
      <c r="L13" s="150">
        <v>7</v>
      </c>
      <c r="M13" s="150" t="s">
        <v>49</v>
      </c>
      <c r="N13" s="176">
        <f>IFERROR(K13/E13,"")</f>
        <v>0.93137254901960786</v>
      </c>
      <c r="O13" s="150">
        <f>J13+K13</f>
        <v>10200</v>
      </c>
      <c r="P13" s="150">
        <f>O13-E13</f>
        <v>0</v>
      </c>
    </row>
    <row r="14" spans="1:16">
      <c r="A14" s="169">
        <v>46305</v>
      </c>
      <c r="B14" s="149" t="s">
        <v>127</v>
      </c>
      <c r="C14" s="150" t="s">
        <v>20</v>
      </c>
      <c r="D14" s="150" t="s">
        <v>48</v>
      </c>
      <c r="E14" s="150"/>
      <c r="F14" s="150"/>
      <c r="G14" s="150"/>
      <c r="H14" s="150"/>
      <c r="I14" s="150"/>
      <c r="J14" s="150">
        <f t="shared" ref="J9:J27" si="1">IFERROR(F14+G14+H14+I14,"")</f>
        <v>0</v>
      </c>
      <c r="K14" s="150"/>
      <c r="L14" s="150"/>
      <c r="M14" s="150"/>
      <c r="N14" s="176" t="str">
        <f t="shared" ref="N7:N16" si="2">IFERROR(K14/E14,"")</f>
        <v/>
      </c>
      <c r="O14" s="150">
        <f t="shared" ref="O7:O43" si="3">J14+K14</f>
        <v>0</v>
      </c>
      <c r="P14" s="150">
        <f t="shared" ref="P7:P43" si="4">O14-E14</f>
        <v>0</v>
      </c>
    </row>
    <row r="15" spans="1:16">
      <c r="A15" s="169"/>
      <c r="B15" s="149"/>
      <c r="C15" s="150"/>
      <c r="D15" s="150"/>
      <c r="E15" s="150"/>
      <c r="F15" s="150"/>
      <c r="G15" s="150"/>
      <c r="H15" s="150"/>
      <c r="I15" s="150"/>
      <c r="J15" s="150">
        <f t="shared" si="1"/>
        <v>0</v>
      </c>
      <c r="K15" s="150"/>
      <c r="L15" s="150"/>
      <c r="M15" s="150"/>
      <c r="N15" s="176" t="str">
        <f t="shared" si="2"/>
        <v/>
      </c>
      <c r="O15" s="150">
        <f t="shared" si="3"/>
        <v>0</v>
      </c>
      <c r="P15" s="150">
        <f t="shared" si="4"/>
        <v>0</v>
      </c>
    </row>
    <row r="16" spans="1:16">
      <c r="A16" s="169"/>
      <c r="B16" s="149"/>
      <c r="C16" s="150"/>
      <c r="D16" s="150"/>
      <c r="E16" s="150"/>
      <c r="F16" s="150"/>
      <c r="G16" s="150"/>
      <c r="H16" s="150"/>
      <c r="I16" s="150"/>
      <c r="J16" s="150">
        <f t="shared" si="1"/>
        <v>0</v>
      </c>
      <c r="K16" s="150"/>
      <c r="L16" s="150"/>
      <c r="M16" s="150"/>
      <c r="N16" s="176" t="str">
        <f t="shared" si="2"/>
        <v/>
      </c>
      <c r="O16" s="150">
        <f t="shared" si="3"/>
        <v>0</v>
      </c>
      <c r="P16" s="150">
        <f t="shared" si="4"/>
        <v>0</v>
      </c>
    </row>
    <row r="17" spans="1:16">
      <c r="A17" s="169"/>
      <c r="B17" s="149"/>
      <c r="C17" s="150"/>
      <c r="D17" s="150"/>
      <c r="E17" s="150"/>
      <c r="F17" s="150"/>
      <c r="G17" s="150"/>
      <c r="H17" s="150"/>
      <c r="I17" s="150"/>
      <c r="J17" s="150">
        <f t="shared" si="1"/>
        <v>0</v>
      </c>
      <c r="K17" s="150"/>
      <c r="L17" s="150"/>
      <c r="M17" s="150"/>
      <c r="N17" s="176" t="str">
        <f>IFERROR(K17/E17,"")</f>
        <v/>
      </c>
      <c r="O17" s="150">
        <f t="shared" si="3"/>
        <v>0</v>
      </c>
      <c r="P17" s="150">
        <f t="shared" si="4"/>
        <v>0</v>
      </c>
    </row>
    <row r="18" spans="1:16">
      <c r="A18" s="169"/>
      <c r="B18" s="149"/>
      <c r="C18" s="150"/>
      <c r="D18" s="150"/>
      <c r="E18" s="150"/>
      <c r="F18" s="150"/>
      <c r="G18" s="150"/>
      <c r="H18" s="150"/>
      <c r="I18" s="150"/>
      <c r="J18" s="150">
        <f t="shared" si="1"/>
        <v>0</v>
      </c>
      <c r="K18" s="150"/>
      <c r="L18" s="150"/>
      <c r="M18" s="150"/>
      <c r="N18" s="176" t="str">
        <f>IFERROR(K18/E18,"")</f>
        <v/>
      </c>
      <c r="O18" s="150">
        <f t="shared" si="3"/>
        <v>0</v>
      </c>
      <c r="P18" s="150">
        <f t="shared" si="4"/>
        <v>0</v>
      </c>
    </row>
    <row r="19" spans="1:16">
      <c r="A19" s="169"/>
      <c r="B19" s="149"/>
      <c r="C19" s="150"/>
      <c r="D19" s="150"/>
      <c r="E19" s="150"/>
      <c r="F19" s="150"/>
      <c r="G19" s="150"/>
      <c r="H19" s="150"/>
      <c r="I19" s="150"/>
      <c r="J19" s="150">
        <f t="shared" si="1"/>
        <v>0</v>
      </c>
      <c r="K19" s="150"/>
      <c r="L19" s="150"/>
      <c r="M19" s="150"/>
      <c r="N19" s="176" t="str">
        <f t="shared" ref="N19:N21" si="5">IFERROR(K19/E19,"")</f>
        <v/>
      </c>
      <c r="O19" s="150">
        <f t="shared" si="3"/>
        <v>0</v>
      </c>
      <c r="P19" s="150">
        <f t="shared" si="4"/>
        <v>0</v>
      </c>
    </row>
    <row r="20" spans="1:16">
      <c r="A20" s="169"/>
      <c r="B20" s="149"/>
      <c r="C20" s="150"/>
      <c r="D20" s="150"/>
      <c r="E20" s="150"/>
      <c r="F20" s="150"/>
      <c r="G20" s="150"/>
      <c r="H20" s="150"/>
      <c r="I20" s="150"/>
      <c r="J20" s="150">
        <f t="shared" si="1"/>
        <v>0</v>
      </c>
      <c r="K20" s="150"/>
      <c r="L20" s="150"/>
      <c r="M20" s="150"/>
      <c r="N20" s="176" t="str">
        <f t="shared" si="5"/>
        <v/>
      </c>
      <c r="O20" s="150">
        <f t="shared" si="3"/>
        <v>0</v>
      </c>
      <c r="P20" s="150">
        <f t="shared" si="4"/>
        <v>0</v>
      </c>
    </row>
    <row r="21" spans="1:16">
      <c r="A21" s="169"/>
      <c r="B21" s="149"/>
      <c r="C21" s="150"/>
      <c r="D21" s="150"/>
      <c r="E21" s="150"/>
      <c r="F21" s="150"/>
      <c r="G21" s="150"/>
      <c r="H21" s="150"/>
      <c r="I21" s="150"/>
      <c r="J21" s="150">
        <f t="shared" si="1"/>
        <v>0</v>
      </c>
      <c r="K21" s="150"/>
      <c r="L21" s="150"/>
      <c r="M21" s="150"/>
      <c r="N21" s="176" t="str">
        <f t="shared" si="5"/>
        <v/>
      </c>
      <c r="O21" s="150">
        <f t="shared" si="3"/>
        <v>0</v>
      </c>
      <c r="P21" s="150">
        <f t="shared" si="4"/>
        <v>0</v>
      </c>
    </row>
    <row r="22" spans="1:16">
      <c r="A22" s="169"/>
      <c r="B22" s="149"/>
      <c r="C22" s="150"/>
      <c r="D22" s="150"/>
      <c r="E22" s="150"/>
      <c r="F22" s="150"/>
      <c r="G22" s="150"/>
      <c r="H22" s="150"/>
      <c r="I22" s="150"/>
      <c r="J22" s="150">
        <f t="shared" si="1"/>
        <v>0</v>
      </c>
      <c r="K22" s="150"/>
      <c r="L22" s="150"/>
      <c r="M22" s="150"/>
      <c r="N22" s="176" t="str">
        <f t="shared" ref="N21:N43" si="6">IFERROR(K22/E22,"")</f>
        <v/>
      </c>
      <c r="O22" s="150">
        <f t="shared" si="3"/>
        <v>0</v>
      </c>
      <c r="P22" s="150">
        <f t="shared" si="4"/>
        <v>0</v>
      </c>
    </row>
    <row r="23" spans="1:16">
      <c r="A23" s="169"/>
      <c r="B23" s="149"/>
      <c r="C23" s="150"/>
      <c r="D23" s="150"/>
      <c r="E23" s="150"/>
      <c r="F23" s="150"/>
      <c r="G23" s="150"/>
      <c r="H23" s="150"/>
      <c r="I23" s="150"/>
      <c r="J23" s="150">
        <f t="shared" si="1"/>
        <v>0</v>
      </c>
      <c r="K23" s="150"/>
      <c r="L23" s="150"/>
      <c r="M23" s="150"/>
      <c r="N23" s="176" t="str">
        <f t="shared" si="6"/>
        <v/>
      </c>
      <c r="O23" s="150">
        <f t="shared" si="3"/>
        <v>0</v>
      </c>
      <c r="P23" s="150">
        <f t="shared" si="4"/>
        <v>0</v>
      </c>
    </row>
    <row r="24" spans="1:16">
      <c r="A24" s="169"/>
      <c r="B24" s="149"/>
      <c r="C24" s="150"/>
      <c r="D24" s="150"/>
      <c r="E24" s="150"/>
      <c r="F24" s="150"/>
      <c r="G24" s="150"/>
      <c r="H24" s="150"/>
      <c r="I24" s="150"/>
      <c r="J24" s="150">
        <f t="shared" si="1"/>
        <v>0</v>
      </c>
      <c r="K24" s="150"/>
      <c r="L24" s="150"/>
      <c r="M24" s="150"/>
      <c r="N24" s="176" t="str">
        <f t="shared" si="6"/>
        <v/>
      </c>
      <c r="O24" s="150">
        <f>J24+K24</f>
        <v>0</v>
      </c>
      <c r="P24" s="150">
        <f t="shared" si="4"/>
        <v>0</v>
      </c>
    </row>
    <row r="25" spans="1:16">
      <c r="A25" s="169"/>
      <c r="B25" s="149"/>
      <c r="C25" s="150"/>
      <c r="D25" s="150"/>
      <c r="E25" s="150"/>
      <c r="F25" s="150"/>
      <c r="G25" s="150"/>
      <c r="H25" s="150"/>
      <c r="I25" s="150"/>
      <c r="J25" s="150">
        <f t="shared" si="1"/>
        <v>0</v>
      </c>
      <c r="K25" s="150"/>
      <c r="L25" s="150"/>
      <c r="M25" s="150"/>
      <c r="N25" s="176" t="str">
        <f t="shared" si="6"/>
        <v/>
      </c>
      <c r="O25" s="150">
        <f t="shared" si="3"/>
        <v>0</v>
      </c>
      <c r="P25" s="150">
        <f t="shared" si="4"/>
        <v>0</v>
      </c>
    </row>
    <row r="26" spans="1:16">
      <c r="A26" s="169"/>
      <c r="B26" s="149"/>
      <c r="C26" s="150"/>
      <c r="D26" s="150"/>
      <c r="E26" s="150"/>
      <c r="F26" s="150"/>
      <c r="G26" s="150"/>
      <c r="H26" s="150"/>
      <c r="I26" s="150"/>
      <c r="J26" s="150">
        <f t="shared" si="1"/>
        <v>0</v>
      </c>
      <c r="K26" s="150"/>
      <c r="L26" s="150"/>
      <c r="M26" s="150"/>
      <c r="N26" s="176" t="str">
        <f t="shared" si="6"/>
        <v/>
      </c>
      <c r="O26" s="150">
        <f t="shared" si="3"/>
        <v>0</v>
      </c>
      <c r="P26" s="150">
        <f t="shared" si="4"/>
        <v>0</v>
      </c>
    </row>
    <row r="27" spans="1:16">
      <c r="A27" s="169"/>
      <c r="B27" s="149"/>
      <c r="C27" s="150"/>
      <c r="D27" s="150"/>
      <c r="E27" s="150"/>
      <c r="F27" s="150"/>
      <c r="G27" s="150"/>
      <c r="H27" s="150"/>
      <c r="I27" s="150"/>
      <c r="J27" s="150">
        <f t="shared" si="1"/>
        <v>0</v>
      </c>
      <c r="K27" s="150"/>
      <c r="L27" s="150"/>
      <c r="M27" s="150"/>
      <c r="N27" s="176" t="str">
        <f t="shared" si="6"/>
        <v/>
      </c>
      <c r="O27" s="150">
        <f t="shared" si="3"/>
        <v>0</v>
      </c>
      <c r="P27" s="150">
        <f t="shared" si="4"/>
        <v>0</v>
      </c>
    </row>
    <row r="28" spans="1:16">
      <c r="A28" s="169"/>
      <c r="B28" s="149"/>
      <c r="C28" s="150"/>
      <c r="D28" s="150"/>
      <c r="E28" s="150"/>
      <c r="F28" s="150"/>
      <c r="G28" s="150"/>
      <c r="H28" s="150"/>
      <c r="I28" s="150"/>
      <c r="J28" s="150">
        <f t="shared" ref="J23:J43" si="7">IFERROR(F28+G28+H28+I28,"")</f>
        <v>0</v>
      </c>
      <c r="K28" s="150"/>
      <c r="L28" s="150"/>
      <c r="M28" s="150"/>
      <c r="N28" s="176" t="str">
        <f t="shared" si="6"/>
        <v/>
      </c>
      <c r="O28" s="150">
        <f t="shared" si="3"/>
        <v>0</v>
      </c>
      <c r="P28" s="150">
        <f t="shared" si="4"/>
        <v>0</v>
      </c>
    </row>
    <row r="29" spans="1:16">
      <c r="A29" s="169"/>
      <c r="B29" s="149"/>
      <c r="C29" s="150"/>
      <c r="D29" s="150"/>
      <c r="E29" s="150"/>
      <c r="F29" s="150"/>
      <c r="G29" s="150"/>
      <c r="H29" s="150"/>
      <c r="I29" s="150"/>
      <c r="J29" s="150">
        <f t="shared" si="7"/>
        <v>0</v>
      </c>
      <c r="K29" s="150"/>
      <c r="L29" s="150"/>
      <c r="M29" s="150"/>
      <c r="N29" s="176" t="str">
        <f t="shared" si="6"/>
        <v/>
      </c>
      <c r="O29" s="150">
        <f t="shared" si="3"/>
        <v>0</v>
      </c>
      <c r="P29" s="150">
        <f t="shared" si="4"/>
        <v>0</v>
      </c>
    </row>
    <row r="30" spans="1:16">
      <c r="A30" s="169"/>
      <c r="B30" s="149"/>
      <c r="C30" s="150"/>
      <c r="D30" s="150"/>
      <c r="E30" s="150"/>
      <c r="F30" s="150"/>
      <c r="G30" s="150"/>
      <c r="H30" s="150"/>
      <c r="I30" s="150"/>
      <c r="J30" s="150">
        <f t="shared" si="7"/>
        <v>0</v>
      </c>
      <c r="K30" s="150"/>
      <c r="L30" s="150"/>
      <c r="M30" s="150"/>
      <c r="N30" s="176" t="str">
        <f t="shared" si="6"/>
        <v/>
      </c>
      <c r="O30" s="150">
        <f t="shared" si="3"/>
        <v>0</v>
      </c>
      <c r="P30" s="150">
        <f t="shared" si="4"/>
        <v>0</v>
      </c>
    </row>
    <row r="31" spans="1:16">
      <c r="A31" s="169"/>
      <c r="B31" s="149"/>
      <c r="C31" s="150"/>
      <c r="D31" s="150"/>
      <c r="E31" s="150"/>
      <c r="F31" s="150"/>
      <c r="G31" s="150"/>
      <c r="H31" s="150"/>
      <c r="I31" s="150"/>
      <c r="J31" s="150">
        <f t="shared" si="7"/>
        <v>0</v>
      </c>
      <c r="K31" s="150"/>
      <c r="L31" s="150"/>
      <c r="M31" s="150"/>
      <c r="N31" s="176" t="str">
        <f t="shared" si="6"/>
        <v/>
      </c>
      <c r="O31" s="150">
        <f t="shared" si="3"/>
        <v>0</v>
      </c>
      <c r="P31" s="150">
        <f t="shared" si="4"/>
        <v>0</v>
      </c>
    </row>
    <row r="32" spans="1:16">
      <c r="A32" s="169"/>
      <c r="B32" s="149"/>
      <c r="C32" s="150"/>
      <c r="D32" s="150"/>
      <c r="E32" s="150"/>
      <c r="F32" s="150"/>
      <c r="G32" s="150"/>
      <c r="H32" s="150"/>
      <c r="I32" s="150"/>
      <c r="J32" s="150">
        <f t="shared" si="7"/>
        <v>0</v>
      </c>
      <c r="K32" s="150"/>
      <c r="L32" s="150"/>
      <c r="M32" s="150"/>
      <c r="N32" s="176" t="str">
        <f t="shared" si="6"/>
        <v/>
      </c>
      <c r="O32" s="150">
        <f t="shared" si="3"/>
        <v>0</v>
      </c>
      <c r="P32" s="150">
        <f t="shared" si="4"/>
        <v>0</v>
      </c>
    </row>
    <row r="33" spans="1:16">
      <c r="A33" s="169"/>
      <c r="B33" s="149"/>
      <c r="C33" s="150"/>
      <c r="D33" s="150"/>
      <c r="E33" s="150"/>
      <c r="F33" s="150"/>
      <c r="G33" s="150"/>
      <c r="H33" s="150"/>
      <c r="I33" s="150"/>
      <c r="J33" s="150">
        <f t="shared" si="7"/>
        <v>0</v>
      </c>
      <c r="K33" s="150"/>
      <c r="L33" s="150"/>
      <c r="M33" s="150"/>
      <c r="N33" s="176" t="str">
        <f t="shared" si="6"/>
        <v/>
      </c>
      <c r="O33" s="150">
        <f t="shared" si="3"/>
        <v>0</v>
      </c>
      <c r="P33" s="150">
        <f t="shared" si="4"/>
        <v>0</v>
      </c>
    </row>
    <row r="34" spans="1:16">
      <c r="A34" s="169"/>
      <c r="B34" s="149"/>
      <c r="C34" s="150"/>
      <c r="D34" s="150"/>
      <c r="E34" s="150"/>
      <c r="F34" s="150"/>
      <c r="G34" s="150"/>
      <c r="H34" s="150"/>
      <c r="I34" s="150"/>
      <c r="J34" s="150">
        <f t="shared" si="7"/>
        <v>0</v>
      </c>
      <c r="K34" s="150"/>
      <c r="L34" s="150"/>
      <c r="M34" s="150"/>
      <c r="N34" s="176" t="str">
        <f t="shared" si="6"/>
        <v/>
      </c>
      <c r="O34" s="150">
        <f t="shared" si="3"/>
        <v>0</v>
      </c>
      <c r="P34" s="150">
        <f t="shared" si="4"/>
        <v>0</v>
      </c>
    </row>
    <row r="35" spans="1:16">
      <c r="A35" s="150"/>
      <c r="B35" s="149"/>
      <c r="C35" s="150"/>
      <c r="D35" s="150"/>
      <c r="E35" s="150"/>
      <c r="F35" s="150"/>
      <c r="G35" s="150"/>
      <c r="H35" s="150"/>
      <c r="I35" s="150"/>
      <c r="J35" s="150">
        <f t="shared" si="7"/>
        <v>0</v>
      </c>
      <c r="K35" s="150"/>
      <c r="L35" s="150"/>
      <c r="M35" s="150"/>
      <c r="N35" s="176" t="str">
        <f t="shared" si="6"/>
        <v/>
      </c>
      <c r="O35" s="150">
        <f t="shared" si="3"/>
        <v>0</v>
      </c>
      <c r="P35" s="150">
        <f t="shared" si="4"/>
        <v>0</v>
      </c>
    </row>
    <row r="36" spans="1:16">
      <c r="A36" s="150"/>
      <c r="B36" s="149"/>
      <c r="C36" s="150"/>
      <c r="D36" s="150"/>
      <c r="E36" s="150"/>
      <c r="F36" s="150"/>
      <c r="G36" s="150"/>
      <c r="H36" s="150"/>
      <c r="I36" s="150"/>
      <c r="J36" s="150">
        <f t="shared" si="7"/>
        <v>0</v>
      </c>
      <c r="K36" s="150"/>
      <c r="L36" s="150"/>
      <c r="M36" s="150"/>
      <c r="N36" s="176" t="str">
        <f t="shared" si="6"/>
        <v/>
      </c>
      <c r="O36" s="150">
        <f t="shared" si="3"/>
        <v>0</v>
      </c>
      <c r="P36" s="150">
        <f t="shared" si="4"/>
        <v>0</v>
      </c>
    </row>
    <row r="37" spans="1:16">
      <c r="A37" s="150"/>
      <c r="B37" s="149"/>
      <c r="C37" s="150"/>
      <c r="D37" s="150"/>
      <c r="E37" s="150"/>
      <c r="F37" s="150"/>
      <c r="G37" s="150"/>
      <c r="H37" s="150"/>
      <c r="I37" s="150"/>
      <c r="J37" s="150">
        <f t="shared" si="7"/>
        <v>0</v>
      </c>
      <c r="K37" s="150"/>
      <c r="L37" s="150"/>
      <c r="M37" s="150"/>
      <c r="N37" s="176" t="str">
        <f t="shared" si="6"/>
        <v/>
      </c>
      <c r="O37" s="150">
        <f t="shared" si="3"/>
        <v>0</v>
      </c>
      <c r="P37" s="150">
        <f t="shared" si="4"/>
        <v>0</v>
      </c>
    </row>
    <row r="38" spans="1:16">
      <c r="A38" s="150"/>
      <c r="B38" s="149"/>
      <c r="C38" s="150"/>
      <c r="D38" s="150"/>
      <c r="E38" s="150"/>
      <c r="F38" s="150"/>
      <c r="G38" s="150"/>
      <c r="H38" s="150"/>
      <c r="I38" s="150"/>
      <c r="J38" s="150">
        <f t="shared" si="7"/>
        <v>0</v>
      </c>
      <c r="K38" s="150"/>
      <c r="L38" s="150"/>
      <c r="M38" s="150"/>
      <c r="N38" s="176" t="str">
        <f t="shared" si="6"/>
        <v/>
      </c>
      <c r="O38" s="150">
        <f t="shared" si="3"/>
        <v>0</v>
      </c>
      <c r="P38" s="150">
        <f t="shared" si="4"/>
        <v>0</v>
      </c>
    </row>
    <row r="39" spans="1:16">
      <c r="A39" s="150"/>
      <c r="B39" s="149"/>
      <c r="C39" s="150"/>
      <c r="D39" s="150"/>
      <c r="E39" s="150"/>
      <c r="F39" s="150"/>
      <c r="G39" s="150"/>
      <c r="H39" s="150"/>
      <c r="I39" s="150"/>
      <c r="J39" s="150">
        <f t="shared" si="7"/>
        <v>0</v>
      </c>
      <c r="K39" s="150"/>
      <c r="L39" s="150"/>
      <c r="M39" s="150"/>
      <c r="N39" s="176" t="str">
        <f t="shared" si="6"/>
        <v/>
      </c>
      <c r="O39" s="150">
        <f t="shared" si="3"/>
        <v>0</v>
      </c>
      <c r="P39" s="150">
        <f t="shared" si="4"/>
        <v>0</v>
      </c>
    </row>
    <row r="40" spans="1:16">
      <c r="A40" s="150"/>
      <c r="B40" s="149"/>
      <c r="C40" s="150"/>
      <c r="D40" s="150"/>
      <c r="E40" s="150"/>
      <c r="F40" s="150"/>
      <c r="G40" s="150"/>
      <c r="H40" s="150"/>
      <c r="I40" s="150"/>
      <c r="J40" s="150">
        <f t="shared" si="7"/>
        <v>0</v>
      </c>
      <c r="K40" s="150"/>
      <c r="L40" s="150"/>
      <c r="M40" s="150"/>
      <c r="N40" s="176" t="str">
        <f t="shared" si="6"/>
        <v/>
      </c>
      <c r="O40" s="150">
        <f t="shared" si="3"/>
        <v>0</v>
      </c>
      <c r="P40" s="150">
        <f t="shared" si="4"/>
        <v>0</v>
      </c>
    </row>
    <row r="41" spans="1:16">
      <c r="A41" s="150"/>
      <c r="B41" s="149"/>
      <c r="C41" s="150"/>
      <c r="D41" s="150"/>
      <c r="E41" s="150"/>
      <c r="F41" s="150"/>
      <c r="G41" s="150"/>
      <c r="H41" s="150"/>
      <c r="I41" s="150"/>
      <c r="J41" s="150">
        <f t="shared" si="7"/>
        <v>0</v>
      </c>
      <c r="K41" s="150"/>
      <c r="L41" s="150"/>
      <c r="M41" s="150"/>
      <c r="N41" s="176" t="str">
        <f t="shared" si="6"/>
        <v/>
      </c>
      <c r="O41" s="150">
        <f t="shared" si="3"/>
        <v>0</v>
      </c>
      <c r="P41" s="150">
        <f t="shared" si="4"/>
        <v>0</v>
      </c>
    </row>
    <row r="42" spans="1:16">
      <c r="A42" s="150"/>
      <c r="B42" s="149"/>
      <c r="C42" s="150"/>
      <c r="D42" s="150"/>
      <c r="E42" s="150"/>
      <c r="F42" s="150"/>
      <c r="G42" s="150"/>
      <c r="H42" s="150"/>
      <c r="I42" s="150"/>
      <c r="J42" s="150">
        <f t="shared" si="7"/>
        <v>0</v>
      </c>
      <c r="K42" s="150"/>
      <c r="L42" s="150"/>
      <c r="M42" s="150"/>
      <c r="N42" s="176" t="str">
        <f t="shared" si="6"/>
        <v/>
      </c>
      <c r="O42" s="150">
        <f t="shared" si="3"/>
        <v>0</v>
      </c>
      <c r="P42" s="150">
        <f t="shared" si="4"/>
        <v>0</v>
      </c>
    </row>
    <row r="43" spans="1:16">
      <c r="A43" s="150"/>
      <c r="B43" s="149"/>
      <c r="C43" s="150"/>
      <c r="D43" s="150"/>
      <c r="E43" s="150"/>
      <c r="F43" s="150"/>
      <c r="G43" s="150"/>
      <c r="H43" s="150"/>
      <c r="I43" s="150"/>
      <c r="J43" s="150">
        <f t="shared" si="7"/>
        <v>0</v>
      </c>
      <c r="K43" s="150"/>
      <c r="L43" s="150"/>
      <c r="M43" s="150"/>
      <c r="N43" s="176" t="str">
        <f t="shared" si="6"/>
        <v/>
      </c>
      <c r="O43" s="150">
        <f t="shared" si="3"/>
        <v>0</v>
      </c>
      <c r="P43" s="150">
        <f t="shared" si="4"/>
        <v>0</v>
      </c>
    </row>
  </sheetData>
  <mergeCells count="17">
    <mergeCell ref="A2:N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P4:P5"/>
    <mergeCell ref="J4:J5"/>
    <mergeCell ref="K4:K5"/>
    <mergeCell ref="L4:L5"/>
    <mergeCell ref="M4:M5"/>
    <mergeCell ref="N4:N5"/>
    <mergeCell ref="O4:O5"/>
  </mergeCells>
  <dataValidations count="3">
    <dataValidation type="list" allowBlank="1" showInputMessage="1" showErrorMessage="1" sqref="D21:D43 D6:D18" xr:uid="{582CFA30-7EF7-4DB6-A28D-7F0BB319C45C}">
      <formula1>"Multigrain,Multigrain 60%,Besan,Khapli"</formula1>
    </dataValidation>
    <dataValidation type="list" allowBlank="1" showInputMessage="1" showErrorMessage="1" sqref="M21:M43 M6:M18" xr:uid="{660BD936-A361-4FC7-9E9F-50F5F9AE3AFF}">
      <formula1>"Day,Night"</formula1>
    </dataValidation>
    <dataValidation type="list" allowBlank="1" showInputMessage="1" showErrorMessage="1" sqref="C6:C43" xr:uid="{93522074-BA08-4A39-B86A-1F18C156F96C}">
      <formula1>"C39"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BC4A-2190-43E8-9AF7-A794D4FF2622}">
  <dimension ref="A1:BH2000"/>
  <sheetViews>
    <sheetView topLeftCell="A191" workbookViewId="0">
      <selection activeCell="AV27" sqref="AV27"/>
    </sheetView>
  </sheetViews>
  <sheetFormatPr defaultRowHeight="13.15"/>
  <cols>
    <col min="1" max="1" width="32.42578125" customWidth="1"/>
    <col min="2" max="2" width="20" customWidth="1"/>
    <col min="3" max="3" width="10" bestFit="1" customWidth="1"/>
    <col min="4" max="4" width="8.5703125" bestFit="1" customWidth="1"/>
    <col min="5" max="6" width="22.85546875" customWidth="1"/>
    <col min="7" max="7" width="8.140625" bestFit="1" customWidth="1"/>
    <col min="8" max="8" width="7.5703125" bestFit="1" customWidth="1"/>
    <col min="9" max="9" width="5.42578125" bestFit="1" customWidth="1"/>
    <col min="10" max="10" width="9.85546875" bestFit="1" customWidth="1"/>
    <col min="11" max="11" width="13.42578125" bestFit="1" customWidth="1"/>
    <col min="12" max="12" width="13.85546875" bestFit="1" customWidth="1"/>
    <col min="13" max="14" width="10.28515625" bestFit="1" customWidth="1"/>
    <col min="15" max="15" width="5.28515625" bestFit="1" customWidth="1"/>
    <col min="16" max="16" width="7.7109375" bestFit="1" customWidth="1"/>
    <col min="17" max="17" width="13.5703125" bestFit="1" customWidth="1"/>
    <col min="18" max="18" width="8.85546875" bestFit="1" customWidth="1"/>
    <col min="19" max="19" width="10.28515625" bestFit="1" customWidth="1"/>
    <col min="20" max="20" width="7.7109375" bestFit="1" customWidth="1"/>
    <col min="21" max="21" width="10.7109375" bestFit="1" customWidth="1"/>
    <col min="22" max="22" width="15.85546875" bestFit="1" customWidth="1"/>
    <col min="23" max="23" width="18.140625" bestFit="1" customWidth="1"/>
    <col min="24" max="24" width="16.42578125" bestFit="1" customWidth="1"/>
    <col min="25" max="25" width="14.140625" bestFit="1" customWidth="1"/>
    <col min="26" max="26" width="10.28515625" bestFit="1" customWidth="1"/>
    <col min="27" max="27" width="9.85546875" bestFit="1" customWidth="1"/>
    <col min="32" max="32" width="9.7109375" bestFit="1" customWidth="1"/>
    <col min="33" max="33" width="11.7109375" bestFit="1" customWidth="1"/>
    <col min="34" max="34" width="12.28515625" bestFit="1" customWidth="1"/>
    <col min="35" max="35" width="18.5703125" bestFit="1" customWidth="1"/>
    <col min="36" max="36" width="10" bestFit="1" customWidth="1"/>
    <col min="37" max="37" width="10.85546875" bestFit="1" customWidth="1"/>
    <col min="38" max="38" width="16.140625" bestFit="1" customWidth="1"/>
    <col min="39" max="39" width="18.42578125" bestFit="1" customWidth="1"/>
    <col min="40" max="40" width="16.7109375" bestFit="1" customWidth="1"/>
    <col min="41" max="41" width="17.5703125" bestFit="1" customWidth="1"/>
    <col min="42" max="42" width="12.5703125" bestFit="1" customWidth="1"/>
    <col min="43" max="43" width="13.85546875" bestFit="1" customWidth="1"/>
    <col min="44" max="44" width="6.5703125" bestFit="1" customWidth="1"/>
    <col min="45" max="45" width="9.5703125" bestFit="1" customWidth="1"/>
    <col min="47" max="47" width="11.42578125" bestFit="1" customWidth="1"/>
  </cols>
  <sheetData>
    <row r="1" spans="1:60" ht="12.75">
      <c r="A1" s="207" t="s">
        <v>182</v>
      </c>
      <c r="B1" s="207" t="s">
        <v>24</v>
      </c>
      <c r="C1" s="207" t="s">
        <v>25</v>
      </c>
      <c r="D1" s="207" t="s">
        <v>26</v>
      </c>
      <c r="E1" s="207" t="s">
        <v>27</v>
      </c>
      <c r="F1" s="207" t="s">
        <v>22</v>
      </c>
      <c r="G1" s="207" t="s">
        <v>28</v>
      </c>
      <c r="H1" s="207" t="s">
        <v>29</v>
      </c>
      <c r="I1" s="207" t="s">
        <v>30</v>
      </c>
      <c r="J1" s="207" t="s">
        <v>31</v>
      </c>
      <c r="K1" s="207" t="s">
        <v>32</v>
      </c>
      <c r="L1" s="207" t="s">
        <v>33</v>
      </c>
      <c r="M1" s="207" t="s">
        <v>34</v>
      </c>
      <c r="N1" s="207" t="s">
        <v>35</v>
      </c>
      <c r="O1" s="207" t="s">
        <v>36</v>
      </c>
      <c r="P1" s="207" t="s">
        <v>37</v>
      </c>
      <c r="Q1" s="207" t="s">
        <v>38</v>
      </c>
      <c r="R1" s="207" t="s">
        <v>39</v>
      </c>
    </row>
    <row r="2" spans="1:60" ht="12.75">
      <c r="A2" t="s">
        <v>183</v>
      </c>
      <c r="B2" t="str" cm="1">
        <f t="array" aca="1" ref="B2:R587" ca="1">_xlfn.LET(_xlpm.sh,_xlfn._xlws.FILTER($A$2:$A$50,$A$2:$A$50&lt;&gt;""),_xlpm.all,_xlfn.DROP(_xlfn.REDUCE("",_xlpm.sh,_xlfn.LAMBDA(_xlpm.a,_xlpm.s,_xlfn.LET(_xlpm.r,INDIRECT("'"&amp;_xlpm.s&amp;"'!A1:P2000"),_xlpm.f,_xlfn._xlws.FILTER(_xlpm.r,(IFERROR(--_xlfn.CHOOSECOLS(_xlpm.r,1),0)&gt;0)*(_xlfn.CHOOSECOLS(_xlpm.r,4)&lt;&gt;"")*(IFERROR(--_xlfn.CHOOSECOLS(_xlpm.r,5),0)&gt;0),""),_xlpm.g,_xlfn.HSTACK(_xlfn.TAKE(_xlpm.f,,13),IFERROR(IF(_xlfn.CHOOSECOLS(_xlpm.f,14)&gt;1,_xlfn.CHOOSECOLS(_xlpm.f,14)/100,_xlfn.CHOOSECOLS(_xlpm.f,14)),0),_xlfn.DROP(_xlpm.f,,14)),_xlfn.VSTACK(_xlpm.a,_xlfn.HSTACK(IF(_xlfn.SEQUENCE(ROWS(_xlpm.g)),_xlpm.s),_xlpm.g))))),1),_xlpm.all)</f>
        <v>C6 JAN-FEB</v>
      </c>
      <c r="C2" s="209">
        <f ca="1"/>
        <v>46024</v>
      </c>
      <c r="D2" t="str">
        <f ca="1"/>
        <v>Chakki1,2&amp;3</v>
      </c>
      <c r="E2" t="str">
        <f ca="1"/>
        <v>C6</v>
      </c>
      <c r="F2" t="str">
        <f ca="1"/>
        <v>Jowar</v>
      </c>
      <c r="G2" s="210">
        <f ca="1"/>
        <v>1900</v>
      </c>
      <c r="H2" s="210">
        <f ca="1"/>
        <v>0</v>
      </c>
      <c r="I2" s="210">
        <f ca="1"/>
        <v>18</v>
      </c>
      <c r="J2" s="210">
        <f ca="1"/>
        <v>2</v>
      </c>
      <c r="K2" s="210">
        <f ca="1"/>
        <v>132</v>
      </c>
      <c r="L2" s="210">
        <f ca="1"/>
        <v>152</v>
      </c>
      <c r="M2" s="210">
        <f ca="1"/>
        <v>1748</v>
      </c>
      <c r="N2" s="210">
        <f ca="1"/>
        <v>0</v>
      </c>
      <c r="O2">
        <f ca="1"/>
        <v>0</v>
      </c>
      <c r="P2" s="211">
        <f ca="1"/>
        <v>0.92</v>
      </c>
      <c r="Q2">
        <f ca="1"/>
        <v>1900</v>
      </c>
      <c r="R2">
        <f ca="1"/>
        <v>0</v>
      </c>
    </row>
    <row r="3" spans="1:60" ht="21" customHeight="1">
      <c r="A3" t="s">
        <v>184</v>
      </c>
      <c r="B3" t="str">
        <f ca="1"/>
        <v>C6 JAN-FEB</v>
      </c>
      <c r="C3" s="209">
        <f ca="1"/>
        <v>46024</v>
      </c>
      <c r="D3" t="str">
        <f ca="1"/>
        <v>Chakki1,2&amp;3</v>
      </c>
      <c r="E3" t="str">
        <f ca="1"/>
        <v>C6</v>
      </c>
      <c r="F3" t="str">
        <f ca="1"/>
        <v>Jowar</v>
      </c>
      <c r="G3" s="210">
        <f ca="1"/>
        <v>2450</v>
      </c>
      <c r="H3" s="210">
        <f ca="1"/>
        <v>0</v>
      </c>
      <c r="I3" s="210">
        <f ca="1"/>
        <v>104</v>
      </c>
      <c r="J3" s="210">
        <f ca="1"/>
        <v>3</v>
      </c>
      <c r="K3" s="210">
        <f ca="1"/>
        <v>163</v>
      </c>
      <c r="L3" s="210">
        <f ca="1"/>
        <v>270</v>
      </c>
      <c r="M3" s="210">
        <f ca="1"/>
        <v>2180</v>
      </c>
      <c r="N3" s="210">
        <f ca="1"/>
        <v>0</v>
      </c>
      <c r="O3">
        <f ca="1"/>
        <v>0</v>
      </c>
      <c r="P3" s="211">
        <f ca="1"/>
        <v>0.88979591836734695</v>
      </c>
      <c r="Q3">
        <f ca="1"/>
        <v>2450</v>
      </c>
      <c r="R3">
        <f ca="1"/>
        <v>0</v>
      </c>
      <c r="AF3" s="305" t="s">
        <v>185</v>
      </c>
      <c r="AG3" s="306"/>
      <c r="AH3" s="306"/>
      <c r="AI3" s="306"/>
      <c r="AJ3" s="306"/>
      <c r="AK3" s="306"/>
      <c r="AL3" s="306"/>
      <c r="AM3" s="306"/>
      <c r="AN3" s="306"/>
      <c r="AO3" s="306"/>
      <c r="AP3" s="306"/>
      <c r="AQ3" s="306"/>
      <c r="AR3" s="306"/>
      <c r="AS3" s="307"/>
    </row>
    <row r="4" spans="1:60" ht="18.75">
      <c r="A4" t="s">
        <v>186</v>
      </c>
      <c r="B4" t="str">
        <f ca="1"/>
        <v>C6 JAN-FEB</v>
      </c>
      <c r="C4" s="209">
        <f ca="1"/>
        <v>46025</v>
      </c>
      <c r="D4" t="str">
        <f ca="1"/>
        <v>Chakki1,2&amp;3</v>
      </c>
      <c r="E4" t="str">
        <f ca="1"/>
        <v>C6</v>
      </c>
      <c r="F4" t="str">
        <f ca="1"/>
        <v>Bajra</v>
      </c>
      <c r="G4" s="210">
        <f ca="1"/>
        <v>2850</v>
      </c>
      <c r="H4" s="210">
        <f ca="1"/>
        <v>0</v>
      </c>
      <c r="I4" s="210">
        <f ca="1"/>
        <v>67</v>
      </c>
      <c r="J4" s="210">
        <f ca="1"/>
        <v>2</v>
      </c>
      <c r="K4" s="210">
        <f ca="1"/>
        <v>183</v>
      </c>
      <c r="L4" s="210">
        <f ca="1"/>
        <v>252</v>
      </c>
      <c r="M4" s="210">
        <f ca="1"/>
        <v>2598</v>
      </c>
      <c r="N4" s="210">
        <f ca="1"/>
        <v>0</v>
      </c>
      <c r="O4">
        <f ca="1"/>
        <v>0</v>
      </c>
      <c r="P4" s="211">
        <f ca="1"/>
        <v>0.91157894736842104</v>
      </c>
      <c r="Q4">
        <f ca="1"/>
        <v>2850</v>
      </c>
      <c r="R4">
        <f ca="1"/>
        <v>0</v>
      </c>
      <c r="AF4" s="234" t="s">
        <v>25</v>
      </c>
      <c r="AG4" s="235" t="s">
        <v>26</v>
      </c>
      <c r="AH4" s="235" t="s">
        <v>27</v>
      </c>
      <c r="AI4" s="235" t="s">
        <v>22</v>
      </c>
      <c r="AJ4" s="236" t="s">
        <v>28</v>
      </c>
      <c r="AK4" s="236" t="s">
        <v>29</v>
      </c>
      <c r="AL4" s="236" t="s">
        <v>30</v>
      </c>
      <c r="AM4" s="236" t="s">
        <v>31</v>
      </c>
      <c r="AN4" s="236" t="s">
        <v>32</v>
      </c>
      <c r="AO4" s="235" t="s">
        <v>33</v>
      </c>
      <c r="AP4" s="235" t="s">
        <v>34</v>
      </c>
      <c r="AQ4" s="235" t="s">
        <v>35</v>
      </c>
      <c r="AR4" s="235" t="s">
        <v>36</v>
      </c>
      <c r="AS4" s="237" t="s">
        <v>37</v>
      </c>
      <c r="AU4" t="str">
        <f t="shared" ref="AU4:AU7" si="0">AF4</f>
        <v>Date</v>
      </c>
      <c r="AV4" t="str">
        <f t="shared" ref="AV4:AV7" si="1">AG4</f>
        <v>Machine</v>
      </c>
      <c r="AW4" t="str">
        <f t="shared" ref="AW4:AW7" si="2">AH4</f>
        <v>Plant</v>
      </c>
      <c r="AX4" t="str">
        <f t="shared" ref="AX4:AX7" si="3">AI4</f>
        <v>Product</v>
      </c>
      <c r="AY4" t="str">
        <f t="shared" ref="AY4:AY7" si="4">AJ4</f>
        <v>IN in Kg</v>
      </c>
      <c r="AZ4" t="str">
        <f t="shared" ref="AZ4:AZ7" si="5">AK4</f>
        <v>Sorting</v>
      </c>
      <c r="BA4" t="str">
        <f t="shared" ref="BA4:BA7" si="6">AL4</f>
        <v>Bran</v>
      </c>
      <c r="BB4" t="str">
        <f t="shared" ref="BB4:BB7" si="7">AM4</f>
        <v>Floor Atta</v>
      </c>
      <c r="BC4" t="str">
        <f t="shared" ref="BC4:BC7" si="8">AN4</f>
        <v>Process Loss</v>
      </c>
      <c r="BD4" t="str">
        <f t="shared" ref="BD4:BD7" si="9">AO4</f>
        <v>Total Wastage</v>
      </c>
      <c r="BE4" t="str">
        <f t="shared" ref="BE4:BE7" si="10">AP4</f>
        <v>OUT in Kg</v>
      </c>
      <c r="BF4" t="str">
        <f t="shared" ref="BF4:BF7" si="11">AQ4</f>
        <v>Manpower</v>
      </c>
      <c r="BG4" t="str">
        <f t="shared" ref="BG4:BG7" si="12">AR4</f>
        <v>Shift</v>
      </c>
      <c r="BH4" t="str">
        <f t="shared" ref="BH4:BH7" si="13">AS4</f>
        <v>Yield %</v>
      </c>
    </row>
    <row r="5" spans="1:60" ht="19.5" customHeight="1">
      <c r="A5" t="s">
        <v>187</v>
      </c>
      <c r="B5" t="str">
        <f ca="1"/>
        <v>C6 JAN-FEB</v>
      </c>
      <c r="C5" s="209">
        <f ca="1"/>
        <v>46026</v>
      </c>
      <c r="D5" t="str">
        <f ca="1"/>
        <v>Chakki1,2&amp;3</v>
      </c>
      <c r="E5" t="str">
        <f ca="1"/>
        <v>C6</v>
      </c>
      <c r="F5" t="str">
        <f ca="1"/>
        <v>Multigrain</v>
      </c>
      <c r="G5" s="210">
        <f ca="1"/>
        <v>1450</v>
      </c>
      <c r="H5" s="210">
        <f ca="1"/>
        <v>0</v>
      </c>
      <c r="I5" s="210">
        <f ca="1"/>
        <v>18</v>
      </c>
      <c r="J5" s="210">
        <f ca="1"/>
        <v>1</v>
      </c>
      <c r="K5" s="210">
        <f ca="1"/>
        <v>121</v>
      </c>
      <c r="L5" s="210">
        <f ca="1"/>
        <v>140</v>
      </c>
      <c r="M5" s="210">
        <f ca="1"/>
        <v>1310</v>
      </c>
      <c r="N5" s="210">
        <f ca="1"/>
        <v>3</v>
      </c>
      <c r="O5" t="str">
        <f ca="1"/>
        <v>Day</v>
      </c>
      <c r="P5" s="211">
        <f ca="1"/>
        <v>0.90344827586206899</v>
      </c>
      <c r="Q5">
        <f ca="1"/>
        <v>1450</v>
      </c>
      <c r="R5">
        <f ca="1"/>
        <v>0</v>
      </c>
      <c r="AF5" s="222" cm="1">
        <f t="array" aca="1" ref="AF5:AS5" ca="1">_xlfn._xlws.FILTER('C6 OCT'!A2:N500,'C6 OCT'!A2:A500=TODAY()-1,"No Data")</f>
        <v>46307</v>
      </c>
      <c r="AG5" s="223" t="str">
        <f ca="1"/>
        <v>chakki1,2,3</v>
      </c>
      <c r="AH5" s="223" t="str">
        <f ca="1"/>
        <v>C6 New Plant</v>
      </c>
      <c r="AI5" s="224" t="str">
        <f ca="1"/>
        <v>khapli wheat grains</v>
      </c>
      <c r="AJ5" s="223">
        <f ca="1"/>
        <v>4200</v>
      </c>
      <c r="AK5" s="223">
        <f ca="1"/>
        <v>1</v>
      </c>
      <c r="AL5" s="223">
        <f ca="1"/>
        <v>50</v>
      </c>
      <c r="AM5" s="223">
        <f ca="1"/>
        <v>2</v>
      </c>
      <c r="AN5" s="223">
        <f ca="1"/>
        <v>207</v>
      </c>
      <c r="AO5" s="223">
        <f ca="1"/>
        <v>260</v>
      </c>
      <c r="AP5" s="223">
        <f ca="1"/>
        <v>3940</v>
      </c>
      <c r="AQ5" s="223">
        <f ca="1"/>
        <v>3</v>
      </c>
      <c r="AR5" s="223" t="str">
        <f ca="1"/>
        <v>Day</v>
      </c>
      <c r="AS5" s="225">
        <f ca="1"/>
        <v>0.93809523809523809</v>
      </c>
      <c r="AU5" s="137">
        <f t="shared" ca="1" si="0"/>
        <v>46307</v>
      </c>
      <c r="AV5" t="str">
        <f t="shared" ca="1" si="1"/>
        <v>chakki1,2,3</v>
      </c>
      <c r="AW5" t="str">
        <f t="shared" ca="1" si="2"/>
        <v>C6 New Plant</v>
      </c>
      <c r="AX5" t="str">
        <f t="shared" ca="1" si="3"/>
        <v>khapli wheat grains</v>
      </c>
      <c r="AY5">
        <f t="shared" ca="1" si="4"/>
        <v>4200</v>
      </c>
      <c r="AZ5">
        <f t="shared" ca="1" si="5"/>
        <v>1</v>
      </c>
      <c r="BA5">
        <f t="shared" ca="1" si="6"/>
        <v>50</v>
      </c>
      <c r="BB5">
        <f t="shared" ca="1" si="7"/>
        <v>2</v>
      </c>
      <c r="BC5">
        <f t="shared" ca="1" si="8"/>
        <v>207</v>
      </c>
      <c r="BD5">
        <f t="shared" ca="1" si="9"/>
        <v>260</v>
      </c>
      <c r="BE5">
        <f t="shared" ca="1" si="10"/>
        <v>3940</v>
      </c>
      <c r="BF5">
        <f t="shared" ca="1" si="11"/>
        <v>3</v>
      </c>
      <c r="BG5" t="str">
        <f t="shared" ca="1" si="12"/>
        <v>Day</v>
      </c>
      <c r="BH5" s="238">
        <f t="shared" ca="1" si="13"/>
        <v>0.93809523809523809</v>
      </c>
    </row>
    <row r="6" spans="1:60" ht="15">
      <c r="A6" t="s">
        <v>188</v>
      </c>
      <c r="B6" t="str">
        <f ca="1"/>
        <v>C6 JAN-FEB</v>
      </c>
      <c r="C6" s="209">
        <f ca="1"/>
        <v>46026</v>
      </c>
      <c r="D6" t="str">
        <f ca="1"/>
        <v>Chakki1,2&amp;3</v>
      </c>
      <c r="E6" t="str">
        <f ca="1"/>
        <v>C6</v>
      </c>
      <c r="F6" t="str">
        <f ca="1"/>
        <v>Multigrain</v>
      </c>
      <c r="G6" s="210">
        <f ca="1"/>
        <v>2250</v>
      </c>
      <c r="H6" s="210">
        <f ca="1"/>
        <v>0</v>
      </c>
      <c r="I6" s="210">
        <f ca="1"/>
        <v>21</v>
      </c>
      <c r="J6" s="210">
        <f ca="1"/>
        <v>2</v>
      </c>
      <c r="K6" s="210">
        <f ca="1"/>
        <v>162</v>
      </c>
      <c r="L6" s="210">
        <f ca="1"/>
        <v>185</v>
      </c>
      <c r="M6" s="210">
        <f ca="1"/>
        <v>2065</v>
      </c>
      <c r="N6" s="210">
        <f ca="1"/>
        <v>3</v>
      </c>
      <c r="O6" t="str">
        <f ca="1"/>
        <v>Night</v>
      </c>
      <c r="P6" s="211">
        <f ca="1"/>
        <v>0.9177777777777778</v>
      </c>
      <c r="Q6">
        <f ca="1"/>
        <v>2250</v>
      </c>
      <c r="R6">
        <f ca="1"/>
        <v>0</v>
      </c>
      <c r="AF6" s="226"/>
      <c r="AG6" s="227"/>
      <c r="AH6" s="227"/>
      <c r="AI6" s="228"/>
      <c r="AJ6" s="227"/>
      <c r="AK6" s="227"/>
      <c r="AL6" s="227"/>
      <c r="AM6" s="227"/>
      <c r="AN6" s="227"/>
      <c r="AO6" s="227"/>
      <c r="AP6" s="227"/>
      <c r="AQ6" s="227"/>
      <c r="AR6" s="227"/>
      <c r="AS6" s="229"/>
      <c r="AU6" s="137">
        <f t="shared" si="0"/>
        <v>0</v>
      </c>
      <c r="AV6">
        <f t="shared" si="1"/>
        <v>0</v>
      </c>
      <c r="AW6">
        <f t="shared" si="2"/>
        <v>0</v>
      </c>
      <c r="AX6">
        <f t="shared" si="3"/>
        <v>0</v>
      </c>
      <c r="AY6">
        <f t="shared" si="4"/>
        <v>0</v>
      </c>
      <c r="AZ6">
        <f t="shared" si="5"/>
        <v>0</v>
      </c>
      <c r="BA6">
        <f t="shared" si="6"/>
        <v>0</v>
      </c>
      <c r="BB6">
        <f t="shared" si="7"/>
        <v>0</v>
      </c>
      <c r="BC6">
        <f t="shared" si="8"/>
        <v>0</v>
      </c>
      <c r="BD6">
        <f t="shared" si="9"/>
        <v>0</v>
      </c>
      <c r="BE6">
        <f t="shared" si="10"/>
        <v>0</v>
      </c>
      <c r="BF6">
        <f t="shared" si="11"/>
        <v>0</v>
      </c>
      <c r="BG6">
        <f t="shared" si="12"/>
        <v>0</v>
      </c>
      <c r="BH6" s="238">
        <f t="shared" si="13"/>
        <v>0</v>
      </c>
    </row>
    <row r="7" spans="1:60" ht="15">
      <c r="A7" t="s">
        <v>189</v>
      </c>
      <c r="B7" t="str">
        <f ca="1"/>
        <v>C6 JAN-FEB</v>
      </c>
      <c r="C7" s="209">
        <f ca="1"/>
        <v>46027</v>
      </c>
      <c r="D7" t="str">
        <f ca="1"/>
        <v>Chakki1,2&amp;3</v>
      </c>
      <c r="E7" t="str">
        <f ca="1"/>
        <v>C6</v>
      </c>
      <c r="F7" t="str">
        <f ca="1"/>
        <v>Multigrain</v>
      </c>
      <c r="G7" s="210">
        <f ca="1"/>
        <v>1350</v>
      </c>
      <c r="H7" s="210">
        <f ca="1"/>
        <v>0</v>
      </c>
      <c r="I7" s="210">
        <f ca="1"/>
        <v>10</v>
      </c>
      <c r="J7" s="210">
        <f ca="1"/>
        <v>3</v>
      </c>
      <c r="K7" s="210">
        <f ca="1"/>
        <v>118</v>
      </c>
      <c r="L7" s="210">
        <f ca="1"/>
        <v>131</v>
      </c>
      <c r="M7" s="210">
        <f ca="1"/>
        <v>1219</v>
      </c>
      <c r="N7" s="210">
        <f ca="1"/>
        <v>3</v>
      </c>
      <c r="O7" t="str">
        <f ca="1"/>
        <v>Day</v>
      </c>
      <c r="P7" s="211">
        <f ca="1"/>
        <v>0.90296296296296286</v>
      </c>
      <c r="Q7">
        <f ca="1"/>
        <v>1350</v>
      </c>
      <c r="R7">
        <f ca="1"/>
        <v>0</v>
      </c>
      <c r="AF7" s="230"/>
      <c r="AG7" s="231"/>
      <c r="AH7" s="231"/>
      <c r="AI7" s="232"/>
      <c r="AJ7" s="231"/>
      <c r="AK7" s="231"/>
      <c r="AL7" s="231"/>
      <c r="AM7" s="231"/>
      <c r="AN7" s="231"/>
      <c r="AO7" s="231"/>
      <c r="AP7" s="231"/>
      <c r="AQ7" s="231"/>
      <c r="AR7" s="231"/>
      <c r="AS7" s="233"/>
      <c r="AU7" s="137">
        <f t="shared" si="0"/>
        <v>0</v>
      </c>
      <c r="AV7">
        <f t="shared" si="1"/>
        <v>0</v>
      </c>
      <c r="AW7">
        <f t="shared" si="2"/>
        <v>0</v>
      </c>
      <c r="AX7">
        <f t="shared" si="3"/>
        <v>0</v>
      </c>
      <c r="AY7">
        <f t="shared" si="4"/>
        <v>0</v>
      </c>
      <c r="AZ7">
        <f t="shared" si="5"/>
        <v>0</v>
      </c>
      <c r="BA7">
        <f t="shared" si="6"/>
        <v>0</v>
      </c>
      <c r="BB7">
        <f t="shared" si="7"/>
        <v>0</v>
      </c>
      <c r="BC7">
        <f t="shared" si="8"/>
        <v>0</v>
      </c>
      <c r="BD7">
        <f t="shared" si="9"/>
        <v>0</v>
      </c>
      <c r="BE7">
        <f t="shared" si="10"/>
        <v>0</v>
      </c>
      <c r="BF7">
        <f t="shared" si="11"/>
        <v>0</v>
      </c>
      <c r="BG7">
        <f t="shared" si="12"/>
        <v>0</v>
      </c>
      <c r="BH7" s="238">
        <f t="shared" si="13"/>
        <v>0</v>
      </c>
    </row>
    <row r="8" spans="1:60" ht="12.75">
      <c r="A8" t="s">
        <v>190</v>
      </c>
      <c r="B8" t="str">
        <f ca="1"/>
        <v>C6 JAN-FEB</v>
      </c>
      <c r="C8" s="209">
        <f ca="1"/>
        <v>46027</v>
      </c>
      <c r="D8" t="str">
        <f ca="1"/>
        <v>Chakki1,2&amp;3</v>
      </c>
      <c r="E8" t="str">
        <f ca="1"/>
        <v>C6</v>
      </c>
      <c r="F8" t="str">
        <f ca="1"/>
        <v>Khapli</v>
      </c>
      <c r="G8" s="210">
        <f ca="1"/>
        <v>3019.5</v>
      </c>
      <c r="H8" s="210">
        <f ca="1"/>
        <v>1</v>
      </c>
      <c r="I8" s="210">
        <f ca="1"/>
        <v>120</v>
      </c>
      <c r="J8" s="210">
        <f ca="1"/>
        <v>1</v>
      </c>
      <c r="K8" s="210">
        <f ca="1"/>
        <v>179.5</v>
      </c>
      <c r="L8" s="210">
        <f ca="1"/>
        <v>301.5</v>
      </c>
      <c r="M8" s="210">
        <f ca="1"/>
        <v>2718</v>
      </c>
      <c r="N8" s="210">
        <f ca="1"/>
        <v>3</v>
      </c>
      <c r="O8" t="str">
        <f ca="1"/>
        <v>Night</v>
      </c>
      <c r="P8" s="211">
        <f ca="1"/>
        <v>0.90014903129657231</v>
      </c>
      <c r="Q8">
        <f ca="1"/>
        <v>3019.5</v>
      </c>
      <c r="R8">
        <f ca="1"/>
        <v>0</v>
      </c>
    </row>
    <row r="9" spans="1:60" ht="12.75">
      <c r="A9" t="s">
        <v>191</v>
      </c>
      <c r="B9" t="str">
        <f ca="1"/>
        <v>C6 JAN-FEB</v>
      </c>
      <c r="C9" s="209">
        <f ca="1"/>
        <v>46028</v>
      </c>
      <c r="D9" t="str">
        <f ca="1"/>
        <v>Chakki1,2&amp;3</v>
      </c>
      <c r="E9" t="str">
        <f ca="1"/>
        <v>C6</v>
      </c>
      <c r="F9" t="str">
        <f ca="1"/>
        <v>Khapli</v>
      </c>
      <c r="G9" s="210">
        <f ca="1"/>
        <v>2178</v>
      </c>
      <c r="H9" s="210">
        <f ca="1"/>
        <v>0</v>
      </c>
      <c r="I9" s="210">
        <f ca="1"/>
        <v>85</v>
      </c>
      <c r="J9" s="210">
        <f ca="1"/>
        <v>2</v>
      </c>
      <c r="K9" s="210">
        <f ca="1"/>
        <v>35</v>
      </c>
      <c r="L9" s="210">
        <f ca="1"/>
        <v>122</v>
      </c>
      <c r="M9" s="210">
        <f ca="1"/>
        <v>2056</v>
      </c>
      <c r="N9" s="210">
        <f ca="1"/>
        <v>3</v>
      </c>
      <c r="O9" t="str">
        <f ca="1"/>
        <v>Day</v>
      </c>
      <c r="P9" s="211">
        <f ca="1"/>
        <v>0.94398530762167132</v>
      </c>
      <c r="Q9">
        <f ca="1"/>
        <v>2178</v>
      </c>
      <c r="R9">
        <f ca="1"/>
        <v>0</v>
      </c>
    </row>
    <row r="10" spans="1:60" ht="12.75">
      <c r="A10" t="s">
        <v>192</v>
      </c>
      <c r="B10" t="str">
        <f ca="1"/>
        <v>C6 JAN-FEB</v>
      </c>
      <c r="C10" s="209">
        <f ca="1"/>
        <v>46028</v>
      </c>
      <c r="D10" t="str">
        <f ca="1"/>
        <v>Chakki1,2&amp;3</v>
      </c>
      <c r="E10" t="str">
        <f ca="1"/>
        <v>C6</v>
      </c>
      <c r="F10" t="str">
        <f ca="1"/>
        <v>Multigrain</v>
      </c>
      <c r="G10" s="210">
        <f ca="1"/>
        <v>3700</v>
      </c>
      <c r="H10" s="210">
        <f ca="1"/>
        <v>0</v>
      </c>
      <c r="I10" s="210">
        <f ca="1"/>
        <v>90</v>
      </c>
      <c r="J10" s="210">
        <f ca="1"/>
        <v>2</v>
      </c>
      <c r="K10" s="210">
        <f ca="1"/>
        <v>246</v>
      </c>
      <c r="L10" s="210">
        <f ca="1"/>
        <v>338</v>
      </c>
      <c r="M10" s="210">
        <f ca="1"/>
        <v>3362</v>
      </c>
      <c r="N10" s="210">
        <f ca="1"/>
        <v>3</v>
      </c>
      <c r="O10" t="str">
        <f ca="1"/>
        <v>Night</v>
      </c>
      <c r="P10" s="211">
        <f ca="1"/>
        <v>0.90864864864864869</v>
      </c>
      <c r="Q10">
        <f ca="1"/>
        <v>3700</v>
      </c>
      <c r="R10">
        <f ca="1"/>
        <v>0</v>
      </c>
    </row>
    <row r="11" spans="1:60" ht="21">
      <c r="A11" t="s">
        <v>193</v>
      </c>
      <c r="B11" t="str">
        <f ca="1"/>
        <v>C6 JAN-FEB</v>
      </c>
      <c r="C11" s="209">
        <f ca="1"/>
        <v>46029</v>
      </c>
      <c r="D11" t="str">
        <f ca="1"/>
        <v>Chakki1,2&amp;3</v>
      </c>
      <c r="E11" t="str">
        <f ca="1"/>
        <v>C6</v>
      </c>
      <c r="F11" t="str">
        <f ca="1"/>
        <v>Multigrain</v>
      </c>
      <c r="G11" s="210">
        <f ca="1"/>
        <v>2400</v>
      </c>
      <c r="H11" s="210">
        <f ca="1"/>
        <v>0</v>
      </c>
      <c r="I11" s="210">
        <f ca="1"/>
        <v>19</v>
      </c>
      <c r="J11" s="210">
        <f ca="1"/>
        <v>3</v>
      </c>
      <c r="K11" s="210">
        <f ca="1"/>
        <v>195</v>
      </c>
      <c r="L11" s="210">
        <f ca="1"/>
        <v>217</v>
      </c>
      <c r="M11" s="210">
        <f ca="1"/>
        <v>2183</v>
      </c>
      <c r="N11" s="210">
        <f ca="1"/>
        <v>3</v>
      </c>
      <c r="O11" t="str">
        <f ca="1"/>
        <v>Day</v>
      </c>
      <c r="P11" s="211">
        <f ca="1"/>
        <v>0.9095833333333333</v>
      </c>
      <c r="Q11">
        <f ca="1"/>
        <v>2400</v>
      </c>
      <c r="R11">
        <f ca="1"/>
        <v>0</v>
      </c>
      <c r="AF11" s="305" t="s">
        <v>194</v>
      </c>
      <c r="AG11" s="306"/>
      <c r="AH11" s="306"/>
      <c r="AI11" s="306"/>
      <c r="AJ11" s="306"/>
      <c r="AK11" s="306"/>
      <c r="AL11" s="306"/>
      <c r="AM11" s="306"/>
      <c r="AN11" s="306"/>
      <c r="AO11" s="306"/>
      <c r="AP11" s="306"/>
      <c r="AQ11" s="306"/>
      <c r="AR11" s="306"/>
      <c r="AS11" s="307"/>
    </row>
    <row r="12" spans="1:60" ht="18.75">
      <c r="A12" t="s">
        <v>195</v>
      </c>
      <c r="B12" t="str">
        <f ca="1"/>
        <v>C6 JAN-FEB</v>
      </c>
      <c r="C12" s="209">
        <f ca="1"/>
        <v>46029</v>
      </c>
      <c r="D12" t="str">
        <f ca="1"/>
        <v>Chakki1,2&amp;3</v>
      </c>
      <c r="E12" t="str">
        <f ca="1"/>
        <v>C6</v>
      </c>
      <c r="F12" t="str">
        <f ca="1"/>
        <v>Multigrain</v>
      </c>
      <c r="G12" s="210">
        <f ca="1"/>
        <v>3750</v>
      </c>
      <c r="H12" s="210">
        <f ca="1"/>
        <v>0</v>
      </c>
      <c r="I12" s="210">
        <f ca="1"/>
        <v>110</v>
      </c>
      <c r="J12" s="210">
        <f ca="1"/>
        <v>4</v>
      </c>
      <c r="K12" s="210">
        <f ca="1"/>
        <v>214</v>
      </c>
      <c r="L12" s="210">
        <f ca="1"/>
        <v>328</v>
      </c>
      <c r="M12" s="210">
        <f ca="1"/>
        <v>3422</v>
      </c>
      <c r="N12" s="210">
        <f ca="1"/>
        <v>3</v>
      </c>
      <c r="O12" t="str">
        <f ca="1"/>
        <v>Night</v>
      </c>
      <c r="P12" s="211">
        <f ca="1"/>
        <v>0.91253333333333331</v>
      </c>
      <c r="Q12">
        <f ca="1"/>
        <v>3750</v>
      </c>
      <c r="R12">
        <f ca="1"/>
        <v>0</v>
      </c>
      <c r="AF12" s="234" t="s">
        <v>25</v>
      </c>
      <c r="AG12" s="235" t="s">
        <v>26</v>
      </c>
      <c r="AH12" s="235" t="s">
        <v>27</v>
      </c>
      <c r="AI12" s="235" t="s">
        <v>22</v>
      </c>
      <c r="AJ12" s="236" t="s">
        <v>28</v>
      </c>
      <c r="AK12" s="236" t="s">
        <v>29</v>
      </c>
      <c r="AL12" s="236" t="s">
        <v>30</v>
      </c>
      <c r="AM12" s="236" t="s">
        <v>31</v>
      </c>
      <c r="AN12" s="236" t="s">
        <v>32</v>
      </c>
      <c r="AO12" s="235" t="s">
        <v>33</v>
      </c>
      <c r="AP12" s="235" t="s">
        <v>34</v>
      </c>
      <c r="AQ12" s="235" t="s">
        <v>35</v>
      </c>
      <c r="AR12" s="235" t="s">
        <v>36</v>
      </c>
      <c r="AS12" s="237" t="s">
        <v>37</v>
      </c>
      <c r="AU12" t="str">
        <f t="shared" ref="AU12:AU15" si="14">AF12</f>
        <v>Date</v>
      </c>
      <c r="AV12" t="str">
        <f t="shared" ref="AV12:AV15" si="15">AG12</f>
        <v>Machine</v>
      </c>
      <c r="AW12" t="str">
        <f t="shared" ref="AW12:AW15" si="16">AH12</f>
        <v>Plant</v>
      </c>
      <c r="AX12" t="str">
        <f t="shared" ref="AX12:AX15" si="17">AI12</f>
        <v>Product</v>
      </c>
      <c r="AY12" t="str">
        <f t="shared" ref="AY12:AY15" si="18">AJ12</f>
        <v>IN in Kg</v>
      </c>
      <c r="AZ12" t="str">
        <f t="shared" ref="AZ12:AZ15" si="19">AK12</f>
        <v>Sorting</v>
      </c>
      <c r="BA12" t="str">
        <f t="shared" ref="BA12:BA15" si="20">AL12</f>
        <v>Bran</v>
      </c>
      <c r="BB12" t="str">
        <f t="shared" ref="BB12:BB15" si="21">AM12</f>
        <v>Floor Atta</v>
      </c>
      <c r="BC12" t="str">
        <f t="shared" ref="BC12:BC15" si="22">AN12</f>
        <v>Process Loss</v>
      </c>
      <c r="BD12" t="str">
        <f t="shared" ref="BD12:BD15" si="23">AO12</f>
        <v>Total Wastage</v>
      </c>
      <c r="BE12" t="str">
        <f t="shared" ref="BE12:BE15" si="24">AP12</f>
        <v>OUT in Kg</v>
      </c>
      <c r="BF12" t="str">
        <f t="shared" ref="BF12:BF15" si="25">AQ12</f>
        <v>Manpower</v>
      </c>
      <c r="BG12" t="str">
        <f t="shared" ref="BG12:BG15" si="26">AR12</f>
        <v>Shift</v>
      </c>
      <c r="BH12" t="str">
        <f t="shared" ref="BH12:BH15" si="27">AS12</f>
        <v>Yield %</v>
      </c>
    </row>
    <row r="13" spans="1:60" ht="15">
      <c r="A13" t="s">
        <v>196</v>
      </c>
      <c r="B13" t="str">
        <f ca="1"/>
        <v>C6 JAN-FEB</v>
      </c>
      <c r="C13" s="209">
        <f ca="1"/>
        <v>46030</v>
      </c>
      <c r="D13" t="str">
        <f ca="1"/>
        <v>Chakki1,2</v>
      </c>
      <c r="E13" t="str">
        <f ca="1"/>
        <v>C6</v>
      </c>
      <c r="F13" t="str">
        <f ca="1"/>
        <v>Multigrain</v>
      </c>
      <c r="G13" s="210">
        <f ca="1"/>
        <v>600</v>
      </c>
      <c r="H13" s="210">
        <f ca="1"/>
        <v>0</v>
      </c>
      <c r="I13" s="210">
        <f ca="1"/>
        <v>2</v>
      </c>
      <c r="J13" s="210">
        <f ca="1"/>
        <v>1</v>
      </c>
      <c r="K13" s="210">
        <f ca="1"/>
        <v>16</v>
      </c>
      <c r="L13" s="210">
        <f ca="1"/>
        <v>19</v>
      </c>
      <c r="M13" s="210">
        <f ca="1"/>
        <v>581</v>
      </c>
      <c r="N13" s="210">
        <f ca="1"/>
        <v>2</v>
      </c>
      <c r="O13" t="str">
        <f ca="1"/>
        <v>Day</v>
      </c>
      <c r="P13" s="211">
        <f ca="1"/>
        <v>0.96833333333333338</v>
      </c>
      <c r="Q13">
        <f ca="1"/>
        <v>600</v>
      </c>
      <c r="R13">
        <f ca="1"/>
        <v>0</v>
      </c>
      <c r="AF13" s="222" t="str" cm="1">
        <f t="array" aca="1" ref="AF13" ca="1">_xlfn._xlws.FILTER('C39 OCT'!A10:N508,'C39 OCT'!A10:A508=TODAY()-1,"No Data")</f>
        <v>No Data</v>
      </c>
      <c r="AG13" s="223"/>
      <c r="AH13" s="223"/>
      <c r="AI13" s="224"/>
      <c r="AJ13" s="223"/>
      <c r="AK13" s="223"/>
      <c r="AL13" s="223"/>
      <c r="AM13" s="223"/>
      <c r="AN13" s="223"/>
      <c r="AO13" s="223"/>
      <c r="AP13" s="223"/>
      <c r="AQ13" s="223"/>
      <c r="AR13" s="223"/>
      <c r="AS13" s="225"/>
      <c r="AU13" s="137" t="str">
        <f t="shared" ca="1" si="14"/>
        <v>No Data</v>
      </c>
      <c r="AV13">
        <f t="shared" si="15"/>
        <v>0</v>
      </c>
      <c r="AW13">
        <f t="shared" si="16"/>
        <v>0</v>
      </c>
      <c r="AX13">
        <f t="shared" si="17"/>
        <v>0</v>
      </c>
      <c r="AY13">
        <f t="shared" si="18"/>
        <v>0</v>
      </c>
      <c r="AZ13">
        <f t="shared" si="19"/>
        <v>0</v>
      </c>
      <c r="BA13">
        <f t="shared" si="20"/>
        <v>0</v>
      </c>
      <c r="BB13">
        <f t="shared" si="21"/>
        <v>0</v>
      </c>
      <c r="BC13">
        <f t="shared" si="22"/>
        <v>0</v>
      </c>
      <c r="BD13">
        <f t="shared" si="23"/>
        <v>0</v>
      </c>
      <c r="BE13">
        <f t="shared" si="24"/>
        <v>0</v>
      </c>
      <c r="BF13">
        <f t="shared" si="25"/>
        <v>0</v>
      </c>
      <c r="BG13">
        <f t="shared" si="26"/>
        <v>0</v>
      </c>
      <c r="BH13" s="238">
        <f t="shared" si="27"/>
        <v>0</v>
      </c>
    </row>
    <row r="14" spans="1:60" ht="15">
      <c r="A14" t="s">
        <v>197</v>
      </c>
      <c r="B14" t="str">
        <f ca="1"/>
        <v>C6 JAN-FEB</v>
      </c>
      <c r="C14" s="209">
        <f ca="1"/>
        <v>46030</v>
      </c>
      <c r="D14" t="str">
        <f ca="1"/>
        <v>Chakki1,2&amp;3</v>
      </c>
      <c r="E14" t="str">
        <f ca="1"/>
        <v>C6</v>
      </c>
      <c r="F14" t="str">
        <f ca="1"/>
        <v>Multigrain</v>
      </c>
      <c r="G14" s="210">
        <f ca="1"/>
        <v>1150</v>
      </c>
      <c r="H14" s="210">
        <f ca="1"/>
        <v>0</v>
      </c>
      <c r="I14" s="210">
        <f ca="1"/>
        <v>23</v>
      </c>
      <c r="J14" s="210">
        <f ca="1"/>
        <v>2</v>
      </c>
      <c r="K14" s="210">
        <f ca="1"/>
        <v>87</v>
      </c>
      <c r="L14" s="210">
        <f ca="1"/>
        <v>112</v>
      </c>
      <c r="M14" s="210">
        <f ca="1"/>
        <v>1038</v>
      </c>
      <c r="N14" s="210">
        <f ca="1"/>
        <v>4</v>
      </c>
      <c r="O14" t="str">
        <f ca="1"/>
        <v>Night</v>
      </c>
      <c r="P14" s="211">
        <f ca="1"/>
        <v>0.90260869565217394</v>
      </c>
      <c r="Q14">
        <f ca="1"/>
        <v>1150</v>
      </c>
      <c r="R14">
        <f ca="1"/>
        <v>0</v>
      </c>
      <c r="AF14" s="226"/>
      <c r="AG14" s="227"/>
      <c r="AH14" s="227"/>
      <c r="AI14" s="228"/>
      <c r="AJ14" s="227"/>
      <c r="AK14" s="227"/>
      <c r="AL14" s="227"/>
      <c r="AM14" s="227"/>
      <c r="AN14" s="227"/>
      <c r="AO14" s="227"/>
      <c r="AP14" s="227"/>
      <c r="AQ14" s="227"/>
      <c r="AR14" s="227"/>
      <c r="AS14" s="229"/>
      <c r="AU14" s="137">
        <f t="shared" si="14"/>
        <v>0</v>
      </c>
      <c r="AV14">
        <f t="shared" si="15"/>
        <v>0</v>
      </c>
      <c r="AW14">
        <f t="shared" si="16"/>
        <v>0</v>
      </c>
      <c r="AX14">
        <f t="shared" si="17"/>
        <v>0</v>
      </c>
      <c r="AY14">
        <f t="shared" si="18"/>
        <v>0</v>
      </c>
      <c r="AZ14">
        <f t="shared" si="19"/>
        <v>0</v>
      </c>
      <c r="BA14">
        <f t="shared" si="20"/>
        <v>0</v>
      </c>
      <c r="BB14">
        <f t="shared" si="21"/>
        <v>0</v>
      </c>
      <c r="BC14">
        <f t="shared" si="22"/>
        <v>0</v>
      </c>
      <c r="BD14">
        <f t="shared" si="23"/>
        <v>0</v>
      </c>
      <c r="BE14">
        <f t="shared" si="24"/>
        <v>0</v>
      </c>
      <c r="BF14">
        <f t="shared" si="25"/>
        <v>0</v>
      </c>
      <c r="BG14">
        <f t="shared" si="26"/>
        <v>0</v>
      </c>
      <c r="BH14" s="238">
        <f t="shared" si="27"/>
        <v>0</v>
      </c>
    </row>
    <row r="15" spans="1:60" ht="15">
      <c r="A15" t="s">
        <v>198</v>
      </c>
      <c r="B15" t="str">
        <f ca="1"/>
        <v>C6 JAN-FEB</v>
      </c>
      <c r="C15" s="209">
        <f ca="1"/>
        <v>46031</v>
      </c>
      <c r="D15" t="str">
        <f ca="1"/>
        <v>Chakki1,2</v>
      </c>
      <c r="E15" t="str">
        <f ca="1"/>
        <v>C6</v>
      </c>
      <c r="F15" t="str">
        <f ca="1"/>
        <v>Multigrain</v>
      </c>
      <c r="G15" s="210">
        <f ca="1"/>
        <v>70</v>
      </c>
      <c r="H15" s="210">
        <f ca="1"/>
        <v>0</v>
      </c>
      <c r="I15" s="210">
        <f ca="1"/>
        <v>0</v>
      </c>
      <c r="J15" s="210">
        <f ca="1"/>
        <v>0</v>
      </c>
      <c r="K15" s="210">
        <f ca="1"/>
        <v>6</v>
      </c>
      <c r="L15" s="210">
        <f ca="1"/>
        <v>6</v>
      </c>
      <c r="M15" s="210">
        <f ca="1"/>
        <v>64</v>
      </c>
      <c r="N15" s="210">
        <f ca="1"/>
        <v>0</v>
      </c>
      <c r="O15" t="str">
        <f ca="1"/>
        <v>Day</v>
      </c>
      <c r="P15" s="211">
        <f ca="1"/>
        <v>0.91428571428571426</v>
      </c>
      <c r="Q15">
        <f ca="1"/>
        <v>70</v>
      </c>
      <c r="R15">
        <f ca="1"/>
        <v>0</v>
      </c>
      <c r="AF15" s="230"/>
      <c r="AG15" s="231"/>
      <c r="AH15" s="231"/>
      <c r="AI15" s="232"/>
      <c r="AJ15" s="231"/>
      <c r="AK15" s="231"/>
      <c r="AL15" s="231"/>
      <c r="AM15" s="231"/>
      <c r="AN15" s="231"/>
      <c r="AO15" s="231"/>
      <c r="AP15" s="231"/>
      <c r="AQ15" s="231"/>
      <c r="AR15" s="231"/>
      <c r="AS15" s="233"/>
      <c r="AU15" s="137">
        <f t="shared" si="14"/>
        <v>0</v>
      </c>
      <c r="AV15">
        <f t="shared" si="15"/>
        <v>0</v>
      </c>
      <c r="AW15">
        <f t="shared" si="16"/>
        <v>0</v>
      </c>
      <c r="AX15">
        <f t="shared" si="17"/>
        <v>0</v>
      </c>
      <c r="AY15">
        <f t="shared" si="18"/>
        <v>0</v>
      </c>
      <c r="AZ15">
        <f t="shared" si="19"/>
        <v>0</v>
      </c>
      <c r="BA15">
        <f t="shared" si="20"/>
        <v>0</v>
      </c>
      <c r="BB15">
        <f t="shared" si="21"/>
        <v>0</v>
      </c>
      <c r="BC15">
        <f t="shared" si="22"/>
        <v>0</v>
      </c>
      <c r="BD15">
        <f t="shared" si="23"/>
        <v>0</v>
      </c>
      <c r="BE15">
        <f t="shared" si="24"/>
        <v>0</v>
      </c>
      <c r="BF15">
        <f t="shared" si="25"/>
        <v>0</v>
      </c>
      <c r="BG15">
        <f t="shared" si="26"/>
        <v>0</v>
      </c>
      <c r="BH15" s="238">
        <f t="shared" si="27"/>
        <v>0</v>
      </c>
    </row>
    <row r="16" spans="1:60" ht="12.75">
      <c r="A16" t="s">
        <v>199</v>
      </c>
      <c r="B16" t="str">
        <f ca="1"/>
        <v>C6 JAN-FEB</v>
      </c>
      <c r="C16" s="209">
        <f ca="1"/>
        <v>46032</v>
      </c>
      <c r="D16" t="str">
        <f ca="1"/>
        <v>Chakki1,2&amp;3</v>
      </c>
      <c r="E16" t="str">
        <f ca="1"/>
        <v>C6</v>
      </c>
      <c r="F16" t="str">
        <f ca="1"/>
        <v>Multigrain</v>
      </c>
      <c r="G16" s="210">
        <f ca="1"/>
        <v>1000</v>
      </c>
      <c r="H16" s="210">
        <f ca="1"/>
        <v>0</v>
      </c>
      <c r="I16" s="210">
        <f ca="1"/>
        <v>8</v>
      </c>
      <c r="J16" s="210">
        <f ca="1"/>
        <v>0</v>
      </c>
      <c r="K16" s="210">
        <f ca="1"/>
        <v>31</v>
      </c>
      <c r="L16" s="210">
        <f ca="1"/>
        <v>39</v>
      </c>
      <c r="M16" s="210">
        <f ca="1"/>
        <v>961</v>
      </c>
      <c r="N16" s="210">
        <f ca="1"/>
        <v>2</v>
      </c>
      <c r="O16" t="str">
        <f ca="1"/>
        <v>Day</v>
      </c>
      <c r="P16" s="211">
        <f ca="1"/>
        <v>0.96099999999999997</v>
      </c>
      <c r="Q16">
        <f ca="1"/>
        <v>1000</v>
      </c>
      <c r="R16">
        <f ca="1"/>
        <v>0</v>
      </c>
    </row>
    <row r="17" spans="1:58">
      <c r="A17" t="s">
        <v>200</v>
      </c>
      <c r="B17" t="str">
        <f ca="1"/>
        <v>C6 JAN-FEB</v>
      </c>
      <c r="C17" s="209">
        <f ca="1"/>
        <v>46033</v>
      </c>
      <c r="D17" t="str">
        <f ca="1"/>
        <v>Chakki1,2&amp;3</v>
      </c>
      <c r="E17" t="str">
        <f ca="1"/>
        <v>C6</v>
      </c>
      <c r="F17" t="str">
        <f ca="1"/>
        <v>Multigrain</v>
      </c>
      <c r="G17" s="210">
        <f ca="1"/>
        <v>1600</v>
      </c>
      <c r="H17" s="210">
        <f ca="1"/>
        <v>0</v>
      </c>
      <c r="I17" s="210">
        <f ca="1"/>
        <v>12</v>
      </c>
      <c r="J17" s="210">
        <f ca="1"/>
        <v>2</v>
      </c>
      <c r="K17" s="210">
        <f ca="1"/>
        <v>46</v>
      </c>
      <c r="L17" s="210">
        <f ca="1"/>
        <v>60</v>
      </c>
      <c r="M17" s="210">
        <f ca="1"/>
        <v>1540</v>
      </c>
      <c r="N17" s="210">
        <f ca="1"/>
        <v>3</v>
      </c>
      <c r="O17" t="str">
        <f ca="1"/>
        <v>Day</v>
      </c>
      <c r="P17" s="211">
        <f ca="1"/>
        <v>0.96250000000000002</v>
      </c>
      <c r="Q17">
        <f ca="1"/>
        <v>1600</v>
      </c>
      <c r="R17">
        <f ca="1"/>
        <v>0</v>
      </c>
    </row>
    <row r="18" spans="1:58">
      <c r="A18" t="s">
        <v>201</v>
      </c>
      <c r="B18" t="str">
        <f ca="1"/>
        <v>C6 JAN-FEB</v>
      </c>
      <c r="C18" s="209">
        <f ca="1"/>
        <v>46034</v>
      </c>
      <c r="D18" t="str">
        <f ca="1"/>
        <v>Chakki1,2&amp;3</v>
      </c>
      <c r="E18" t="str">
        <f ca="1"/>
        <v>C6</v>
      </c>
      <c r="F18" t="str">
        <f ca="1"/>
        <v>Multigrain</v>
      </c>
      <c r="G18" s="210">
        <f ca="1"/>
        <v>1650</v>
      </c>
      <c r="H18" s="210">
        <f ca="1"/>
        <v>0</v>
      </c>
      <c r="I18" s="210">
        <f ca="1"/>
        <v>16</v>
      </c>
      <c r="J18" s="210">
        <f ca="1"/>
        <v>2</v>
      </c>
      <c r="K18" s="210">
        <f ca="1"/>
        <v>71</v>
      </c>
      <c r="L18" s="210">
        <f ca="1"/>
        <v>89</v>
      </c>
      <c r="M18" s="210">
        <f ca="1"/>
        <v>1561</v>
      </c>
      <c r="N18" s="210">
        <f ca="1"/>
        <v>3</v>
      </c>
      <c r="O18" t="str">
        <f ca="1"/>
        <v>Day</v>
      </c>
      <c r="P18" s="211">
        <f ca="1"/>
        <v>0.94606060606060605</v>
      </c>
      <c r="Q18">
        <f ca="1"/>
        <v>1650</v>
      </c>
      <c r="R18">
        <f ca="1"/>
        <v>0</v>
      </c>
    </row>
    <row r="19" spans="1:58" ht="12.75">
      <c r="A19" t="s">
        <v>202</v>
      </c>
      <c r="B19" t="str">
        <f ca="1"/>
        <v>C6 JAN-FEB</v>
      </c>
      <c r="C19" s="209">
        <f ca="1"/>
        <v>46034</v>
      </c>
      <c r="D19" t="str">
        <f ca="1"/>
        <v>Chakki1,2&amp;3</v>
      </c>
      <c r="E19" t="str">
        <f ca="1"/>
        <v>C6</v>
      </c>
      <c r="F19" t="str">
        <f ca="1"/>
        <v>Multigrain</v>
      </c>
      <c r="G19" s="210">
        <f ca="1"/>
        <v>1500</v>
      </c>
      <c r="H19" s="210">
        <f ca="1"/>
        <v>0</v>
      </c>
      <c r="I19" s="210">
        <f ca="1"/>
        <v>13</v>
      </c>
      <c r="J19" s="210">
        <f ca="1"/>
        <v>3</v>
      </c>
      <c r="K19" s="210">
        <f ca="1"/>
        <v>149</v>
      </c>
      <c r="L19" s="210">
        <f ca="1"/>
        <v>165</v>
      </c>
      <c r="M19" s="210">
        <f ca="1"/>
        <v>1333</v>
      </c>
      <c r="N19" s="210">
        <f ca="1"/>
        <v>4</v>
      </c>
      <c r="O19" t="str">
        <f ca="1"/>
        <v>Night</v>
      </c>
      <c r="P19" s="211">
        <f ca="1"/>
        <v>0.88866666666666672</v>
      </c>
      <c r="Q19">
        <f ca="1"/>
        <v>1498</v>
      </c>
      <c r="R19">
        <f ca="1"/>
        <v>2</v>
      </c>
    </row>
    <row r="20" spans="1:58" ht="12.75">
      <c r="B20" t="str">
        <f ca="1"/>
        <v>C6 JAN-FEB</v>
      </c>
      <c r="C20" s="209">
        <f ca="1"/>
        <v>46035</v>
      </c>
      <c r="D20" t="str">
        <f ca="1"/>
        <v>Chakki1,2&amp;3</v>
      </c>
      <c r="E20" t="str">
        <f ca="1"/>
        <v>C6</v>
      </c>
      <c r="F20" t="str">
        <f ca="1"/>
        <v>Multigrain</v>
      </c>
      <c r="G20" s="210">
        <f ca="1"/>
        <v>2650</v>
      </c>
      <c r="H20" s="210">
        <f ca="1"/>
        <v>0</v>
      </c>
      <c r="I20" s="210">
        <f ca="1"/>
        <v>31</v>
      </c>
      <c r="J20" s="210">
        <f ca="1"/>
        <v>4</v>
      </c>
      <c r="K20" s="210">
        <f ca="1"/>
        <v>170</v>
      </c>
      <c r="L20" s="210">
        <f ca="1"/>
        <v>205</v>
      </c>
      <c r="M20" s="210">
        <f ca="1"/>
        <v>2445</v>
      </c>
      <c r="N20" s="210">
        <f ca="1"/>
        <v>3</v>
      </c>
      <c r="O20" t="str">
        <f ca="1"/>
        <v>Day</v>
      </c>
      <c r="P20" s="211">
        <f ca="1"/>
        <v>0.92264150943396228</v>
      </c>
      <c r="Q20">
        <f ca="1"/>
        <v>2650</v>
      </c>
      <c r="R20">
        <f ca="1"/>
        <v>0</v>
      </c>
    </row>
    <row r="21" spans="1:58" ht="103.5" customHeight="1">
      <c r="B21" t="str">
        <f ca="1"/>
        <v>C6 JAN-FEB</v>
      </c>
      <c r="C21" s="209">
        <f ca="1"/>
        <v>46035</v>
      </c>
      <c r="D21" t="str">
        <f ca="1"/>
        <v>Chakki1,2&amp;3</v>
      </c>
      <c r="E21" t="str">
        <f ca="1"/>
        <v>C6</v>
      </c>
      <c r="F21" t="str">
        <f ca="1"/>
        <v>Multigrain</v>
      </c>
      <c r="G21" s="210">
        <f ca="1"/>
        <v>2200</v>
      </c>
      <c r="H21" s="210">
        <f ca="1"/>
        <v>0</v>
      </c>
      <c r="I21" s="210">
        <f ca="1"/>
        <v>18</v>
      </c>
      <c r="J21" s="210">
        <f ca="1"/>
        <v>1</v>
      </c>
      <c r="K21" s="210">
        <f ca="1"/>
        <v>181</v>
      </c>
      <c r="L21" s="210">
        <f ca="1"/>
        <v>200</v>
      </c>
      <c r="M21" s="210">
        <f ca="1"/>
        <v>2000</v>
      </c>
      <c r="N21" s="210">
        <f ca="1"/>
        <v>4</v>
      </c>
      <c r="O21" t="str">
        <f ca="1"/>
        <v>Night</v>
      </c>
      <c r="P21" s="211">
        <f ca="1"/>
        <v>0.90909090909090906</v>
      </c>
      <c r="Q21">
        <f ca="1"/>
        <v>2200</v>
      </c>
      <c r="R21">
        <f ca="1"/>
        <v>0</v>
      </c>
      <c r="AF21" s="305" t="s">
        <v>203</v>
      </c>
      <c r="AG21" s="306"/>
      <c r="AH21" s="306"/>
      <c r="AI21" s="306"/>
      <c r="AJ21" s="306"/>
      <c r="AK21" s="306"/>
      <c r="AL21" s="306"/>
      <c r="AM21" s="306"/>
      <c r="AN21" s="306"/>
      <c r="AO21" s="306"/>
      <c r="AP21" s="306"/>
      <c r="AQ21" s="306"/>
      <c r="AR21" s="243"/>
      <c r="AS21" s="243"/>
    </row>
    <row r="22" spans="1:58" ht="19.5">
      <c r="B22" t="str">
        <f ca="1"/>
        <v>C6 JAN-FEB</v>
      </c>
      <c r="C22" s="209">
        <f ca="1"/>
        <v>46036</v>
      </c>
      <c r="D22" t="str">
        <f ca="1"/>
        <v>Chakki1,2&amp;3</v>
      </c>
      <c r="E22" t="str">
        <f ca="1"/>
        <v>C6</v>
      </c>
      <c r="F22" t="str">
        <f ca="1"/>
        <v>Multigrain</v>
      </c>
      <c r="G22" s="210">
        <f ca="1"/>
        <v>3000</v>
      </c>
      <c r="H22" s="210">
        <f ca="1"/>
        <v>0</v>
      </c>
      <c r="I22" s="210">
        <f ca="1"/>
        <v>51</v>
      </c>
      <c r="J22" s="210">
        <f ca="1"/>
        <v>4</v>
      </c>
      <c r="K22" s="210">
        <f ca="1"/>
        <v>255</v>
      </c>
      <c r="L22" s="210">
        <f ca="1"/>
        <v>310</v>
      </c>
      <c r="M22" s="210">
        <f ca="1"/>
        <v>2690</v>
      </c>
      <c r="N22" s="210">
        <f ca="1"/>
        <v>4</v>
      </c>
      <c r="O22" t="str">
        <f ca="1"/>
        <v>Night</v>
      </c>
      <c r="P22" s="211">
        <f ca="1"/>
        <v>0.89666666666666661</v>
      </c>
      <c r="Q22">
        <f ca="1"/>
        <v>3000</v>
      </c>
      <c r="R22">
        <f ca="1"/>
        <v>0</v>
      </c>
      <c r="AF22" s="244" t="s">
        <v>25</v>
      </c>
      <c r="AG22" s="245" t="s">
        <v>26</v>
      </c>
      <c r="AH22" s="245" t="s">
        <v>22</v>
      </c>
      <c r="AI22" s="245" t="s">
        <v>28</v>
      </c>
      <c r="AJ22" s="245" t="s">
        <v>204</v>
      </c>
      <c r="AK22" s="245" t="s">
        <v>205</v>
      </c>
      <c r="AL22" s="245" t="s">
        <v>32</v>
      </c>
      <c r="AM22" s="245" t="s">
        <v>33</v>
      </c>
      <c r="AN22" s="245" t="s">
        <v>206</v>
      </c>
      <c r="AO22" s="245" t="s">
        <v>35</v>
      </c>
      <c r="AP22" s="245" t="s">
        <v>61</v>
      </c>
      <c r="AQ22" s="246" t="s">
        <v>207</v>
      </c>
      <c r="AR22" s="194"/>
      <c r="AS22" s="194"/>
      <c r="AU22" t="str">
        <f>AF22</f>
        <v>Date</v>
      </c>
      <c r="AV22" t="str">
        <f>AG22</f>
        <v>Machine</v>
      </c>
      <c r="AW22" t="str">
        <f>AH22</f>
        <v>Product</v>
      </c>
      <c r="AX22" t="str">
        <f>AI22</f>
        <v>IN in Kg</v>
      </c>
      <c r="AY22" t="str">
        <f>AJ22</f>
        <v>Pend</v>
      </c>
      <c r="AZ22" t="str">
        <f>AK22</f>
        <v>B Grade</v>
      </c>
      <c r="BA22" t="str">
        <f>AL22</f>
        <v>Process Loss</v>
      </c>
      <c r="BB22" t="str">
        <f>AM22</f>
        <v>Total Wastage</v>
      </c>
      <c r="BC22" t="str">
        <f>AN22</f>
        <v>Oil Out in KG</v>
      </c>
      <c r="BD22" t="str">
        <f>AO22</f>
        <v>Manpower</v>
      </c>
      <c r="BE22" t="str">
        <f>AP22</f>
        <v>Remark</v>
      </c>
      <c r="BF22" t="str">
        <f>AQ22</f>
        <v>Yeild %</v>
      </c>
    </row>
    <row r="23" spans="1:58" ht="15">
      <c r="B23" t="str">
        <f ca="1"/>
        <v>C6 JAN-FEB</v>
      </c>
      <c r="C23" s="209">
        <f ca="1"/>
        <v>46037</v>
      </c>
      <c r="D23" t="str">
        <f ca="1"/>
        <v>Chakki1,2&amp;3</v>
      </c>
      <c r="E23" t="str">
        <f ca="1"/>
        <v>C6</v>
      </c>
      <c r="F23" t="str">
        <f ca="1"/>
        <v>Multigrain</v>
      </c>
      <c r="G23" s="210">
        <f ca="1"/>
        <v>2000</v>
      </c>
      <c r="H23" s="210">
        <f ca="1"/>
        <v>0</v>
      </c>
      <c r="I23" s="210">
        <f ca="1"/>
        <v>85</v>
      </c>
      <c r="J23" s="210">
        <f ca="1"/>
        <v>2</v>
      </c>
      <c r="K23" s="210">
        <f ca="1"/>
        <v>93</v>
      </c>
      <c r="L23" s="210">
        <f ca="1"/>
        <v>180</v>
      </c>
      <c r="M23" s="210">
        <f ca="1"/>
        <v>1820</v>
      </c>
      <c r="N23" s="210">
        <f ca="1"/>
        <v>4</v>
      </c>
      <c r="O23" t="str">
        <f ca="1"/>
        <v>Night</v>
      </c>
      <c r="P23" s="211">
        <f ca="1"/>
        <v>0.91</v>
      </c>
      <c r="Q23">
        <f ca="1"/>
        <v>2000</v>
      </c>
      <c r="R23">
        <f ca="1"/>
        <v>0</v>
      </c>
      <c r="AF23" s="239" t="str" cm="1">
        <f t="array" aca="1" ref="AF23" ca="1">_xlfn._xlws.FILTER('[1]Report Summary'!A3:L10000,'[1]Report Summary'!A3:A10000=TODAY()-1,"No Data")</f>
        <v>No Data</v>
      </c>
      <c r="AG23" s="223"/>
      <c r="AH23" s="223"/>
      <c r="AI23" s="223"/>
      <c r="AJ23" s="223"/>
      <c r="AK23" s="223"/>
      <c r="AL23" s="223"/>
      <c r="AM23" s="223"/>
      <c r="AN23" s="223"/>
      <c r="AO23" s="223"/>
      <c r="AP23" s="223"/>
      <c r="AQ23" s="240"/>
      <c r="AR23" s="194"/>
      <c r="AS23" s="194"/>
      <c r="AU23" s="137" t="str">
        <f ca="1">AF23</f>
        <v>No Data</v>
      </c>
      <c r="AV23">
        <f>AG23</f>
        <v>0</v>
      </c>
      <c r="AW23">
        <f>AH23</f>
        <v>0</v>
      </c>
      <c r="AX23">
        <f>AI23</f>
        <v>0</v>
      </c>
      <c r="AY23">
        <f>AJ23</f>
        <v>0</v>
      </c>
      <c r="AZ23">
        <f>AK23</f>
        <v>0</v>
      </c>
      <c r="BA23">
        <f>AL23</f>
        <v>0</v>
      </c>
      <c r="BB23">
        <f>AM23</f>
        <v>0</v>
      </c>
      <c r="BC23">
        <f>AN23</f>
        <v>0</v>
      </c>
      <c r="BD23">
        <f>AO23</f>
        <v>0</v>
      </c>
      <c r="BE23">
        <f>AP23</f>
        <v>0</v>
      </c>
      <c r="BF23" s="238">
        <f>AQ23</f>
        <v>0</v>
      </c>
    </row>
    <row r="24" spans="1:58" ht="15">
      <c r="B24" t="str">
        <f ca="1"/>
        <v>C6 JAN-FEB</v>
      </c>
      <c r="C24" s="209">
        <f ca="1"/>
        <v>46038</v>
      </c>
      <c r="D24" t="str">
        <f ca="1"/>
        <v>Chakki1,2&amp;3</v>
      </c>
      <c r="E24" t="str">
        <f ca="1"/>
        <v>C6</v>
      </c>
      <c r="F24" t="str">
        <f ca="1"/>
        <v>Multigrain</v>
      </c>
      <c r="G24" s="210">
        <f ca="1"/>
        <v>2100</v>
      </c>
      <c r="H24" s="210">
        <f ca="1"/>
        <v>0</v>
      </c>
      <c r="I24" s="210">
        <f ca="1"/>
        <v>18</v>
      </c>
      <c r="J24" s="210">
        <f ca="1"/>
        <v>1</v>
      </c>
      <c r="K24" s="210">
        <f ca="1"/>
        <v>80</v>
      </c>
      <c r="L24" s="210">
        <f ca="1"/>
        <v>99</v>
      </c>
      <c r="M24" s="210">
        <f ca="1"/>
        <v>2001</v>
      </c>
      <c r="N24" s="210">
        <f ca="1"/>
        <v>3</v>
      </c>
      <c r="O24" t="str">
        <f ca="1"/>
        <v>Day</v>
      </c>
      <c r="P24" s="211">
        <f ca="1"/>
        <v>0.95285714285714274</v>
      </c>
      <c r="Q24">
        <f ca="1"/>
        <v>2100</v>
      </c>
      <c r="R24">
        <f ca="1"/>
        <v>0</v>
      </c>
      <c r="AF24" s="241"/>
      <c r="AG24" s="231"/>
      <c r="AH24" s="231"/>
      <c r="AI24" s="231"/>
      <c r="AJ24" s="231"/>
      <c r="AK24" s="231"/>
      <c r="AL24" s="231"/>
      <c r="AM24" s="231"/>
      <c r="AN24" s="231"/>
      <c r="AO24" s="231"/>
      <c r="AP24" s="231"/>
      <c r="AQ24" s="242"/>
      <c r="AR24" s="194"/>
      <c r="AS24" s="194"/>
      <c r="AU24" s="137">
        <f>AF24</f>
        <v>0</v>
      </c>
      <c r="AV24">
        <f>AG24</f>
        <v>0</v>
      </c>
      <c r="AW24">
        <f>AH24</f>
        <v>0</v>
      </c>
      <c r="AX24">
        <f>AI24</f>
        <v>0</v>
      </c>
      <c r="AY24">
        <f>AJ24</f>
        <v>0</v>
      </c>
      <c r="AZ24">
        <f>AK24</f>
        <v>0</v>
      </c>
      <c r="BA24">
        <f>AL24</f>
        <v>0</v>
      </c>
      <c r="BB24">
        <f>AM24</f>
        <v>0</v>
      </c>
      <c r="BC24">
        <f>AN24</f>
        <v>0</v>
      </c>
      <c r="BD24">
        <f>AO24</f>
        <v>0</v>
      </c>
      <c r="BE24">
        <f>AP24</f>
        <v>0</v>
      </c>
      <c r="BF24" s="238">
        <f>AQ24</f>
        <v>0</v>
      </c>
    </row>
    <row r="25" spans="1:58" ht="12.75">
      <c r="B25" t="str">
        <f ca="1"/>
        <v>C6 JAN-FEB</v>
      </c>
      <c r="C25" s="209">
        <f ca="1"/>
        <v>46038</v>
      </c>
      <c r="D25" t="str">
        <f ca="1"/>
        <v>Chakki1,2&amp;3</v>
      </c>
      <c r="E25" t="str">
        <f ca="1"/>
        <v>C6</v>
      </c>
      <c r="F25" t="str">
        <f ca="1"/>
        <v>Multigrain</v>
      </c>
      <c r="G25" s="210">
        <f ca="1"/>
        <v>700</v>
      </c>
      <c r="H25" s="210">
        <f ca="1"/>
        <v>0</v>
      </c>
      <c r="I25" s="210">
        <f ca="1"/>
        <v>8</v>
      </c>
      <c r="J25" s="210">
        <f ca="1"/>
        <v>2</v>
      </c>
      <c r="K25" s="210">
        <f ca="1"/>
        <v>49</v>
      </c>
      <c r="L25" s="210">
        <f ca="1"/>
        <v>59</v>
      </c>
      <c r="M25" s="210">
        <f ca="1"/>
        <v>641</v>
      </c>
      <c r="N25" s="210">
        <f ca="1"/>
        <v>4</v>
      </c>
      <c r="O25" t="str">
        <f ca="1"/>
        <v>Night</v>
      </c>
      <c r="P25" s="211">
        <f ca="1"/>
        <v>0.9157142857142857</v>
      </c>
      <c r="Q25">
        <f ca="1"/>
        <v>700</v>
      </c>
      <c r="R25">
        <f ca="1"/>
        <v>0</v>
      </c>
    </row>
    <row r="26" spans="1:58">
      <c r="B26" t="str">
        <f ca="1"/>
        <v>C6 JAN-FEB</v>
      </c>
      <c r="C26" s="209">
        <f ca="1"/>
        <v>46039</v>
      </c>
      <c r="D26" t="str">
        <f ca="1"/>
        <v>Chakki1,2&amp;3</v>
      </c>
      <c r="E26" t="str">
        <f ca="1"/>
        <v>C6</v>
      </c>
      <c r="F26" t="str">
        <f ca="1"/>
        <v>Multigrain</v>
      </c>
      <c r="G26" s="210">
        <f ca="1"/>
        <v>2050</v>
      </c>
      <c r="H26" s="210">
        <f ca="1"/>
        <v>0</v>
      </c>
      <c r="I26" s="210">
        <f ca="1"/>
        <v>9</v>
      </c>
      <c r="J26" s="210">
        <f ca="1"/>
        <v>2</v>
      </c>
      <c r="K26" s="210">
        <f ca="1"/>
        <v>110</v>
      </c>
      <c r="L26" s="210">
        <f ca="1"/>
        <v>121</v>
      </c>
      <c r="M26" s="210">
        <f ca="1"/>
        <v>1929</v>
      </c>
      <c r="N26" s="210">
        <f ca="1"/>
        <v>3</v>
      </c>
      <c r="O26" t="str">
        <f ca="1"/>
        <v>Day</v>
      </c>
      <c r="P26" s="211">
        <f ca="1"/>
        <v>0.94097560975609751</v>
      </c>
      <c r="Q26">
        <f ca="1"/>
        <v>2050</v>
      </c>
      <c r="R26">
        <f ca="1"/>
        <v>0</v>
      </c>
    </row>
    <row r="27" spans="1:58">
      <c r="B27" t="str">
        <f ca="1"/>
        <v>C6 JAN-FEB</v>
      </c>
      <c r="C27" s="209">
        <f ca="1"/>
        <v>46040</v>
      </c>
      <c r="D27" t="str">
        <f ca="1"/>
        <v>Chakki1,2&amp;3</v>
      </c>
      <c r="E27" t="str">
        <f ca="1"/>
        <v>C6</v>
      </c>
      <c r="F27" t="str">
        <f ca="1"/>
        <v>Multigrain</v>
      </c>
      <c r="G27" s="210">
        <f ca="1"/>
        <v>1950</v>
      </c>
      <c r="H27" s="210">
        <f ca="1"/>
        <v>0</v>
      </c>
      <c r="I27" s="210">
        <f ca="1"/>
        <v>24</v>
      </c>
      <c r="J27" s="210">
        <f ca="1"/>
        <v>2</v>
      </c>
      <c r="K27" s="210">
        <f ca="1"/>
        <v>134</v>
      </c>
      <c r="L27" s="210">
        <f ca="1"/>
        <v>160</v>
      </c>
      <c r="M27" s="210">
        <f ca="1"/>
        <v>1790</v>
      </c>
      <c r="N27" s="210">
        <f ca="1"/>
        <v>4</v>
      </c>
      <c r="O27" t="str">
        <f ca="1"/>
        <v>Night</v>
      </c>
      <c r="P27" s="211">
        <f ca="1"/>
        <v>0.91794871794871791</v>
      </c>
      <c r="Q27">
        <f ca="1"/>
        <v>1950</v>
      </c>
      <c r="R27">
        <f ca="1"/>
        <v>0</v>
      </c>
    </row>
    <row r="28" spans="1:58">
      <c r="B28" t="str">
        <f ca="1"/>
        <v>C6 JAN-FEB</v>
      </c>
      <c r="C28" s="209">
        <f ca="1"/>
        <v>46040</v>
      </c>
      <c r="D28" t="str">
        <f ca="1"/>
        <v>Chakki1,2&amp;3</v>
      </c>
      <c r="E28" t="str">
        <f ca="1"/>
        <v>C6</v>
      </c>
      <c r="F28" t="str">
        <f ca="1"/>
        <v>Multigrain</v>
      </c>
      <c r="G28" s="210">
        <f ca="1"/>
        <v>2400</v>
      </c>
      <c r="H28" s="210">
        <f ca="1"/>
        <v>0</v>
      </c>
      <c r="I28" s="210">
        <f ca="1"/>
        <v>23</v>
      </c>
      <c r="J28" s="210">
        <f ca="1"/>
        <v>3</v>
      </c>
      <c r="K28" s="210">
        <f ca="1"/>
        <v>74</v>
      </c>
      <c r="L28" s="210">
        <f ca="1"/>
        <v>100</v>
      </c>
      <c r="M28" s="210">
        <f ca="1"/>
        <v>2300</v>
      </c>
      <c r="N28" s="210">
        <f ca="1"/>
        <v>4</v>
      </c>
      <c r="O28" t="str">
        <f ca="1"/>
        <v>Day</v>
      </c>
      <c r="P28" s="211">
        <f ca="1"/>
        <v>0.95833333333333348</v>
      </c>
      <c r="Q28">
        <f ca="1"/>
        <v>2400</v>
      </c>
      <c r="R28">
        <f ca="1"/>
        <v>0</v>
      </c>
    </row>
    <row r="29" spans="1:58">
      <c r="B29" t="str">
        <f ca="1"/>
        <v>C6 JAN-FEB</v>
      </c>
      <c r="C29" s="209">
        <f ca="1"/>
        <v>46041</v>
      </c>
      <c r="D29" t="str">
        <f ca="1"/>
        <v>Chakki1,2&amp;3</v>
      </c>
      <c r="E29" t="str">
        <f ca="1"/>
        <v>C6</v>
      </c>
      <c r="F29" t="str">
        <f ca="1"/>
        <v>Multigrain</v>
      </c>
      <c r="G29" s="210">
        <f ca="1"/>
        <v>2400</v>
      </c>
      <c r="H29" s="210">
        <f ca="1"/>
        <v>0</v>
      </c>
      <c r="I29" s="210">
        <f ca="1"/>
        <v>18</v>
      </c>
      <c r="J29" s="210">
        <f ca="1"/>
        <v>5</v>
      </c>
      <c r="K29" s="210">
        <f ca="1"/>
        <v>127</v>
      </c>
      <c r="L29" s="210">
        <f ca="1"/>
        <v>150</v>
      </c>
      <c r="M29" s="210">
        <f ca="1"/>
        <v>2250</v>
      </c>
      <c r="N29" s="210">
        <f ca="1"/>
        <v>3</v>
      </c>
      <c r="O29" t="str">
        <f ca="1"/>
        <v>DAY</v>
      </c>
      <c r="P29" s="211">
        <f ca="1"/>
        <v>0.9375</v>
      </c>
      <c r="Q29">
        <f ca="1"/>
        <v>2400</v>
      </c>
      <c r="R29">
        <f ca="1"/>
        <v>0</v>
      </c>
    </row>
    <row r="30" spans="1:58">
      <c r="B30" t="str">
        <f ca="1"/>
        <v>C6 JAN-FEB</v>
      </c>
      <c r="C30" s="209">
        <f ca="1"/>
        <v>46041</v>
      </c>
      <c r="D30" t="str">
        <f ca="1"/>
        <v>Chakki1,2&amp;3</v>
      </c>
      <c r="E30" t="str">
        <f ca="1"/>
        <v>C6</v>
      </c>
      <c r="F30" t="str">
        <f ca="1"/>
        <v>Multigrain</v>
      </c>
      <c r="G30" s="210">
        <f ca="1"/>
        <v>2300</v>
      </c>
      <c r="H30" s="210">
        <f ca="1"/>
        <v>0</v>
      </c>
      <c r="I30" s="210">
        <f ca="1"/>
        <v>28</v>
      </c>
      <c r="J30" s="210">
        <f ca="1"/>
        <v>1</v>
      </c>
      <c r="K30" s="210">
        <f ca="1"/>
        <v>114</v>
      </c>
      <c r="L30" s="210">
        <f ca="1"/>
        <v>143</v>
      </c>
      <c r="M30" s="210">
        <f ca="1"/>
        <v>2157</v>
      </c>
      <c r="N30" s="210">
        <f ca="1"/>
        <v>4</v>
      </c>
      <c r="O30" t="str">
        <f ca="1"/>
        <v>NIGHT</v>
      </c>
      <c r="P30" s="211">
        <f ca="1"/>
        <v>0.9378260869565217</v>
      </c>
      <c r="Q30">
        <f ca="1"/>
        <v>2300</v>
      </c>
      <c r="R30">
        <f ca="1"/>
        <v>0</v>
      </c>
    </row>
    <row r="31" spans="1:58">
      <c r="B31" t="str">
        <f ca="1"/>
        <v>C6 JAN-FEB</v>
      </c>
      <c r="C31" s="209">
        <f ca="1"/>
        <v>46042</v>
      </c>
      <c r="D31" t="str">
        <f ca="1"/>
        <v>Chakki1,2&amp;3</v>
      </c>
      <c r="E31" t="str">
        <f ca="1"/>
        <v>C6</v>
      </c>
      <c r="F31" t="str">
        <f ca="1"/>
        <v>Multigrain</v>
      </c>
      <c r="G31" s="210">
        <f ca="1"/>
        <v>2250</v>
      </c>
      <c r="H31" s="210">
        <f ca="1"/>
        <v>0</v>
      </c>
      <c r="I31" s="210">
        <f ca="1"/>
        <v>20</v>
      </c>
      <c r="J31" s="210">
        <f ca="1"/>
        <v>5</v>
      </c>
      <c r="K31" s="210">
        <f ca="1"/>
        <v>137</v>
      </c>
      <c r="L31" s="210">
        <f ca="1"/>
        <v>162</v>
      </c>
      <c r="M31" s="210">
        <f ca="1"/>
        <v>2088</v>
      </c>
      <c r="N31" s="210">
        <f ca="1"/>
        <v>3</v>
      </c>
      <c r="O31" t="str">
        <f ca="1"/>
        <v>DAY</v>
      </c>
      <c r="P31" s="211">
        <f ca="1"/>
        <v>0.92800000000000016</v>
      </c>
      <c r="Q31">
        <f ca="1"/>
        <v>2250</v>
      </c>
      <c r="R31">
        <f ca="1"/>
        <v>0</v>
      </c>
    </row>
    <row r="32" spans="1:58">
      <c r="B32" t="str">
        <f ca="1"/>
        <v>C6 JAN-FEB</v>
      </c>
      <c r="C32" s="209">
        <f ca="1"/>
        <v>46042</v>
      </c>
      <c r="D32" t="str">
        <f ca="1"/>
        <v>Chakki1,2&amp;3</v>
      </c>
      <c r="E32" t="str">
        <f ca="1"/>
        <v>C6</v>
      </c>
      <c r="F32" t="str">
        <f ca="1"/>
        <v>Jowar</v>
      </c>
      <c r="G32" s="210">
        <f ca="1"/>
        <v>3000</v>
      </c>
      <c r="H32" s="210">
        <f ca="1"/>
        <v>0</v>
      </c>
      <c r="I32" s="210">
        <f ca="1"/>
        <v>142</v>
      </c>
      <c r="J32" s="210">
        <f ca="1"/>
        <v>1</v>
      </c>
      <c r="K32" s="210">
        <f ca="1"/>
        <v>183</v>
      </c>
      <c r="L32" s="210">
        <f ca="1"/>
        <v>326</v>
      </c>
      <c r="M32" s="210">
        <f ca="1"/>
        <v>2674</v>
      </c>
      <c r="N32" s="210">
        <f ca="1"/>
        <v>4</v>
      </c>
      <c r="O32" t="str">
        <f ca="1"/>
        <v>NIGHT</v>
      </c>
      <c r="P32" s="211">
        <f ca="1"/>
        <v>0.89133333333333331</v>
      </c>
      <c r="Q32">
        <f ca="1"/>
        <v>3000</v>
      </c>
      <c r="R32">
        <f ca="1"/>
        <v>0</v>
      </c>
    </row>
    <row r="33" spans="2:18">
      <c r="B33" t="str">
        <f ca="1"/>
        <v>C6 JAN-FEB</v>
      </c>
      <c r="C33" s="209">
        <f ca="1"/>
        <v>46043</v>
      </c>
      <c r="D33" t="str">
        <f ca="1"/>
        <v>Chakki1,2&amp;3</v>
      </c>
      <c r="E33" t="str">
        <f ca="1"/>
        <v>C6</v>
      </c>
      <c r="F33" t="str">
        <f ca="1"/>
        <v>Multigrain</v>
      </c>
      <c r="G33" s="210">
        <f ca="1"/>
        <v>2400</v>
      </c>
      <c r="H33" s="210">
        <f ca="1"/>
        <v>0</v>
      </c>
      <c r="I33" s="210">
        <f ca="1"/>
        <v>16</v>
      </c>
      <c r="J33" s="210">
        <f ca="1"/>
        <v>2</v>
      </c>
      <c r="K33" s="210">
        <f ca="1"/>
        <v>153</v>
      </c>
      <c r="L33" s="210">
        <f ca="1"/>
        <v>171</v>
      </c>
      <c r="M33" s="210">
        <f ca="1"/>
        <v>2229</v>
      </c>
      <c r="N33" s="210">
        <f ca="1"/>
        <v>3</v>
      </c>
      <c r="O33" t="str">
        <f ca="1"/>
        <v>DAY</v>
      </c>
      <c r="P33" s="211">
        <f ca="1"/>
        <v>0.92874999999999996</v>
      </c>
      <c r="Q33">
        <f ca="1"/>
        <v>2400</v>
      </c>
      <c r="R33">
        <f ca="1"/>
        <v>0</v>
      </c>
    </row>
    <row r="34" spans="2:18">
      <c r="B34" t="str">
        <f ca="1"/>
        <v>C6 JAN-FEB</v>
      </c>
      <c r="C34" s="209">
        <f ca="1"/>
        <v>46043</v>
      </c>
      <c r="D34" t="str">
        <f ca="1"/>
        <v>Chakki1,2&amp;3</v>
      </c>
      <c r="E34" t="str">
        <f ca="1"/>
        <v>C6</v>
      </c>
      <c r="F34" t="str">
        <f ca="1"/>
        <v>Multigrain</v>
      </c>
      <c r="G34" s="210">
        <f ca="1"/>
        <v>3300</v>
      </c>
      <c r="H34" s="210">
        <f ca="1"/>
        <v>0</v>
      </c>
      <c r="I34" s="210">
        <f ca="1"/>
        <v>67</v>
      </c>
      <c r="J34" s="210">
        <f ca="1"/>
        <v>4</v>
      </c>
      <c r="K34" s="210">
        <f ca="1"/>
        <v>169</v>
      </c>
      <c r="L34" s="210">
        <f ca="1"/>
        <v>240</v>
      </c>
      <c r="M34" s="210">
        <f ca="1"/>
        <v>3060</v>
      </c>
      <c r="N34" s="210">
        <f ca="1"/>
        <v>4</v>
      </c>
      <c r="O34" t="str">
        <f ca="1"/>
        <v>NIGHT</v>
      </c>
      <c r="P34" s="211">
        <f ca="1"/>
        <v>0.92727272727272725</v>
      </c>
      <c r="Q34">
        <f ca="1"/>
        <v>3300</v>
      </c>
      <c r="R34">
        <f ca="1"/>
        <v>0</v>
      </c>
    </row>
    <row r="35" spans="2:18">
      <c r="B35" t="str">
        <f ca="1"/>
        <v>C6 JAN-FEB</v>
      </c>
      <c r="C35" s="209">
        <f ca="1"/>
        <v>46044</v>
      </c>
      <c r="D35" t="str">
        <f ca="1"/>
        <v>Chakki1,2</v>
      </c>
      <c r="E35" t="str">
        <f ca="1"/>
        <v>C6</v>
      </c>
      <c r="F35" t="str">
        <f ca="1"/>
        <v>Multigrain</v>
      </c>
      <c r="G35" s="210">
        <f ca="1"/>
        <v>1950</v>
      </c>
      <c r="H35" s="210">
        <f ca="1"/>
        <v>0</v>
      </c>
      <c r="I35" s="210">
        <f ca="1"/>
        <v>18</v>
      </c>
      <c r="J35" s="210">
        <f ca="1"/>
        <v>2</v>
      </c>
      <c r="K35" s="210">
        <f ca="1"/>
        <v>56</v>
      </c>
      <c r="L35" s="210">
        <f ca="1"/>
        <v>76</v>
      </c>
      <c r="M35" s="210">
        <f ca="1"/>
        <v>1874</v>
      </c>
      <c r="N35" s="210">
        <f ca="1"/>
        <v>4</v>
      </c>
      <c r="O35" t="str">
        <f ca="1"/>
        <v>DAY</v>
      </c>
      <c r="P35" s="211">
        <f ca="1"/>
        <v>0.96102564102564103</v>
      </c>
      <c r="Q35">
        <f ca="1"/>
        <v>1950</v>
      </c>
      <c r="R35">
        <f ca="1"/>
        <v>0</v>
      </c>
    </row>
    <row r="36" spans="2:18">
      <c r="B36" t="str">
        <f ca="1"/>
        <v>C6 JAN-FEB</v>
      </c>
      <c r="C36" s="209">
        <f ca="1"/>
        <v>46044</v>
      </c>
      <c r="D36" t="str">
        <f ca="1"/>
        <v>Chakki1,2</v>
      </c>
      <c r="E36" t="str">
        <f ca="1"/>
        <v>C6</v>
      </c>
      <c r="F36" t="str">
        <f ca="1"/>
        <v>Multigrain</v>
      </c>
      <c r="G36" s="210">
        <f ca="1"/>
        <v>3750</v>
      </c>
      <c r="H36" s="210">
        <f ca="1"/>
        <v>0</v>
      </c>
      <c r="I36" s="210">
        <f ca="1"/>
        <v>119</v>
      </c>
      <c r="J36" s="210">
        <f ca="1"/>
        <v>5</v>
      </c>
      <c r="K36" s="210">
        <f ca="1"/>
        <v>206</v>
      </c>
      <c r="L36" s="210">
        <f ca="1"/>
        <v>330</v>
      </c>
      <c r="M36" s="210">
        <f ca="1"/>
        <v>3420</v>
      </c>
      <c r="N36" s="210">
        <f ca="1"/>
        <v>4</v>
      </c>
      <c r="O36" t="str">
        <f ca="1"/>
        <v>NIGHT</v>
      </c>
      <c r="P36" s="211">
        <f ca="1"/>
        <v>0.91200000000000003</v>
      </c>
      <c r="Q36">
        <f ca="1"/>
        <v>3750</v>
      </c>
      <c r="R36">
        <f ca="1"/>
        <v>0</v>
      </c>
    </row>
    <row r="37" spans="2:18">
      <c r="B37" t="str">
        <f ca="1"/>
        <v>C6 JAN-FEB</v>
      </c>
      <c r="C37" s="209">
        <f ca="1"/>
        <v>46045</v>
      </c>
      <c r="D37" t="str">
        <f ca="1"/>
        <v>Chakki1,2</v>
      </c>
      <c r="E37" t="str">
        <f ca="1"/>
        <v>C6</v>
      </c>
      <c r="F37" t="str">
        <f ca="1"/>
        <v>Multigrain</v>
      </c>
      <c r="G37" s="210">
        <f ca="1"/>
        <v>2550</v>
      </c>
      <c r="H37" s="210">
        <f ca="1"/>
        <v>0</v>
      </c>
      <c r="I37" s="210">
        <f ca="1"/>
        <v>25</v>
      </c>
      <c r="J37" s="210">
        <f ca="1"/>
        <v>3</v>
      </c>
      <c r="K37" s="210">
        <f ca="1"/>
        <v>116</v>
      </c>
      <c r="L37" s="210">
        <f ca="1"/>
        <v>144</v>
      </c>
      <c r="M37" s="210">
        <f ca="1"/>
        <v>2406</v>
      </c>
      <c r="N37" s="210">
        <f ca="1"/>
        <v>4</v>
      </c>
      <c r="O37" t="str">
        <f ca="1"/>
        <v>DAY</v>
      </c>
      <c r="P37" s="211">
        <f ca="1"/>
        <v>0.94352941176470584</v>
      </c>
      <c r="Q37">
        <f ca="1"/>
        <v>2550</v>
      </c>
      <c r="R37">
        <f ca="1"/>
        <v>0</v>
      </c>
    </row>
    <row r="38" spans="2:18">
      <c r="B38" t="str">
        <f ca="1"/>
        <v>C6 JAN-FEB</v>
      </c>
      <c r="C38" s="209">
        <f ca="1"/>
        <v>46045</v>
      </c>
      <c r="D38" t="str">
        <f ca="1"/>
        <v>Chakki1,2</v>
      </c>
      <c r="E38" t="str">
        <f ca="1"/>
        <v>C6</v>
      </c>
      <c r="F38" t="str">
        <f ca="1"/>
        <v>Multigrain</v>
      </c>
      <c r="G38" s="210">
        <f ca="1"/>
        <v>3050</v>
      </c>
      <c r="H38" s="210">
        <f ca="1"/>
        <v>0</v>
      </c>
      <c r="I38" s="210">
        <f ca="1"/>
        <v>31</v>
      </c>
      <c r="J38" s="210">
        <f ca="1"/>
        <v>5</v>
      </c>
      <c r="K38" s="210">
        <f ca="1"/>
        <v>146</v>
      </c>
      <c r="L38" s="210">
        <f ca="1"/>
        <v>182</v>
      </c>
      <c r="M38" s="210">
        <f ca="1"/>
        <v>2868</v>
      </c>
      <c r="N38" s="210">
        <f ca="1"/>
        <v>4</v>
      </c>
      <c r="O38" t="str">
        <f ca="1"/>
        <v>NIGHT</v>
      </c>
      <c r="P38" s="211">
        <f ca="1"/>
        <v>0.940327868852459</v>
      </c>
      <c r="Q38">
        <f ca="1"/>
        <v>3050</v>
      </c>
      <c r="R38">
        <f ca="1"/>
        <v>0</v>
      </c>
    </row>
    <row r="39" spans="2:18">
      <c r="B39" t="str">
        <f ca="1"/>
        <v>C6 JAN-FEB</v>
      </c>
      <c r="C39" s="209">
        <f ca="1"/>
        <v>46046</v>
      </c>
      <c r="D39" t="str">
        <f ca="1"/>
        <v>Chakki1,2</v>
      </c>
      <c r="E39" t="str">
        <f ca="1"/>
        <v>C6</v>
      </c>
      <c r="F39" t="str">
        <f ca="1"/>
        <v>Multigrain</v>
      </c>
      <c r="G39" s="210">
        <f ca="1"/>
        <v>1450</v>
      </c>
      <c r="H39" s="210">
        <f ca="1"/>
        <v>0</v>
      </c>
      <c r="I39" s="210">
        <f ca="1"/>
        <v>14</v>
      </c>
      <c r="J39" s="210">
        <f ca="1"/>
        <v>4</v>
      </c>
      <c r="K39" s="210">
        <f ca="1"/>
        <v>0</v>
      </c>
      <c r="L39" s="210">
        <f ca="1"/>
        <v>115</v>
      </c>
      <c r="M39" s="210">
        <f ca="1"/>
        <v>1335</v>
      </c>
      <c r="N39" s="210">
        <f ca="1"/>
        <v>4</v>
      </c>
      <c r="O39" t="str">
        <f ca="1"/>
        <v>DAY</v>
      </c>
      <c r="P39" s="211">
        <f ca="1"/>
        <v>0.92068965517241386</v>
      </c>
      <c r="Q39">
        <f ca="1"/>
        <v>1450</v>
      </c>
      <c r="R39">
        <f ca="1"/>
        <v>0</v>
      </c>
    </row>
    <row r="40" spans="2:18">
      <c r="B40" t="str">
        <f ca="1"/>
        <v>C6 JAN-FEB</v>
      </c>
      <c r="C40" s="209">
        <f ca="1"/>
        <v>46046</v>
      </c>
      <c r="D40" t="str">
        <f ca="1"/>
        <v>Chakki1,2</v>
      </c>
      <c r="E40" t="str">
        <f ca="1"/>
        <v>C6</v>
      </c>
      <c r="F40" t="str">
        <f ca="1"/>
        <v>Multigrain</v>
      </c>
      <c r="G40" s="210">
        <f ca="1"/>
        <v>3250</v>
      </c>
      <c r="H40" s="210">
        <f ca="1"/>
        <v>0</v>
      </c>
      <c r="I40" s="210">
        <f ca="1"/>
        <v>80</v>
      </c>
      <c r="J40" s="210">
        <f ca="1"/>
        <v>2</v>
      </c>
      <c r="K40" s="210">
        <f ca="1"/>
        <v>117</v>
      </c>
      <c r="L40" s="210">
        <f ca="1"/>
        <v>199</v>
      </c>
      <c r="M40" s="210">
        <f ca="1"/>
        <v>3051</v>
      </c>
      <c r="N40" s="210">
        <f ca="1"/>
        <v>4</v>
      </c>
      <c r="O40" t="str">
        <f ca="1"/>
        <v>NIGHT</v>
      </c>
      <c r="P40" s="211">
        <f ca="1"/>
        <v>0.9387692307692308</v>
      </c>
      <c r="Q40">
        <f ca="1"/>
        <v>3250</v>
      </c>
      <c r="R40">
        <f ca="1"/>
        <v>0</v>
      </c>
    </row>
    <row r="41" spans="2:18">
      <c r="B41" t="str">
        <f ca="1"/>
        <v>C6 JAN-FEB</v>
      </c>
      <c r="C41" s="209">
        <f ca="1"/>
        <v>46047</v>
      </c>
      <c r="D41" t="str">
        <f ca="1"/>
        <v>Chakki1,2</v>
      </c>
      <c r="E41" t="str">
        <f ca="1"/>
        <v>C6</v>
      </c>
      <c r="F41" t="str">
        <f ca="1"/>
        <v>Multigrain</v>
      </c>
      <c r="G41" s="210">
        <f ca="1"/>
        <v>1850</v>
      </c>
      <c r="H41" s="210">
        <f ca="1"/>
        <v>0</v>
      </c>
      <c r="I41" s="210">
        <f ca="1"/>
        <v>37</v>
      </c>
      <c r="J41" s="210">
        <f ca="1"/>
        <v>3</v>
      </c>
      <c r="K41" s="210">
        <f ca="1"/>
        <v>105</v>
      </c>
      <c r="L41" s="210">
        <f ca="1"/>
        <v>145</v>
      </c>
      <c r="M41" s="210">
        <f ca="1"/>
        <v>1722</v>
      </c>
      <c r="N41" s="210">
        <f ca="1"/>
        <v>3</v>
      </c>
      <c r="O41" t="str">
        <f ca="1"/>
        <v>DAY</v>
      </c>
      <c r="P41" s="211">
        <f ca="1"/>
        <v>0.93081081081081085</v>
      </c>
      <c r="Q41">
        <f ca="1"/>
        <v>1867</v>
      </c>
      <c r="R41">
        <f ca="1"/>
        <v>-17</v>
      </c>
    </row>
    <row r="42" spans="2:18">
      <c r="B42" t="str">
        <f ca="1"/>
        <v>C6 JAN-FEB</v>
      </c>
      <c r="C42" s="209">
        <f ca="1"/>
        <v>46049</v>
      </c>
      <c r="D42" t="str">
        <f ca="1"/>
        <v>Chakki1,2</v>
      </c>
      <c r="E42" t="str">
        <f ca="1"/>
        <v>C6</v>
      </c>
      <c r="F42" t="str">
        <f ca="1"/>
        <v>Multigrain</v>
      </c>
      <c r="G42" s="210">
        <f ca="1"/>
        <v>2050</v>
      </c>
      <c r="H42" s="210">
        <f ca="1"/>
        <v>0</v>
      </c>
      <c r="I42" s="210">
        <f ca="1"/>
        <v>45</v>
      </c>
      <c r="J42" s="210">
        <f ca="1"/>
        <v>4</v>
      </c>
      <c r="K42" s="210">
        <f ca="1"/>
        <v>122</v>
      </c>
      <c r="L42" s="210">
        <f ca="1"/>
        <v>171</v>
      </c>
      <c r="M42" s="210">
        <f ca="1"/>
        <v>1910</v>
      </c>
      <c r="N42" s="210">
        <f ca="1"/>
        <v>3</v>
      </c>
      <c r="O42" t="str">
        <f ca="1"/>
        <v>DAY</v>
      </c>
      <c r="P42" s="211">
        <f ca="1"/>
        <v>0.93170731707317078</v>
      </c>
      <c r="Q42">
        <f ca="1"/>
        <v>2081</v>
      </c>
      <c r="R42">
        <f ca="1"/>
        <v>-31</v>
      </c>
    </row>
    <row r="43" spans="2:18">
      <c r="B43" t="str">
        <f ca="1"/>
        <v>C6 JAN-FEB</v>
      </c>
      <c r="C43" s="209">
        <f ca="1"/>
        <v>46049</v>
      </c>
      <c r="D43" t="str">
        <f ca="1"/>
        <v>Chakki1,2</v>
      </c>
      <c r="E43" t="str">
        <f ca="1"/>
        <v>C6</v>
      </c>
      <c r="F43" t="str">
        <f ca="1"/>
        <v>Jowar</v>
      </c>
      <c r="G43" s="210">
        <f ca="1"/>
        <v>550</v>
      </c>
      <c r="H43" s="210">
        <f ca="1"/>
        <v>0</v>
      </c>
      <c r="I43" s="210">
        <f ca="1"/>
        <v>42</v>
      </c>
      <c r="J43" s="210">
        <f ca="1"/>
        <v>3</v>
      </c>
      <c r="K43" s="210">
        <f ca="1"/>
        <v>42</v>
      </c>
      <c r="L43" s="210">
        <f ca="1"/>
        <v>87</v>
      </c>
      <c r="M43" s="210">
        <f ca="1"/>
        <v>463</v>
      </c>
      <c r="N43" s="210">
        <f ca="1"/>
        <v>4</v>
      </c>
      <c r="O43" t="str">
        <f ca="1"/>
        <v>NIGHT</v>
      </c>
      <c r="P43" s="211">
        <f ca="1"/>
        <v>0.84181818181818191</v>
      </c>
      <c r="Q43">
        <f ca="1"/>
        <v>550</v>
      </c>
      <c r="R43">
        <f ca="1"/>
        <v>0</v>
      </c>
    </row>
    <row r="44" spans="2:18">
      <c r="B44" t="str">
        <f ca="1"/>
        <v>C6 JAN-FEB</v>
      </c>
      <c r="C44" s="209">
        <f ca="1"/>
        <v>46049</v>
      </c>
      <c r="D44" t="str">
        <f ca="1"/>
        <v>Chakki1,2</v>
      </c>
      <c r="E44" t="str">
        <f ca="1"/>
        <v>C6</v>
      </c>
      <c r="F44" t="str">
        <f ca="1"/>
        <v>Multigrain</v>
      </c>
      <c r="G44" s="210">
        <f ca="1"/>
        <v>1150</v>
      </c>
      <c r="H44" s="210">
        <f ca="1"/>
        <v>0</v>
      </c>
      <c r="I44" s="210">
        <f ca="1"/>
        <v>27</v>
      </c>
      <c r="J44" s="210">
        <f ca="1"/>
        <v>2</v>
      </c>
      <c r="K44" s="210">
        <f ca="1"/>
        <v>69</v>
      </c>
      <c r="L44" s="210">
        <f ca="1"/>
        <v>98</v>
      </c>
      <c r="M44" s="210">
        <f ca="1"/>
        <v>1052</v>
      </c>
      <c r="N44" s="210">
        <f ca="1"/>
        <v>4</v>
      </c>
      <c r="O44" t="str">
        <f ca="1"/>
        <v>NIGHT</v>
      </c>
      <c r="P44" s="211">
        <f ca="1"/>
        <v>0.9147826086956522</v>
      </c>
      <c r="Q44">
        <f ca="1"/>
        <v>1150</v>
      </c>
      <c r="R44">
        <f ca="1"/>
        <v>0</v>
      </c>
    </row>
    <row r="45" spans="2:18">
      <c r="B45" t="str">
        <f ca="1"/>
        <v>C6 JAN-FEB</v>
      </c>
      <c r="C45" s="209">
        <f ca="1"/>
        <v>46050</v>
      </c>
      <c r="D45" t="str">
        <f ca="1"/>
        <v>Chakki1,2&amp;3</v>
      </c>
      <c r="E45" t="str">
        <f ca="1"/>
        <v>C6</v>
      </c>
      <c r="F45" t="str">
        <f ca="1"/>
        <v>Jowar</v>
      </c>
      <c r="G45" s="210">
        <f ca="1"/>
        <v>1400</v>
      </c>
      <c r="H45" s="210">
        <f ca="1"/>
        <v>0</v>
      </c>
      <c r="I45" s="210">
        <f ca="1"/>
        <v>34</v>
      </c>
      <c r="J45" s="210">
        <f ca="1"/>
        <v>3</v>
      </c>
      <c r="K45" s="210">
        <f ca="1"/>
        <v>83</v>
      </c>
      <c r="L45" s="210">
        <f ca="1"/>
        <v>120</v>
      </c>
      <c r="M45" s="210">
        <f ca="1"/>
        <v>1280</v>
      </c>
      <c r="N45" s="210">
        <f ca="1"/>
        <v>3</v>
      </c>
      <c r="O45" t="str">
        <f ca="1"/>
        <v>DAY</v>
      </c>
      <c r="P45" s="211">
        <f ca="1"/>
        <v>0.91428571428571426</v>
      </c>
      <c r="Q45">
        <f ca="1"/>
        <v>1400</v>
      </c>
      <c r="R45">
        <f ca="1"/>
        <v>0</v>
      </c>
    </row>
    <row r="46" spans="2:18">
      <c r="B46" t="str">
        <f ca="1"/>
        <v>C6 JAN-FEB</v>
      </c>
      <c r="C46" s="209">
        <f ca="1"/>
        <v>46050</v>
      </c>
      <c r="D46" t="str">
        <f ca="1"/>
        <v>Chakki1,2&amp;3</v>
      </c>
      <c r="E46" t="str">
        <f ca="1"/>
        <v>C6</v>
      </c>
      <c r="F46" t="str">
        <f ca="1"/>
        <v>Jowar</v>
      </c>
      <c r="G46" s="210">
        <f ca="1"/>
        <v>2050</v>
      </c>
      <c r="H46" s="210">
        <f ca="1"/>
        <v>0</v>
      </c>
      <c r="I46" s="210">
        <f ca="1"/>
        <v>50</v>
      </c>
      <c r="J46" s="210">
        <f ca="1"/>
        <v>1</v>
      </c>
      <c r="K46" s="210">
        <f ca="1"/>
        <v>89</v>
      </c>
      <c r="L46" s="210">
        <f ca="1"/>
        <v>140</v>
      </c>
      <c r="M46" s="210">
        <f ca="1"/>
        <v>1910</v>
      </c>
      <c r="N46" s="210">
        <f ca="1"/>
        <v>4</v>
      </c>
      <c r="O46" t="str">
        <f ca="1"/>
        <v>NIGHT</v>
      </c>
      <c r="P46" s="211">
        <f ca="1"/>
        <v>0.93170731707317078</v>
      </c>
      <c r="Q46">
        <f ca="1"/>
        <v>2050</v>
      </c>
      <c r="R46">
        <f ca="1"/>
        <v>0</v>
      </c>
    </row>
    <row r="47" spans="2:18">
      <c r="B47" t="str">
        <f ca="1"/>
        <v>C6 JAN-FEB</v>
      </c>
      <c r="C47" s="209">
        <f ca="1"/>
        <v>46052</v>
      </c>
      <c r="D47" t="str">
        <f ca="1"/>
        <v>Chakki1,2&amp;3</v>
      </c>
      <c r="E47" t="str">
        <f ca="1"/>
        <v>C6</v>
      </c>
      <c r="F47" t="str">
        <f ca="1"/>
        <v>Jowar</v>
      </c>
      <c r="G47" s="210">
        <f ca="1"/>
        <v>2022</v>
      </c>
      <c r="H47" s="210">
        <f ca="1"/>
        <v>0</v>
      </c>
      <c r="I47" s="210">
        <f ca="1"/>
        <v>61</v>
      </c>
      <c r="J47" s="210">
        <f ca="1"/>
        <v>1</v>
      </c>
      <c r="K47" s="210">
        <f ca="1"/>
        <v>98</v>
      </c>
      <c r="L47" s="210">
        <f ca="1"/>
        <v>160</v>
      </c>
      <c r="M47" s="210">
        <f ca="1"/>
        <v>1860</v>
      </c>
      <c r="N47" s="210">
        <f ca="1"/>
        <v>4</v>
      </c>
      <c r="O47" t="str">
        <f ca="1"/>
        <v>NIGHT</v>
      </c>
      <c r="P47" s="211">
        <f ca="1"/>
        <v>0.91988130563798221</v>
      </c>
      <c r="Q47">
        <f ca="1"/>
        <v>2020</v>
      </c>
      <c r="R47">
        <f ca="1"/>
        <v>2</v>
      </c>
    </row>
    <row r="48" spans="2:18">
      <c r="B48" t="str">
        <f ca="1"/>
        <v>C6 JAN-FEB</v>
      </c>
      <c r="C48" s="209">
        <f ca="1"/>
        <v>46053</v>
      </c>
      <c r="D48" t="str">
        <f ca="1"/>
        <v>Chakki1,2&amp;3</v>
      </c>
      <c r="E48" t="str">
        <f ca="1"/>
        <v>C6</v>
      </c>
      <c r="F48" t="str">
        <f ca="1"/>
        <v>Multigrain</v>
      </c>
      <c r="G48" s="210">
        <f ca="1"/>
        <v>1600</v>
      </c>
      <c r="H48" s="210">
        <f ca="1"/>
        <v>0</v>
      </c>
      <c r="I48" s="210">
        <f ca="1"/>
        <v>8</v>
      </c>
      <c r="J48" s="210">
        <f ca="1"/>
        <v>3</v>
      </c>
      <c r="K48" s="210">
        <f ca="1"/>
        <v>121</v>
      </c>
      <c r="L48" s="210">
        <f ca="1"/>
        <v>132</v>
      </c>
      <c r="M48" s="210">
        <f ca="1"/>
        <v>1468</v>
      </c>
      <c r="N48" s="210">
        <f ca="1"/>
        <v>3</v>
      </c>
      <c r="O48" t="str">
        <f ca="1"/>
        <v>DAY</v>
      </c>
      <c r="P48" s="211">
        <f ca="1"/>
        <v>0.91749999999999998</v>
      </c>
      <c r="Q48">
        <f ca="1"/>
        <v>1600</v>
      </c>
      <c r="R48">
        <f ca="1"/>
        <v>0</v>
      </c>
    </row>
    <row r="49" spans="1:18">
      <c r="B49" t="str">
        <f ca="1"/>
        <v>C6 JAN-FEB</v>
      </c>
      <c r="C49" s="209">
        <f ca="1"/>
        <v>46053</v>
      </c>
      <c r="D49" t="str">
        <f ca="1"/>
        <v>Chakki1,2&amp;3</v>
      </c>
      <c r="E49" t="str">
        <f ca="1"/>
        <v>C6</v>
      </c>
      <c r="F49" t="str">
        <f ca="1"/>
        <v>Multigrain</v>
      </c>
      <c r="G49" s="210">
        <f ca="1"/>
        <v>3237</v>
      </c>
      <c r="H49" s="210">
        <f ca="1"/>
        <v>0</v>
      </c>
      <c r="I49" s="210">
        <f ca="1"/>
        <v>54</v>
      </c>
      <c r="J49" s="210">
        <f ca="1"/>
        <v>2</v>
      </c>
      <c r="K49" s="210">
        <f ca="1"/>
        <v>87</v>
      </c>
      <c r="L49" s="210">
        <f ca="1"/>
        <v>143</v>
      </c>
      <c r="M49" s="210">
        <f ca="1"/>
        <v>3094</v>
      </c>
      <c r="N49" s="210">
        <f ca="1"/>
        <v>4</v>
      </c>
      <c r="O49" t="str">
        <f ca="1"/>
        <v>NIGHT</v>
      </c>
      <c r="P49" s="211">
        <f ca="1"/>
        <v>0.95582329317269066</v>
      </c>
      <c r="Q49">
        <f ca="1"/>
        <v>3237</v>
      </c>
      <c r="R49">
        <f ca="1"/>
        <v>0</v>
      </c>
    </row>
    <row r="50" spans="1:18">
      <c r="B50" t="str">
        <f ca="1"/>
        <v>C6 JAN-FEB</v>
      </c>
      <c r="C50" s="209">
        <f ca="1"/>
        <v>46054</v>
      </c>
      <c r="D50" t="str">
        <f ca="1"/>
        <v>Chakki1,2&amp;3</v>
      </c>
      <c r="E50" t="str">
        <f ca="1"/>
        <v>C6</v>
      </c>
      <c r="F50" t="str">
        <f ca="1"/>
        <v>Multigrain</v>
      </c>
      <c r="G50" s="210">
        <f ca="1"/>
        <v>1650</v>
      </c>
      <c r="H50" s="210">
        <f ca="1"/>
        <v>0</v>
      </c>
      <c r="I50" s="210">
        <f ca="1"/>
        <v>30</v>
      </c>
      <c r="J50" s="210">
        <f ca="1"/>
        <v>2</v>
      </c>
      <c r="K50" s="210">
        <f ca="1"/>
        <v>75</v>
      </c>
      <c r="L50" s="210">
        <f ca="1"/>
        <v>107</v>
      </c>
      <c r="M50" s="210">
        <f ca="1"/>
        <v>1543</v>
      </c>
      <c r="N50" s="210">
        <f ca="1"/>
        <v>4</v>
      </c>
      <c r="O50" t="str">
        <f ca="1"/>
        <v>DAY</v>
      </c>
      <c r="P50" s="211">
        <f ca="1"/>
        <v>0.93515151515151518</v>
      </c>
      <c r="Q50">
        <f ca="1"/>
        <v>1650</v>
      </c>
      <c r="R50">
        <f ca="1"/>
        <v>0</v>
      </c>
    </row>
    <row r="51" spans="1:18">
      <c r="B51" t="str">
        <f ca="1"/>
        <v>C6 JAN-FEB</v>
      </c>
      <c r="C51" s="209">
        <f ca="1"/>
        <v>46055</v>
      </c>
      <c r="D51" t="str">
        <f ca="1"/>
        <v>Chakki1,2&amp;3</v>
      </c>
      <c r="E51" t="str">
        <f ca="1"/>
        <v>C6</v>
      </c>
      <c r="F51" t="str">
        <f ca="1"/>
        <v>Multigrain</v>
      </c>
      <c r="G51" s="210">
        <f ca="1"/>
        <v>1850</v>
      </c>
      <c r="H51" s="210">
        <f ca="1"/>
        <v>0</v>
      </c>
      <c r="I51" s="210">
        <f ca="1"/>
        <v>63</v>
      </c>
      <c r="J51" s="210">
        <f ca="1"/>
        <v>4</v>
      </c>
      <c r="K51" s="210">
        <f ca="1"/>
        <v>73</v>
      </c>
      <c r="L51" s="210">
        <f ca="1"/>
        <v>140</v>
      </c>
      <c r="M51" s="210">
        <f ca="1"/>
        <v>1710</v>
      </c>
      <c r="N51" s="210">
        <f ca="1"/>
        <v>4</v>
      </c>
      <c r="O51" t="str">
        <f ca="1"/>
        <v>DAY</v>
      </c>
      <c r="P51" s="211">
        <f ca="1"/>
        <v>0.92432432432432432</v>
      </c>
      <c r="Q51">
        <f ca="1"/>
        <v>1850</v>
      </c>
      <c r="R51">
        <f ca="1"/>
        <v>0</v>
      </c>
    </row>
    <row r="52" spans="1:18" ht="12.75">
      <c r="A52" s="208" t="s">
        <v>208</v>
      </c>
      <c r="B52" t="str">
        <f ca="1"/>
        <v>C6 JAN-FEB</v>
      </c>
      <c r="C52" s="209">
        <f ca="1"/>
        <v>46055</v>
      </c>
      <c r="D52">
        <f ca="1"/>
        <v>0</v>
      </c>
      <c r="E52" t="str">
        <f ca="1"/>
        <v>C6</v>
      </c>
      <c r="F52" t="str">
        <f ca="1"/>
        <v>Multigrain</v>
      </c>
      <c r="G52" s="210">
        <f ca="1"/>
        <v>150</v>
      </c>
      <c r="H52" s="210">
        <f ca="1"/>
        <v>0</v>
      </c>
      <c r="I52" s="210">
        <f ca="1"/>
        <v>0</v>
      </c>
      <c r="J52" s="210">
        <f ca="1"/>
        <v>0</v>
      </c>
      <c r="K52" s="210">
        <f ca="1"/>
        <v>35</v>
      </c>
      <c r="L52" s="210">
        <f ca="1"/>
        <v>35</v>
      </c>
      <c r="M52" s="210">
        <f ca="1"/>
        <v>115</v>
      </c>
      <c r="N52" s="210">
        <f ca="1"/>
        <v>4</v>
      </c>
      <c r="O52" t="str">
        <f ca="1"/>
        <v>DAY</v>
      </c>
      <c r="P52" s="211">
        <f ca="1"/>
        <v>0.76666666666666672</v>
      </c>
      <c r="Q52">
        <f ca="1"/>
        <v>150</v>
      </c>
      <c r="R52">
        <f ca="1"/>
        <v>0</v>
      </c>
    </row>
    <row r="53" spans="1:18">
      <c r="B53" t="str">
        <f ca="1"/>
        <v>C6 JAN-FEB</v>
      </c>
      <c r="C53" s="209">
        <f ca="1"/>
        <v>46055</v>
      </c>
      <c r="D53" t="str">
        <f ca="1"/>
        <v>Chakki1,2&amp;3</v>
      </c>
      <c r="E53" t="str">
        <f ca="1"/>
        <v>C6</v>
      </c>
      <c r="F53" t="str">
        <f ca="1"/>
        <v>Multigrain</v>
      </c>
      <c r="G53" s="210">
        <f ca="1"/>
        <v>2700</v>
      </c>
      <c r="H53" s="210">
        <f ca="1"/>
        <v>0</v>
      </c>
      <c r="I53" s="210">
        <f ca="1"/>
        <v>55</v>
      </c>
      <c r="J53" s="210">
        <f ca="1"/>
        <v>2</v>
      </c>
      <c r="K53" s="210">
        <f ca="1"/>
        <v>54</v>
      </c>
      <c r="L53" s="210">
        <f ca="1"/>
        <v>111</v>
      </c>
      <c r="M53" s="210">
        <f ca="1"/>
        <v>2589</v>
      </c>
      <c r="N53" s="210">
        <f ca="1"/>
        <v>4</v>
      </c>
      <c r="O53" t="str">
        <f ca="1"/>
        <v>NIGHT</v>
      </c>
      <c r="P53" s="211">
        <f ca="1"/>
        <v>0.9588888888888889</v>
      </c>
      <c r="Q53">
        <f ca="1"/>
        <v>2700</v>
      </c>
      <c r="R53">
        <f ca="1"/>
        <v>0</v>
      </c>
    </row>
    <row r="54" spans="1:18">
      <c r="B54" t="str">
        <f ca="1"/>
        <v>C6 JAN-FEB</v>
      </c>
      <c r="C54" s="209">
        <f ca="1"/>
        <v>46056</v>
      </c>
      <c r="D54" t="str">
        <f ca="1"/>
        <v>Chakki1,2&amp;3</v>
      </c>
      <c r="E54" t="str">
        <f ca="1"/>
        <v>C6</v>
      </c>
      <c r="F54" t="str">
        <f ca="1"/>
        <v>Multigrain</v>
      </c>
      <c r="G54" s="210">
        <f ca="1"/>
        <v>800</v>
      </c>
      <c r="H54" s="210">
        <f ca="1"/>
        <v>0</v>
      </c>
      <c r="I54" s="210">
        <f ca="1"/>
        <v>19</v>
      </c>
      <c r="J54" s="210">
        <f ca="1"/>
        <v>1</v>
      </c>
      <c r="K54" s="210">
        <f ca="1"/>
        <v>26</v>
      </c>
      <c r="L54" s="210">
        <f ca="1"/>
        <v>46</v>
      </c>
      <c r="M54" s="210">
        <f ca="1"/>
        <v>754</v>
      </c>
      <c r="N54" s="210">
        <f ca="1"/>
        <v>4</v>
      </c>
      <c r="O54" t="str">
        <f ca="1"/>
        <v>NIGHT</v>
      </c>
      <c r="P54" s="211">
        <f ca="1"/>
        <v>0.9425</v>
      </c>
      <c r="Q54">
        <f ca="1"/>
        <v>800</v>
      </c>
      <c r="R54">
        <f ca="1"/>
        <v>0</v>
      </c>
    </row>
    <row r="55" spans="1:18">
      <c r="B55" t="str">
        <f ca="1"/>
        <v>C6 JAN-FEB</v>
      </c>
      <c r="C55" s="209">
        <f ca="1"/>
        <v>46056</v>
      </c>
      <c r="D55" t="str">
        <f ca="1"/>
        <v>Chakki1,2&amp;3</v>
      </c>
      <c r="E55" t="str">
        <f ca="1"/>
        <v>C6</v>
      </c>
      <c r="F55" t="str">
        <f ca="1"/>
        <v>Jowar</v>
      </c>
      <c r="G55" s="210">
        <f ca="1"/>
        <v>500</v>
      </c>
      <c r="H55" s="210">
        <f ca="1"/>
        <v>0</v>
      </c>
      <c r="I55" s="210">
        <f ca="1"/>
        <v>6</v>
      </c>
      <c r="J55" s="210">
        <f ca="1"/>
        <v>2</v>
      </c>
      <c r="K55" s="210">
        <f ca="1"/>
        <v>17</v>
      </c>
      <c r="L55" s="210">
        <f ca="1"/>
        <v>25</v>
      </c>
      <c r="M55" s="210">
        <f ca="1"/>
        <v>475</v>
      </c>
      <c r="N55" s="210">
        <f ca="1"/>
        <v>4</v>
      </c>
      <c r="O55" t="str">
        <f ca="1"/>
        <v>NIGHT</v>
      </c>
      <c r="P55" s="211">
        <f ca="1"/>
        <v>0.95</v>
      </c>
      <c r="Q55">
        <f ca="1"/>
        <v>500</v>
      </c>
      <c r="R55">
        <f ca="1"/>
        <v>0</v>
      </c>
    </row>
    <row r="56" spans="1:18">
      <c r="B56" t="str">
        <f ca="1"/>
        <v>C6 JAN-FEB</v>
      </c>
      <c r="C56" s="209">
        <f ca="1"/>
        <v>46057</v>
      </c>
      <c r="D56" t="str">
        <f ca="1"/>
        <v>Chakki1,2&amp;3</v>
      </c>
      <c r="E56" t="str">
        <f ca="1"/>
        <v>C6</v>
      </c>
      <c r="F56" t="str">
        <f ca="1"/>
        <v>Bajra</v>
      </c>
      <c r="G56" s="210">
        <f ca="1"/>
        <v>490</v>
      </c>
      <c r="H56" s="210">
        <f ca="1"/>
        <v>0</v>
      </c>
      <c r="I56" s="210">
        <f ca="1"/>
        <v>5</v>
      </c>
      <c r="J56" s="210">
        <f ca="1"/>
        <v>1</v>
      </c>
      <c r="K56" s="210">
        <f ca="1"/>
        <v>11</v>
      </c>
      <c r="L56" s="210">
        <f ca="1"/>
        <v>17</v>
      </c>
      <c r="M56" s="210">
        <f ca="1"/>
        <v>473</v>
      </c>
      <c r="N56" s="210">
        <f ca="1"/>
        <v>4</v>
      </c>
      <c r="O56" t="str">
        <f ca="1"/>
        <v>NIGHT</v>
      </c>
      <c r="P56" s="211">
        <f ca="1"/>
        <v>0.96530612244897962</v>
      </c>
      <c r="Q56">
        <f ca="1"/>
        <v>490</v>
      </c>
      <c r="R56">
        <f ca="1"/>
        <v>0</v>
      </c>
    </row>
    <row r="57" spans="1:18">
      <c r="B57" t="str">
        <f ca="1"/>
        <v>C6 JAN-FEB</v>
      </c>
      <c r="C57" s="209">
        <f ca="1"/>
        <v>46058</v>
      </c>
      <c r="D57" t="str">
        <f ca="1"/>
        <v>Chakki1,2&amp;3</v>
      </c>
      <c r="E57" t="str">
        <f ca="1"/>
        <v>C6</v>
      </c>
      <c r="F57" t="str">
        <f ca="1"/>
        <v>Multigrain</v>
      </c>
      <c r="G57" s="210">
        <f ca="1"/>
        <v>1100</v>
      </c>
      <c r="H57" s="210">
        <f ca="1"/>
        <v>0</v>
      </c>
      <c r="I57" s="210">
        <f ca="1"/>
        <v>13</v>
      </c>
      <c r="J57" s="210">
        <f ca="1"/>
        <v>1</v>
      </c>
      <c r="K57" s="210">
        <f ca="1"/>
        <v>36</v>
      </c>
      <c r="L57" s="210">
        <f ca="1"/>
        <v>50</v>
      </c>
      <c r="M57" s="210">
        <f ca="1"/>
        <v>1050</v>
      </c>
      <c r="N57" s="210">
        <f ca="1"/>
        <v>4</v>
      </c>
      <c r="O57" t="str">
        <f ca="1"/>
        <v>NIGHT</v>
      </c>
      <c r="P57" s="211">
        <f ca="1"/>
        <v>0.95454545454545459</v>
      </c>
      <c r="Q57">
        <f ca="1"/>
        <v>1100</v>
      </c>
      <c r="R57">
        <f ca="1"/>
        <v>0</v>
      </c>
    </row>
    <row r="58" spans="1:18">
      <c r="B58" t="str">
        <f ca="1"/>
        <v>C6 JAN-FEB</v>
      </c>
      <c r="C58" s="209">
        <f ca="1"/>
        <v>46058</v>
      </c>
      <c r="D58" t="str">
        <f ca="1"/>
        <v>Chakki1,2&amp;3</v>
      </c>
      <c r="E58" t="str">
        <f ca="1"/>
        <v>C6</v>
      </c>
      <c r="F58" t="str">
        <f ca="1"/>
        <v>Bajra</v>
      </c>
      <c r="G58" s="210">
        <f ca="1"/>
        <v>1000</v>
      </c>
      <c r="H58" s="210">
        <f ca="1"/>
        <v>0</v>
      </c>
      <c r="I58" s="210">
        <f ca="1"/>
        <v>18</v>
      </c>
      <c r="J58" s="210">
        <f ca="1"/>
        <v>3</v>
      </c>
      <c r="K58" s="210">
        <f ca="1"/>
        <v>42</v>
      </c>
      <c r="L58" s="210">
        <f ca="1"/>
        <v>63</v>
      </c>
      <c r="M58" s="210">
        <f ca="1"/>
        <v>937</v>
      </c>
      <c r="N58" s="210">
        <f ca="1"/>
        <v>4</v>
      </c>
      <c r="O58" t="str">
        <f ca="1"/>
        <v>NIGHT</v>
      </c>
      <c r="P58" s="211">
        <f ca="1"/>
        <v>0.93700000000000006</v>
      </c>
      <c r="Q58">
        <f ca="1"/>
        <v>1000</v>
      </c>
      <c r="R58">
        <f ca="1"/>
        <v>0</v>
      </c>
    </row>
    <row r="59" spans="1:18">
      <c r="B59" t="str">
        <f ca="1"/>
        <v>C6 JAN-FEB</v>
      </c>
      <c r="C59" s="209">
        <f ca="1"/>
        <v>46059</v>
      </c>
      <c r="D59" t="str">
        <f ca="1"/>
        <v>Chakki1,2&amp;3</v>
      </c>
      <c r="E59" t="str">
        <f ca="1"/>
        <v>C6</v>
      </c>
      <c r="F59" t="str">
        <f ca="1"/>
        <v>Multigrain</v>
      </c>
      <c r="G59" s="210">
        <f ca="1"/>
        <v>1200</v>
      </c>
      <c r="H59" s="210">
        <f ca="1"/>
        <v>0</v>
      </c>
      <c r="I59" s="210">
        <f ca="1"/>
        <v>19</v>
      </c>
      <c r="J59" s="210">
        <f ca="1"/>
        <v>1</v>
      </c>
      <c r="K59" s="210">
        <f ca="1"/>
        <v>78</v>
      </c>
      <c r="L59" s="210">
        <f ca="1"/>
        <v>98</v>
      </c>
      <c r="M59" s="210">
        <f ca="1"/>
        <v>1102</v>
      </c>
      <c r="N59" s="210">
        <f ca="1"/>
        <v>4</v>
      </c>
      <c r="O59" t="str">
        <f ca="1"/>
        <v>NIGHT</v>
      </c>
      <c r="P59" s="211">
        <f ca="1"/>
        <v>0.91833333333333333</v>
      </c>
      <c r="Q59">
        <f ca="1"/>
        <v>1200</v>
      </c>
      <c r="R59">
        <f ca="1"/>
        <v>0</v>
      </c>
    </row>
    <row r="60" spans="1:18">
      <c r="B60" t="str">
        <f ca="1"/>
        <v>C6 JAN-FEB</v>
      </c>
      <c r="C60" s="209">
        <f ca="1"/>
        <v>46062</v>
      </c>
      <c r="D60" t="str">
        <f ca="1"/>
        <v>Chakki1,2&amp;3</v>
      </c>
      <c r="E60" t="str">
        <f ca="1"/>
        <v>C6</v>
      </c>
      <c r="F60" t="str">
        <f ca="1"/>
        <v>Multigrain</v>
      </c>
      <c r="G60" s="210">
        <f ca="1"/>
        <v>2500</v>
      </c>
      <c r="H60" s="210">
        <f ca="1"/>
        <v>0</v>
      </c>
      <c r="I60" s="210">
        <f ca="1"/>
        <v>17</v>
      </c>
      <c r="J60" s="210">
        <f ca="1"/>
        <v>3</v>
      </c>
      <c r="K60" s="210">
        <f ca="1"/>
        <v>87</v>
      </c>
      <c r="L60" s="210">
        <f ca="1"/>
        <v>107</v>
      </c>
      <c r="M60" s="210">
        <f ca="1"/>
        <v>2393</v>
      </c>
      <c r="N60" s="210">
        <f ca="1"/>
        <v>4</v>
      </c>
      <c r="O60" t="str">
        <f ca="1"/>
        <v>DAY</v>
      </c>
      <c r="P60" s="211">
        <f ca="1"/>
        <v>0.95719999999999994</v>
      </c>
      <c r="Q60">
        <f ca="1"/>
        <v>2500</v>
      </c>
      <c r="R60">
        <f ca="1"/>
        <v>0</v>
      </c>
    </row>
    <row r="61" spans="1:18">
      <c r="B61" t="str">
        <f ca="1"/>
        <v>C6 JAN-FEB</v>
      </c>
      <c r="C61" s="209">
        <f ca="1"/>
        <v>46062</v>
      </c>
      <c r="D61" t="str">
        <f ca="1"/>
        <v>Chakki1,2&amp;3</v>
      </c>
      <c r="E61" t="str">
        <f ca="1"/>
        <v>C6</v>
      </c>
      <c r="F61" t="str">
        <f ca="1"/>
        <v>Multigrain</v>
      </c>
      <c r="G61" s="210">
        <f ca="1"/>
        <v>2300</v>
      </c>
      <c r="H61" s="210">
        <f ca="1"/>
        <v>0</v>
      </c>
      <c r="I61" s="210">
        <f ca="1"/>
        <v>28</v>
      </c>
      <c r="J61" s="210">
        <f ca="1"/>
        <v>4</v>
      </c>
      <c r="K61" s="210">
        <f ca="1"/>
        <v>141</v>
      </c>
      <c r="L61" s="210">
        <f ca="1"/>
        <v>173</v>
      </c>
      <c r="M61" s="210">
        <f ca="1"/>
        <v>2127</v>
      </c>
      <c r="N61" s="210">
        <f ca="1"/>
        <v>4</v>
      </c>
      <c r="O61" t="str">
        <f ca="1"/>
        <v>NIGHT</v>
      </c>
      <c r="P61" s="211">
        <f ca="1"/>
        <v>0.92478260869565221</v>
      </c>
      <c r="Q61">
        <f ca="1"/>
        <v>2300</v>
      </c>
      <c r="R61">
        <f ca="1"/>
        <v>0</v>
      </c>
    </row>
    <row r="62" spans="1:18">
      <c r="B62" t="str">
        <f ca="1"/>
        <v>C6 JAN-FEB</v>
      </c>
      <c r="C62" s="209">
        <f ca="1"/>
        <v>46063</v>
      </c>
      <c r="D62" t="str">
        <f ca="1"/>
        <v>Chakki1,2&amp;3</v>
      </c>
      <c r="E62" t="str">
        <f ca="1"/>
        <v>C6</v>
      </c>
      <c r="F62" t="str">
        <f ca="1"/>
        <v>Bajra</v>
      </c>
      <c r="G62" s="210">
        <f ca="1"/>
        <v>2550</v>
      </c>
      <c r="H62" s="210">
        <f ca="1"/>
        <v>0</v>
      </c>
      <c r="I62" s="210">
        <f ca="1"/>
        <v>35</v>
      </c>
      <c r="J62" s="210">
        <f ca="1"/>
        <v>2</v>
      </c>
      <c r="K62" s="210">
        <f ca="1"/>
        <v>105</v>
      </c>
      <c r="L62" s="210">
        <f ca="1"/>
        <v>142</v>
      </c>
      <c r="M62" s="210">
        <f ca="1"/>
        <v>2408</v>
      </c>
      <c r="N62" s="210">
        <f ca="1"/>
        <v>4</v>
      </c>
      <c r="O62" t="str">
        <f ca="1"/>
        <v>DAY</v>
      </c>
      <c r="P62" s="211">
        <f ca="1"/>
        <v>0.9443137254901961</v>
      </c>
      <c r="Q62">
        <f ca="1"/>
        <v>2550</v>
      </c>
      <c r="R62">
        <f ca="1"/>
        <v>0</v>
      </c>
    </row>
    <row r="63" spans="1:18">
      <c r="B63" t="str">
        <f ca="1"/>
        <v>C6 JAN-FEB</v>
      </c>
      <c r="C63" s="209">
        <f ca="1"/>
        <v>46064</v>
      </c>
      <c r="D63" t="str">
        <f ca="1"/>
        <v>Chakki1,2&amp;3</v>
      </c>
      <c r="E63" t="str">
        <f ca="1"/>
        <v>C6</v>
      </c>
      <c r="F63" t="str">
        <f ca="1"/>
        <v>Multigrain</v>
      </c>
      <c r="G63" s="210">
        <f ca="1"/>
        <v>1900</v>
      </c>
      <c r="H63" s="210">
        <f ca="1"/>
        <v>0</v>
      </c>
      <c r="I63" s="210">
        <f ca="1"/>
        <v>36</v>
      </c>
      <c r="J63" s="210">
        <f ca="1"/>
        <v>4</v>
      </c>
      <c r="K63" s="210">
        <f ca="1"/>
        <v>110</v>
      </c>
      <c r="L63" s="210">
        <f ca="1"/>
        <v>150</v>
      </c>
      <c r="M63" s="210">
        <f ca="1"/>
        <v>1750</v>
      </c>
      <c r="N63" s="210">
        <f ca="1"/>
        <v>4</v>
      </c>
      <c r="O63" t="str">
        <f ca="1"/>
        <v>DAY</v>
      </c>
      <c r="P63" s="211">
        <f ca="1"/>
        <v>0.92105263157894735</v>
      </c>
      <c r="Q63">
        <f ca="1"/>
        <v>1900</v>
      </c>
      <c r="R63">
        <f ca="1"/>
        <v>0</v>
      </c>
    </row>
    <row r="64" spans="1:18">
      <c r="B64" t="str">
        <f ca="1"/>
        <v>C6 JAN-FEB</v>
      </c>
      <c r="C64" s="209">
        <f ca="1"/>
        <v>46064</v>
      </c>
      <c r="D64" t="str">
        <f ca="1"/>
        <v>Chakki1,2&amp;3</v>
      </c>
      <c r="E64" t="str">
        <f ca="1"/>
        <v>C6</v>
      </c>
      <c r="F64" t="str">
        <f ca="1"/>
        <v>Multigrain</v>
      </c>
      <c r="G64" s="210">
        <f ca="1"/>
        <v>2600</v>
      </c>
      <c r="H64" s="210">
        <f ca="1"/>
        <v>0</v>
      </c>
      <c r="I64" s="210">
        <f ca="1"/>
        <v>74</v>
      </c>
      <c r="J64" s="210">
        <f ca="1"/>
        <v>2</v>
      </c>
      <c r="K64" s="210">
        <f ca="1"/>
        <v>185</v>
      </c>
      <c r="L64" s="210">
        <f ca="1"/>
        <v>261</v>
      </c>
      <c r="M64" s="210">
        <f ca="1"/>
        <v>2339</v>
      </c>
      <c r="N64" s="210">
        <f ca="1"/>
        <v>4</v>
      </c>
      <c r="O64" t="str">
        <f ca="1"/>
        <v>NIGHT</v>
      </c>
      <c r="P64" s="211">
        <f ca="1"/>
        <v>0.89961538461538448</v>
      </c>
      <c r="Q64">
        <f ca="1"/>
        <v>2600</v>
      </c>
      <c r="R64">
        <f ca="1"/>
        <v>0</v>
      </c>
    </row>
    <row r="65" spans="2:18">
      <c r="B65" t="str">
        <f ca="1"/>
        <v>C6 JAN-FEB</v>
      </c>
      <c r="C65" s="209">
        <f ca="1"/>
        <v>46065</v>
      </c>
      <c r="D65" t="str">
        <f ca="1"/>
        <v>Chakki1,2&amp;3</v>
      </c>
      <c r="E65" t="str">
        <f ca="1"/>
        <v>C6</v>
      </c>
      <c r="F65" t="str">
        <f ca="1"/>
        <v>Multigrain</v>
      </c>
      <c r="G65" s="210">
        <f ca="1"/>
        <v>550</v>
      </c>
      <c r="H65" s="210">
        <f ca="1"/>
        <v>0</v>
      </c>
      <c r="I65" s="210">
        <f ca="1"/>
        <v>5</v>
      </c>
      <c r="J65" s="210">
        <f ca="1"/>
        <v>1</v>
      </c>
      <c r="K65" s="210">
        <f ca="1"/>
        <v>49</v>
      </c>
      <c r="L65" s="210">
        <f ca="1"/>
        <v>55</v>
      </c>
      <c r="M65" s="210">
        <f ca="1"/>
        <v>495</v>
      </c>
      <c r="N65" s="210">
        <f ca="1"/>
        <v>4</v>
      </c>
      <c r="O65" t="str">
        <f ca="1"/>
        <v>DAY</v>
      </c>
      <c r="P65" s="211">
        <f ca="1"/>
        <v>0.9</v>
      </c>
      <c r="Q65">
        <f ca="1"/>
        <v>550</v>
      </c>
      <c r="R65">
        <f ca="1"/>
        <v>0</v>
      </c>
    </row>
    <row r="66" spans="2:18">
      <c r="B66" t="str">
        <f ca="1"/>
        <v>C6 JAN-FEB</v>
      </c>
      <c r="C66" s="209">
        <f ca="1"/>
        <v>46065</v>
      </c>
      <c r="D66" t="str">
        <f ca="1"/>
        <v>Chakki1,2&amp;3</v>
      </c>
      <c r="E66" t="str">
        <f ca="1"/>
        <v>C6</v>
      </c>
      <c r="F66" t="str">
        <f ca="1"/>
        <v>Multigrain</v>
      </c>
      <c r="G66" s="210">
        <f ca="1"/>
        <v>3650</v>
      </c>
      <c r="H66" s="210">
        <f ca="1"/>
        <v>0</v>
      </c>
      <c r="I66" s="210">
        <f ca="1"/>
        <v>60</v>
      </c>
      <c r="J66" s="210">
        <f ca="1"/>
        <v>3</v>
      </c>
      <c r="K66" s="210">
        <f ca="1"/>
        <v>286</v>
      </c>
      <c r="L66" s="210">
        <f ca="1"/>
        <v>349</v>
      </c>
      <c r="M66" s="210">
        <f ca="1"/>
        <v>3301</v>
      </c>
      <c r="N66" s="210">
        <f ca="1"/>
        <v>4</v>
      </c>
      <c r="O66" t="str">
        <f ca="1"/>
        <v>NIGHT</v>
      </c>
      <c r="P66" s="211">
        <f ca="1"/>
        <v>0.9043835616438356</v>
      </c>
      <c r="Q66">
        <f ca="1"/>
        <v>3650</v>
      </c>
      <c r="R66">
        <f ca="1"/>
        <v>0</v>
      </c>
    </row>
    <row r="67" spans="2:18">
      <c r="B67" t="str">
        <f ca="1"/>
        <v>C6 JAN-FEB</v>
      </c>
      <c r="C67" s="209">
        <f ca="1"/>
        <v>46066</v>
      </c>
      <c r="D67" t="str">
        <f ca="1"/>
        <v>Chakki1,2&amp;3</v>
      </c>
      <c r="E67" t="str">
        <f ca="1"/>
        <v>C6</v>
      </c>
      <c r="F67" t="str">
        <f ca="1"/>
        <v>Multigrain</v>
      </c>
      <c r="G67" s="210">
        <f ca="1"/>
        <v>2100</v>
      </c>
      <c r="H67" s="210">
        <f ca="1"/>
        <v>0</v>
      </c>
      <c r="I67" s="210">
        <f ca="1"/>
        <v>15</v>
      </c>
      <c r="J67" s="210">
        <f ca="1"/>
        <v>3</v>
      </c>
      <c r="K67" s="210">
        <f ca="1"/>
        <v>69</v>
      </c>
      <c r="L67" s="210">
        <f ca="1"/>
        <v>87</v>
      </c>
      <c r="M67" s="210">
        <f ca="1"/>
        <v>2013</v>
      </c>
      <c r="N67" s="210">
        <f ca="1"/>
        <v>4</v>
      </c>
      <c r="O67" t="str">
        <f ca="1"/>
        <v>DAY</v>
      </c>
      <c r="P67" s="211">
        <f ca="1"/>
        <v>0.95857142857142852</v>
      </c>
      <c r="Q67">
        <f ca="1"/>
        <v>2100</v>
      </c>
      <c r="R67">
        <f ca="1"/>
        <v>0</v>
      </c>
    </row>
    <row r="68" spans="2:18">
      <c r="B68" t="str">
        <f ca="1"/>
        <v>C6 JAN-FEB</v>
      </c>
      <c r="C68" s="209">
        <f ca="1"/>
        <v>46066</v>
      </c>
      <c r="D68" t="str">
        <f ca="1"/>
        <v>Chakki1,2&amp;3</v>
      </c>
      <c r="E68" t="str">
        <f ca="1"/>
        <v>C6</v>
      </c>
      <c r="F68" t="str">
        <f ca="1"/>
        <v>Multigrain</v>
      </c>
      <c r="G68" s="210">
        <f ca="1"/>
        <v>4700</v>
      </c>
      <c r="H68" s="210">
        <f ca="1"/>
        <v>0</v>
      </c>
      <c r="I68" s="210">
        <f ca="1"/>
        <v>115</v>
      </c>
      <c r="J68" s="210">
        <f ca="1"/>
        <v>3</v>
      </c>
      <c r="K68" s="210">
        <f ca="1"/>
        <v>236.7</v>
      </c>
      <c r="L68" s="210">
        <f ca="1"/>
        <v>354.7</v>
      </c>
      <c r="M68" s="210">
        <f ca="1"/>
        <v>4345.3</v>
      </c>
      <c r="N68" s="210">
        <f ca="1"/>
        <v>4</v>
      </c>
      <c r="O68" t="str">
        <f ca="1"/>
        <v>NIGHT</v>
      </c>
      <c r="P68" s="211">
        <f ca="1"/>
        <v>0.92453191489361719</v>
      </c>
      <c r="Q68">
        <f ca="1"/>
        <v>4700</v>
      </c>
      <c r="R68">
        <f ca="1"/>
        <v>0</v>
      </c>
    </row>
    <row r="69" spans="2:18">
      <c r="B69" t="str">
        <f ca="1"/>
        <v>C6 JAN-FEB</v>
      </c>
      <c r="C69" s="209">
        <f ca="1"/>
        <v>46067</v>
      </c>
      <c r="D69" t="str">
        <f ca="1"/>
        <v>Chakki1,2&amp;3</v>
      </c>
      <c r="E69" t="str">
        <f ca="1"/>
        <v>C6</v>
      </c>
      <c r="F69" t="str">
        <f ca="1"/>
        <v>Multigrain</v>
      </c>
      <c r="G69" s="210">
        <f ca="1"/>
        <v>2700</v>
      </c>
      <c r="H69" s="210">
        <f ca="1"/>
        <v>0</v>
      </c>
      <c r="I69" s="210">
        <f ca="1"/>
        <v>68</v>
      </c>
      <c r="J69" s="210">
        <f ca="1"/>
        <v>3</v>
      </c>
      <c r="K69" s="210">
        <f ca="1"/>
        <v>139</v>
      </c>
      <c r="L69" s="210">
        <f ca="1"/>
        <v>210</v>
      </c>
      <c r="M69" s="210">
        <f ca="1"/>
        <v>2490</v>
      </c>
      <c r="N69" s="210">
        <f ca="1"/>
        <v>4</v>
      </c>
      <c r="O69" t="str">
        <f ca="1"/>
        <v>DAY</v>
      </c>
      <c r="P69" s="211">
        <f ca="1"/>
        <v>0.92222222222222228</v>
      </c>
      <c r="Q69">
        <f ca="1"/>
        <v>2700</v>
      </c>
      <c r="R69">
        <f ca="1"/>
        <v>0</v>
      </c>
    </row>
    <row r="70" spans="2:18">
      <c r="B70" t="str">
        <f ca="1"/>
        <v>C6 JAN-FEB</v>
      </c>
      <c r="C70" s="209">
        <f ca="1"/>
        <v>46067</v>
      </c>
      <c r="D70" t="str">
        <f ca="1"/>
        <v>Chakki1,2&amp;3</v>
      </c>
      <c r="E70" t="str">
        <f ca="1"/>
        <v>C6</v>
      </c>
      <c r="F70" t="str">
        <f ca="1"/>
        <v>Multigrain</v>
      </c>
      <c r="G70" s="210">
        <f ca="1"/>
        <v>3150</v>
      </c>
      <c r="H70" s="210">
        <f ca="1"/>
        <v>0</v>
      </c>
      <c r="I70" s="210">
        <f ca="1"/>
        <v>78</v>
      </c>
      <c r="J70" s="210">
        <f ca="1"/>
        <v>5</v>
      </c>
      <c r="K70" s="210">
        <f ca="1"/>
        <v>172</v>
      </c>
      <c r="L70" s="210">
        <f ca="1"/>
        <v>255</v>
      </c>
      <c r="M70" s="210">
        <f ca="1"/>
        <v>2895</v>
      </c>
      <c r="N70" s="210">
        <f ca="1"/>
        <v>4</v>
      </c>
      <c r="O70" t="str">
        <f ca="1"/>
        <v>NIGHT</v>
      </c>
      <c r="P70" s="211">
        <f ca="1"/>
        <v>0.919047619047619</v>
      </c>
      <c r="Q70">
        <f ca="1"/>
        <v>3150</v>
      </c>
      <c r="R70">
        <f ca="1"/>
        <v>0</v>
      </c>
    </row>
    <row r="71" spans="2:18">
      <c r="B71" t="str">
        <f ca="1"/>
        <v>C6 JAN-FEB</v>
      </c>
      <c r="C71" s="209">
        <f ca="1"/>
        <v>46068</v>
      </c>
      <c r="D71" t="str">
        <f ca="1"/>
        <v>Chakki1,2&amp;3</v>
      </c>
      <c r="E71" t="str">
        <f ca="1"/>
        <v>C6</v>
      </c>
      <c r="F71" t="str">
        <f ca="1"/>
        <v>Multigrain</v>
      </c>
      <c r="G71" s="210">
        <f ca="1"/>
        <v>2250</v>
      </c>
      <c r="H71" s="210">
        <f ca="1"/>
        <v>0</v>
      </c>
      <c r="I71" s="210">
        <f ca="1"/>
        <v>25</v>
      </c>
      <c r="J71" s="210">
        <f ca="1"/>
        <v>3</v>
      </c>
      <c r="K71" s="210">
        <f ca="1"/>
        <v>149</v>
      </c>
      <c r="L71" s="210">
        <f ca="1"/>
        <v>177</v>
      </c>
      <c r="M71" s="210">
        <f ca="1"/>
        <v>2073</v>
      </c>
      <c r="N71" s="210">
        <f ca="1"/>
        <v>4</v>
      </c>
      <c r="O71" t="str">
        <f ca="1"/>
        <v>DAY</v>
      </c>
      <c r="P71" s="211">
        <f ca="1"/>
        <v>0.92133333333333345</v>
      </c>
      <c r="Q71">
        <f ca="1"/>
        <v>2250</v>
      </c>
      <c r="R71">
        <f ca="1"/>
        <v>0</v>
      </c>
    </row>
    <row r="72" spans="2:18">
      <c r="B72" t="str">
        <f ca="1"/>
        <v>C6 JAN-FEB</v>
      </c>
      <c r="C72" s="209">
        <f ca="1"/>
        <v>46069</v>
      </c>
      <c r="D72" t="str">
        <f ca="1"/>
        <v>Chakki1,2&amp;3</v>
      </c>
      <c r="E72" t="str">
        <f ca="1"/>
        <v>C6</v>
      </c>
      <c r="F72" t="str">
        <f ca="1"/>
        <v>Multigrain</v>
      </c>
      <c r="G72" s="210">
        <f ca="1"/>
        <v>2500</v>
      </c>
      <c r="H72" s="210">
        <f ca="1"/>
        <v>15</v>
      </c>
      <c r="I72" s="210">
        <f ca="1"/>
        <v>25</v>
      </c>
      <c r="J72" s="210">
        <f ca="1"/>
        <v>3</v>
      </c>
      <c r="K72" s="210">
        <f ca="1"/>
        <v>177</v>
      </c>
      <c r="L72" s="210">
        <f ca="1"/>
        <v>220</v>
      </c>
      <c r="M72" s="210">
        <f ca="1"/>
        <v>2280</v>
      </c>
      <c r="N72" s="210">
        <f ca="1"/>
        <v>4</v>
      </c>
      <c r="O72" t="str">
        <f ca="1"/>
        <v>DAY</v>
      </c>
      <c r="P72" s="211">
        <f ca="1"/>
        <v>0.91200000000000003</v>
      </c>
      <c r="Q72">
        <f ca="1"/>
        <v>2500</v>
      </c>
      <c r="R72">
        <f ca="1"/>
        <v>0</v>
      </c>
    </row>
    <row r="73" spans="2:18">
      <c r="B73" t="str">
        <f ca="1"/>
        <v>C6 JAN-FEB</v>
      </c>
      <c r="C73" s="209">
        <f ca="1"/>
        <v>46069</v>
      </c>
      <c r="D73" t="str">
        <f ca="1"/>
        <v>Chakki1,2&amp;3</v>
      </c>
      <c r="E73" t="str">
        <f ca="1"/>
        <v>C6</v>
      </c>
      <c r="F73" t="str">
        <f ca="1"/>
        <v>Multigrain</v>
      </c>
      <c r="G73" s="210">
        <f ca="1"/>
        <v>4350</v>
      </c>
      <c r="H73" s="210">
        <f ca="1"/>
        <v>45</v>
      </c>
      <c r="I73" s="210">
        <f ca="1"/>
        <v>73</v>
      </c>
      <c r="J73" s="210">
        <f ca="1"/>
        <v>5</v>
      </c>
      <c r="K73" s="210">
        <f ca="1"/>
        <v>217</v>
      </c>
      <c r="L73" s="210">
        <f ca="1"/>
        <v>340</v>
      </c>
      <c r="M73" s="210">
        <f ca="1"/>
        <v>4010</v>
      </c>
      <c r="N73" s="210">
        <f ca="1"/>
        <v>4</v>
      </c>
      <c r="O73" t="str">
        <f ca="1"/>
        <v>NIGHT</v>
      </c>
      <c r="P73" s="211">
        <f ca="1"/>
        <v>0.92183908045977025</v>
      </c>
      <c r="Q73">
        <f ca="1"/>
        <v>4350</v>
      </c>
      <c r="R73">
        <f ca="1"/>
        <v>0</v>
      </c>
    </row>
    <row r="74" spans="2:18">
      <c r="B74" t="str">
        <f ca="1"/>
        <v>C6 JAN-FEB</v>
      </c>
      <c r="C74" s="209">
        <f ca="1"/>
        <v>46070</v>
      </c>
      <c r="D74" t="str">
        <f ca="1"/>
        <v>Chakki1,2,3</v>
      </c>
      <c r="E74" t="str">
        <f ca="1"/>
        <v>C6</v>
      </c>
      <c r="F74" t="str">
        <f ca="1"/>
        <v>Multigrain</v>
      </c>
      <c r="G74" s="210">
        <f ca="1"/>
        <v>2350</v>
      </c>
      <c r="H74" s="210">
        <f ca="1"/>
        <v>18</v>
      </c>
      <c r="I74" s="210">
        <f ca="1"/>
        <v>19</v>
      </c>
      <c r="J74" s="210">
        <f ca="1"/>
        <v>2</v>
      </c>
      <c r="K74" s="210">
        <f ca="1"/>
        <v>171</v>
      </c>
      <c r="L74" s="210">
        <f ca="1"/>
        <v>210</v>
      </c>
      <c r="M74" s="210">
        <f ca="1"/>
        <v>2140</v>
      </c>
      <c r="N74" s="210">
        <f ca="1"/>
        <v>4</v>
      </c>
      <c r="O74" t="str">
        <f ca="1"/>
        <v>DAY</v>
      </c>
      <c r="P74" s="211">
        <f ca="1"/>
        <v>0.91063829787234041</v>
      </c>
      <c r="Q74">
        <f ca="1"/>
        <v>2350</v>
      </c>
      <c r="R74">
        <f ca="1"/>
        <v>0</v>
      </c>
    </row>
    <row r="75" spans="2:18">
      <c r="B75" t="str">
        <f ca="1"/>
        <v>C6 JAN-FEB</v>
      </c>
      <c r="C75" s="209">
        <f ca="1"/>
        <v>46070</v>
      </c>
      <c r="D75" t="str">
        <f ca="1"/>
        <v>Chakki1,2,3</v>
      </c>
      <c r="E75" t="str">
        <f ca="1"/>
        <v>C6</v>
      </c>
      <c r="F75" t="str">
        <f ca="1"/>
        <v>Multigrain</v>
      </c>
      <c r="G75" s="210">
        <f ca="1"/>
        <v>3350</v>
      </c>
      <c r="H75" s="210">
        <f ca="1"/>
        <v>28</v>
      </c>
      <c r="I75" s="210">
        <f ca="1"/>
        <v>78</v>
      </c>
      <c r="J75" s="210">
        <f ca="1"/>
        <v>3</v>
      </c>
      <c r="K75" s="210">
        <f ca="1"/>
        <v>146</v>
      </c>
      <c r="L75" s="210">
        <f ca="1"/>
        <v>255</v>
      </c>
      <c r="M75" s="210">
        <f ca="1"/>
        <v>3095</v>
      </c>
      <c r="N75" s="210">
        <f ca="1"/>
        <v>4</v>
      </c>
      <c r="O75" t="str">
        <f ca="1"/>
        <v>NIGHT</v>
      </c>
      <c r="P75" s="211">
        <f ca="1"/>
        <v>0.92388059701492542</v>
      </c>
      <c r="Q75">
        <f ca="1"/>
        <v>3350</v>
      </c>
      <c r="R75">
        <f ca="1"/>
        <v>0</v>
      </c>
    </row>
    <row r="76" spans="2:18">
      <c r="B76" t="str">
        <f ca="1"/>
        <v>C6 JAN-FEB</v>
      </c>
      <c r="C76" s="209">
        <f ca="1"/>
        <v>46071</v>
      </c>
      <c r="D76" t="str">
        <f ca="1"/>
        <v>Chakki1,2,3</v>
      </c>
      <c r="E76" t="str">
        <f ca="1"/>
        <v>C6</v>
      </c>
      <c r="F76" t="str">
        <f ca="1"/>
        <v>Multigrain</v>
      </c>
      <c r="G76" s="210">
        <f ca="1"/>
        <v>2500</v>
      </c>
      <c r="H76" s="210">
        <f ca="1"/>
        <v>22</v>
      </c>
      <c r="I76" s="210">
        <f ca="1"/>
        <v>45</v>
      </c>
      <c r="J76" s="210">
        <f ca="1"/>
        <v>2</v>
      </c>
      <c r="K76" s="210">
        <f ca="1"/>
        <v>151</v>
      </c>
      <c r="L76" s="210">
        <f ca="1"/>
        <v>220</v>
      </c>
      <c r="M76" s="210">
        <f ca="1"/>
        <v>2280</v>
      </c>
      <c r="N76" s="210">
        <f ca="1"/>
        <v>4</v>
      </c>
      <c r="O76" t="str">
        <f ca="1"/>
        <v>DAY</v>
      </c>
      <c r="P76" s="211">
        <f ca="1"/>
        <v>0.91200000000000003</v>
      </c>
      <c r="Q76">
        <f ca="1"/>
        <v>2500</v>
      </c>
      <c r="R76">
        <f ca="1"/>
        <v>0</v>
      </c>
    </row>
    <row r="77" spans="2:18">
      <c r="B77" t="str">
        <f ca="1"/>
        <v>C6 JAN-FEB</v>
      </c>
      <c r="C77" s="209">
        <f ca="1"/>
        <v>46071</v>
      </c>
      <c r="D77" t="str">
        <f ca="1"/>
        <v>Chakki1,2,3</v>
      </c>
      <c r="E77" t="str">
        <f ca="1"/>
        <v>C6</v>
      </c>
      <c r="F77" t="str">
        <f ca="1"/>
        <v>Multigrain</v>
      </c>
      <c r="G77" s="210">
        <f ca="1"/>
        <v>1800</v>
      </c>
      <c r="H77" s="210">
        <f ca="1"/>
        <v>19</v>
      </c>
      <c r="I77" s="210">
        <f ca="1"/>
        <v>38</v>
      </c>
      <c r="J77" s="210">
        <f ca="1"/>
        <v>3</v>
      </c>
      <c r="K77" s="210">
        <f ca="1"/>
        <v>109</v>
      </c>
      <c r="L77" s="210">
        <f ca="1"/>
        <v>169</v>
      </c>
      <c r="M77" s="210">
        <f ca="1"/>
        <v>1631</v>
      </c>
      <c r="N77" s="210">
        <f ca="1"/>
        <v>4</v>
      </c>
      <c r="O77" t="str">
        <f ca="1"/>
        <v>NIGHT</v>
      </c>
      <c r="P77" s="211">
        <f ca="1"/>
        <v>0.90611111111111109</v>
      </c>
      <c r="Q77">
        <f ca="1"/>
        <v>1800</v>
      </c>
      <c r="R77">
        <f ca="1"/>
        <v>0</v>
      </c>
    </row>
    <row r="78" spans="2:18">
      <c r="B78" t="str">
        <f ca="1"/>
        <v>C6 JAN-FEB</v>
      </c>
      <c r="C78" s="209">
        <f ca="1"/>
        <v>46073</v>
      </c>
      <c r="D78" t="str">
        <f ca="1"/>
        <v>Chakki1,2,3</v>
      </c>
      <c r="E78" t="str">
        <f ca="1"/>
        <v>C6</v>
      </c>
      <c r="F78" t="str">
        <f ca="1"/>
        <v>Multigrain</v>
      </c>
      <c r="G78" s="210">
        <f ca="1"/>
        <v>2200</v>
      </c>
      <c r="H78" s="210">
        <f ca="1"/>
        <v>15</v>
      </c>
      <c r="I78" s="210">
        <f ca="1"/>
        <v>19</v>
      </c>
      <c r="J78" s="210">
        <f ca="1"/>
        <v>2</v>
      </c>
      <c r="K78" s="210">
        <f ca="1"/>
        <v>159</v>
      </c>
      <c r="L78" s="210">
        <f ca="1"/>
        <v>195</v>
      </c>
      <c r="M78" s="210">
        <f ca="1"/>
        <v>2005</v>
      </c>
      <c r="N78" s="210">
        <f ca="1"/>
        <v>3</v>
      </c>
      <c r="O78" t="str">
        <f ca="1"/>
        <v>DAY</v>
      </c>
      <c r="P78" s="211">
        <f ca="1"/>
        <v>0.91136363636363638</v>
      </c>
      <c r="Q78">
        <f ca="1"/>
        <v>2200</v>
      </c>
      <c r="R78">
        <f ca="1"/>
        <v>0</v>
      </c>
    </row>
    <row r="79" spans="2:18">
      <c r="B79" t="str">
        <f ca="1"/>
        <v>C6 JAN-FEB</v>
      </c>
      <c r="C79" s="209">
        <f ca="1"/>
        <v>46073</v>
      </c>
      <c r="D79" t="str">
        <f ca="1"/>
        <v>Chakki1,2,3</v>
      </c>
      <c r="E79" t="str">
        <f ca="1"/>
        <v>C6</v>
      </c>
      <c r="F79" t="str">
        <f ca="1"/>
        <v>Multigrain</v>
      </c>
      <c r="G79" s="210">
        <f ca="1"/>
        <v>3100</v>
      </c>
      <c r="H79" s="210">
        <f ca="1"/>
        <v>24</v>
      </c>
      <c r="I79" s="210">
        <f ca="1"/>
        <v>26</v>
      </c>
      <c r="J79" s="210">
        <f ca="1"/>
        <v>4</v>
      </c>
      <c r="K79" s="210">
        <f ca="1"/>
        <v>216</v>
      </c>
      <c r="L79" s="210">
        <f ca="1"/>
        <v>270</v>
      </c>
      <c r="M79" s="210">
        <f ca="1"/>
        <v>2830</v>
      </c>
      <c r="N79" s="210">
        <f ca="1"/>
        <v>3</v>
      </c>
      <c r="O79" t="str">
        <f ca="1"/>
        <v>NIGHT</v>
      </c>
      <c r="P79" s="211">
        <f ca="1"/>
        <v>0.91290322580645167</v>
      </c>
      <c r="Q79">
        <f ca="1"/>
        <v>3100</v>
      </c>
      <c r="R79">
        <f ca="1"/>
        <v>0</v>
      </c>
    </row>
    <row r="80" spans="2:18">
      <c r="B80" t="str">
        <f ca="1"/>
        <v>C6 JAN-FEB</v>
      </c>
      <c r="C80" s="209">
        <f ca="1"/>
        <v>46074</v>
      </c>
      <c r="D80" t="str">
        <f ca="1"/>
        <v>Chakki1,2,3</v>
      </c>
      <c r="E80" t="str">
        <f ca="1"/>
        <v>C6</v>
      </c>
      <c r="F80" t="str">
        <f ca="1"/>
        <v>Multigrain</v>
      </c>
      <c r="G80" s="210">
        <f ca="1"/>
        <v>3300</v>
      </c>
      <c r="H80" s="210">
        <f ca="1"/>
        <v>28</v>
      </c>
      <c r="I80" s="210">
        <f ca="1"/>
        <v>47</v>
      </c>
      <c r="J80" s="210">
        <f ca="1"/>
        <v>5</v>
      </c>
      <c r="K80" s="210">
        <f ca="1"/>
        <v>247</v>
      </c>
      <c r="L80" s="210">
        <f ca="1"/>
        <v>327</v>
      </c>
      <c r="M80" s="210">
        <f ca="1"/>
        <v>2973</v>
      </c>
      <c r="N80" s="210">
        <f ca="1"/>
        <v>3</v>
      </c>
      <c r="O80" t="str">
        <f ca="1"/>
        <v>DAY</v>
      </c>
      <c r="P80" s="211">
        <f ca="1"/>
        <v>0.90090909090909088</v>
      </c>
      <c r="Q80">
        <f ca="1"/>
        <v>3300</v>
      </c>
      <c r="R80">
        <f ca="1"/>
        <v>0</v>
      </c>
    </row>
    <row r="81" spans="2:18">
      <c r="B81" t="str">
        <f ca="1"/>
        <v>C6 JAN-FEB</v>
      </c>
      <c r="C81" s="209">
        <f ca="1"/>
        <v>46075</v>
      </c>
      <c r="D81" t="str">
        <f ca="1"/>
        <v>Chakki1,2,3</v>
      </c>
      <c r="E81" t="str">
        <f ca="1"/>
        <v>C6</v>
      </c>
      <c r="F81" t="str">
        <f ca="1"/>
        <v>Multigrain</v>
      </c>
      <c r="G81" s="210">
        <f ca="1"/>
        <v>2100</v>
      </c>
      <c r="H81" s="210">
        <f ca="1"/>
        <v>18</v>
      </c>
      <c r="I81" s="210">
        <f ca="1"/>
        <v>32</v>
      </c>
      <c r="J81" s="210">
        <f ca="1"/>
        <v>2</v>
      </c>
      <c r="K81" s="210">
        <f ca="1"/>
        <v>143</v>
      </c>
      <c r="L81" s="210">
        <f ca="1"/>
        <v>195</v>
      </c>
      <c r="M81" s="210">
        <f ca="1"/>
        <v>1905</v>
      </c>
      <c r="N81" s="210">
        <f ca="1"/>
        <v>2</v>
      </c>
      <c r="O81" t="str">
        <f ca="1"/>
        <v>DAY</v>
      </c>
      <c r="P81" s="211">
        <f ca="1"/>
        <v>0.90714285714285703</v>
      </c>
      <c r="Q81">
        <f ca="1"/>
        <v>2100</v>
      </c>
      <c r="R81">
        <f ca="1"/>
        <v>0</v>
      </c>
    </row>
    <row r="82" spans="2:18">
      <c r="B82" t="str">
        <f ca="1"/>
        <v>C6 JAN-FEB</v>
      </c>
      <c r="C82" s="209">
        <f ca="1"/>
        <v>46076</v>
      </c>
      <c r="D82" t="str">
        <f ca="1"/>
        <v>Chakki1,2,3</v>
      </c>
      <c r="E82" t="str">
        <f ca="1"/>
        <v>C6</v>
      </c>
      <c r="F82" t="str">
        <f ca="1"/>
        <v>Multigrain</v>
      </c>
      <c r="G82" s="210">
        <f ca="1"/>
        <v>3000</v>
      </c>
      <c r="H82" s="210">
        <f ca="1"/>
        <v>31</v>
      </c>
      <c r="I82" s="210">
        <f ca="1"/>
        <v>40</v>
      </c>
      <c r="J82" s="210">
        <f ca="1"/>
        <v>4</v>
      </c>
      <c r="K82" s="210">
        <f ca="1"/>
        <v>206</v>
      </c>
      <c r="L82" s="210">
        <f ca="1"/>
        <v>250</v>
      </c>
      <c r="M82" s="210">
        <f ca="1"/>
        <v>2750</v>
      </c>
      <c r="N82" s="210">
        <f ca="1"/>
        <v>3</v>
      </c>
      <c r="O82" t="str">
        <f ca="1"/>
        <v>DAY</v>
      </c>
      <c r="P82" s="211">
        <f ca="1"/>
        <v>0.91666666666666652</v>
      </c>
      <c r="Q82">
        <f ca="1"/>
        <v>3000</v>
      </c>
      <c r="R82">
        <f ca="1"/>
        <v>0</v>
      </c>
    </row>
    <row r="83" spans="2:18">
      <c r="B83" t="str">
        <f ca="1"/>
        <v>C6 JAN-FEB</v>
      </c>
      <c r="C83" s="209">
        <f ca="1"/>
        <v>46076</v>
      </c>
      <c r="D83" t="str">
        <f ca="1"/>
        <v>Chakki1,2,3</v>
      </c>
      <c r="E83" t="str">
        <f ca="1"/>
        <v>C6</v>
      </c>
      <c r="F83" t="str">
        <f ca="1"/>
        <v>Multigrain</v>
      </c>
      <c r="G83" s="210">
        <f ca="1"/>
        <v>4000</v>
      </c>
      <c r="H83" s="210">
        <f ca="1"/>
        <v>35</v>
      </c>
      <c r="I83" s="210">
        <f ca="1"/>
        <v>53</v>
      </c>
      <c r="J83" s="210">
        <f ca="1"/>
        <v>3</v>
      </c>
      <c r="K83" s="210">
        <f ca="1"/>
        <v>274</v>
      </c>
      <c r="L83" s="210">
        <f ca="1"/>
        <v>330</v>
      </c>
      <c r="M83" s="210">
        <f ca="1"/>
        <v>3670</v>
      </c>
      <c r="N83" s="210">
        <f ca="1"/>
        <v>4</v>
      </c>
      <c r="O83" t="str">
        <f ca="1"/>
        <v>NIGHT</v>
      </c>
      <c r="P83" s="211">
        <f ca="1"/>
        <v>0.91749999999999998</v>
      </c>
      <c r="Q83">
        <f ca="1"/>
        <v>4000</v>
      </c>
      <c r="R83">
        <f ca="1"/>
        <v>0</v>
      </c>
    </row>
    <row r="84" spans="2:18">
      <c r="B84" t="str">
        <f ca="1"/>
        <v>C6 JAN-FEB</v>
      </c>
      <c r="C84" s="209">
        <f ca="1"/>
        <v>46077</v>
      </c>
      <c r="D84" t="str">
        <f ca="1"/>
        <v>chakki1,2,3</v>
      </c>
      <c r="E84" t="str">
        <f ca="1"/>
        <v>C6</v>
      </c>
      <c r="F84" t="str">
        <f ca="1"/>
        <v>Multigrain</v>
      </c>
      <c r="G84" s="210">
        <f ca="1"/>
        <v>3150</v>
      </c>
      <c r="H84" s="210">
        <f ca="1"/>
        <v>33</v>
      </c>
      <c r="I84" s="210">
        <f ca="1"/>
        <v>38</v>
      </c>
      <c r="J84" s="210">
        <f ca="1"/>
        <v>4</v>
      </c>
      <c r="K84" s="210">
        <f ca="1"/>
        <v>238</v>
      </c>
      <c r="L84" s="210">
        <f ca="1"/>
        <v>280</v>
      </c>
      <c r="M84" s="210">
        <f ca="1"/>
        <v>2870</v>
      </c>
      <c r="N84" s="210">
        <f ca="1"/>
        <v>3</v>
      </c>
      <c r="O84" t="str">
        <f ca="1"/>
        <v>DAY</v>
      </c>
      <c r="P84" s="211">
        <f ca="1"/>
        <v>0.91111111111111109</v>
      </c>
      <c r="Q84">
        <f ca="1"/>
        <v>3150</v>
      </c>
      <c r="R84">
        <f ca="1"/>
        <v>0</v>
      </c>
    </row>
    <row r="85" spans="2:18">
      <c r="B85" t="str">
        <f ca="1"/>
        <v>C6 JAN-FEB</v>
      </c>
      <c r="C85" s="209">
        <f ca="1"/>
        <v>46077</v>
      </c>
      <c r="D85" t="str">
        <f ca="1"/>
        <v>chakki1,2,3</v>
      </c>
      <c r="E85" t="str">
        <f ca="1"/>
        <v>C6</v>
      </c>
      <c r="F85" t="str">
        <f ca="1"/>
        <v>Multigrain</v>
      </c>
      <c r="G85" s="210">
        <f ca="1"/>
        <v>4000</v>
      </c>
      <c r="H85" s="210">
        <f ca="1"/>
        <v>45</v>
      </c>
      <c r="I85" s="210">
        <f ca="1"/>
        <v>51</v>
      </c>
      <c r="J85" s="210">
        <f ca="1"/>
        <v>3</v>
      </c>
      <c r="K85" s="210">
        <f ca="1"/>
        <v>296</v>
      </c>
      <c r="L85" s="210">
        <f ca="1"/>
        <v>350</v>
      </c>
      <c r="M85" s="210">
        <f ca="1"/>
        <v>3650</v>
      </c>
      <c r="N85" s="210">
        <f ca="1"/>
        <v>4</v>
      </c>
      <c r="O85" t="str">
        <f ca="1"/>
        <v>NIGHT</v>
      </c>
      <c r="P85" s="211">
        <f ca="1"/>
        <v>0.91249999999999998</v>
      </c>
      <c r="Q85">
        <f ca="1"/>
        <v>4000</v>
      </c>
      <c r="R85">
        <f ca="1"/>
        <v>0</v>
      </c>
    </row>
    <row r="86" spans="2:18">
      <c r="B86" t="str">
        <f ca="1"/>
        <v>C6 JAN-FEB</v>
      </c>
      <c r="C86" s="209">
        <f ca="1"/>
        <v>46078</v>
      </c>
      <c r="D86" t="str">
        <f ca="1"/>
        <v>Chakki1,2,3</v>
      </c>
      <c r="E86" t="str">
        <f ca="1"/>
        <v>C6</v>
      </c>
      <c r="F86" t="str">
        <f ca="1"/>
        <v>Multigrain</v>
      </c>
      <c r="G86" s="210">
        <f ca="1"/>
        <v>2850</v>
      </c>
      <c r="H86" s="210">
        <f ca="1"/>
        <v>35</v>
      </c>
      <c r="I86" s="210">
        <f ca="1"/>
        <v>32</v>
      </c>
      <c r="J86" s="210">
        <f ca="1"/>
        <v>5</v>
      </c>
      <c r="K86" s="210">
        <f ca="1"/>
        <v>243</v>
      </c>
      <c r="L86" s="210">
        <f ca="1"/>
        <v>280</v>
      </c>
      <c r="M86" s="210">
        <f ca="1"/>
        <v>2570</v>
      </c>
      <c r="N86" s="210">
        <f ca="1"/>
        <v>4</v>
      </c>
      <c r="O86" t="str">
        <f ca="1"/>
        <v>DAY</v>
      </c>
      <c r="P86" s="211">
        <f ca="1"/>
        <v>0.90175438596491231</v>
      </c>
      <c r="Q86">
        <f ca="1"/>
        <v>2850</v>
      </c>
      <c r="R86">
        <f ca="1"/>
        <v>0</v>
      </c>
    </row>
    <row r="87" spans="2:18">
      <c r="B87" t="str">
        <f ca="1"/>
        <v>C6 JAN-FEB</v>
      </c>
      <c r="C87" s="209">
        <f ca="1"/>
        <v>46078</v>
      </c>
      <c r="D87" t="str">
        <f ca="1"/>
        <v>Chakki1,2,3</v>
      </c>
      <c r="E87" t="str">
        <f ca="1"/>
        <v>C6</v>
      </c>
      <c r="F87" t="str">
        <f ca="1"/>
        <v>Multigrain</v>
      </c>
      <c r="G87" s="210">
        <f ca="1"/>
        <v>4000</v>
      </c>
      <c r="H87" s="210">
        <f ca="1"/>
        <v>51</v>
      </c>
      <c r="I87" s="210">
        <f ca="1"/>
        <v>48</v>
      </c>
      <c r="J87" s="210">
        <f ca="1"/>
        <v>3</v>
      </c>
      <c r="K87" s="210">
        <f ca="1"/>
        <v>319</v>
      </c>
      <c r="L87" s="210">
        <f ca="1"/>
        <v>370</v>
      </c>
      <c r="M87" s="210">
        <f ca="1"/>
        <v>3630</v>
      </c>
      <c r="N87" s="210">
        <f ca="1"/>
        <v>4</v>
      </c>
      <c r="O87" t="str">
        <f ca="1"/>
        <v>NIGHT</v>
      </c>
      <c r="P87" s="211">
        <f ca="1"/>
        <v>0.90749999999999997</v>
      </c>
      <c r="Q87">
        <f ca="1"/>
        <v>4000</v>
      </c>
      <c r="R87">
        <f ca="1"/>
        <v>0</v>
      </c>
    </row>
    <row r="88" spans="2:18">
      <c r="B88" t="str">
        <f ca="1"/>
        <v>C6 JAN-FEB</v>
      </c>
      <c r="C88" s="209">
        <f ca="1"/>
        <v>46079</v>
      </c>
      <c r="D88" t="str">
        <f ca="1"/>
        <v>Chakki1,2,3</v>
      </c>
      <c r="E88" t="str">
        <f ca="1"/>
        <v>C6</v>
      </c>
      <c r="F88" t="str">
        <f ca="1"/>
        <v>Multigrain</v>
      </c>
      <c r="G88" s="210">
        <f ca="1"/>
        <v>3250</v>
      </c>
      <c r="H88" s="210">
        <f ca="1"/>
        <v>43</v>
      </c>
      <c r="I88" s="210">
        <f ca="1"/>
        <v>27</v>
      </c>
      <c r="J88" s="210">
        <f ca="1"/>
        <v>4</v>
      </c>
      <c r="K88" s="210">
        <f ca="1"/>
        <v>259</v>
      </c>
      <c r="L88" s="210">
        <f ca="1"/>
        <v>290</v>
      </c>
      <c r="M88" s="210">
        <f ca="1"/>
        <v>2960</v>
      </c>
      <c r="N88" s="210">
        <f ca="1"/>
        <v>4</v>
      </c>
      <c r="O88" t="str">
        <f ca="1"/>
        <v>NIGHT</v>
      </c>
      <c r="P88" s="211">
        <f ca="1"/>
        <v>0.91076923076923078</v>
      </c>
      <c r="Q88">
        <f ca="1"/>
        <v>3250</v>
      </c>
      <c r="R88">
        <f ca="1"/>
        <v>0</v>
      </c>
    </row>
    <row r="89" spans="2:18">
      <c r="B89" t="str">
        <f ca="1"/>
        <v>C6 JAN-FEB</v>
      </c>
      <c r="C89" s="209">
        <f ca="1"/>
        <v>46080</v>
      </c>
      <c r="D89" t="str">
        <f ca="1"/>
        <v>Chakki1,2,3</v>
      </c>
      <c r="E89" t="str">
        <f ca="1"/>
        <v>C6</v>
      </c>
      <c r="F89" t="str">
        <f ca="1"/>
        <v>Multigrain</v>
      </c>
      <c r="G89" s="210">
        <f ca="1"/>
        <v>1850</v>
      </c>
      <c r="H89" s="210">
        <f ca="1"/>
        <v>17</v>
      </c>
      <c r="I89" s="210">
        <f ca="1"/>
        <v>20</v>
      </c>
      <c r="J89" s="210">
        <f ca="1"/>
        <v>5</v>
      </c>
      <c r="K89" s="210">
        <f ca="1"/>
        <v>128</v>
      </c>
      <c r="L89" s="210">
        <f ca="1"/>
        <v>170</v>
      </c>
      <c r="M89" s="210">
        <f ca="1"/>
        <v>1680</v>
      </c>
      <c r="N89" s="210">
        <f ca="1"/>
        <v>4</v>
      </c>
      <c r="O89" t="str">
        <f ca="1"/>
        <v>DAY</v>
      </c>
      <c r="P89" s="211">
        <f ca="1"/>
        <v>0.90810810810810816</v>
      </c>
      <c r="Q89">
        <f ca="1"/>
        <v>1850</v>
      </c>
      <c r="R89">
        <f ca="1"/>
        <v>0</v>
      </c>
    </row>
    <row r="90" spans="2:18">
      <c r="B90" t="str">
        <f ca="1"/>
        <v>C6 JAN-FEB</v>
      </c>
      <c r="C90" s="209">
        <f ca="1"/>
        <v>46080</v>
      </c>
      <c r="D90" t="str">
        <f ca="1"/>
        <v>Chakki1,2,3</v>
      </c>
      <c r="E90" t="str">
        <f ca="1"/>
        <v>C6</v>
      </c>
      <c r="F90" t="str">
        <f ca="1"/>
        <v>Multigrain</v>
      </c>
      <c r="G90" s="210">
        <f ca="1"/>
        <v>3500</v>
      </c>
      <c r="H90" s="210">
        <f ca="1"/>
        <v>42</v>
      </c>
      <c r="I90" s="210">
        <f ca="1"/>
        <v>35</v>
      </c>
      <c r="J90" s="210">
        <f ca="1"/>
        <v>4</v>
      </c>
      <c r="K90" s="210">
        <f ca="1"/>
        <v>229</v>
      </c>
      <c r="L90" s="210">
        <f ca="1"/>
        <v>310</v>
      </c>
      <c r="M90" s="210">
        <f ca="1"/>
        <v>3190</v>
      </c>
      <c r="N90" s="210">
        <f ca="1"/>
        <v>4</v>
      </c>
      <c r="O90" t="str">
        <f ca="1"/>
        <v>NIGHT</v>
      </c>
      <c r="P90" s="211">
        <f ca="1"/>
        <v>0.91142857142857148</v>
      </c>
      <c r="Q90">
        <f ca="1"/>
        <v>3500</v>
      </c>
      <c r="R90">
        <f ca="1"/>
        <v>0</v>
      </c>
    </row>
    <row r="91" spans="2:18">
      <c r="B91" t="str">
        <f ca="1"/>
        <v>C6 JAN-FEB</v>
      </c>
      <c r="C91" s="209">
        <f ca="1"/>
        <v>46081</v>
      </c>
      <c r="D91" t="str">
        <f ca="1"/>
        <v>Chakki1,2,3</v>
      </c>
      <c r="E91" t="str">
        <f ca="1"/>
        <v>C6</v>
      </c>
      <c r="F91" t="str">
        <f ca="1"/>
        <v>Multigrain</v>
      </c>
      <c r="G91" s="210">
        <f ca="1"/>
        <v>2100</v>
      </c>
      <c r="H91" s="210">
        <f ca="1"/>
        <v>37</v>
      </c>
      <c r="I91" s="210">
        <f ca="1"/>
        <v>23</v>
      </c>
      <c r="J91" s="210">
        <f ca="1"/>
        <v>2</v>
      </c>
      <c r="K91" s="210">
        <f ca="1"/>
        <v>133</v>
      </c>
      <c r="L91" s="210">
        <f ca="1"/>
        <v>195</v>
      </c>
      <c r="M91" s="210">
        <f ca="1"/>
        <v>1905</v>
      </c>
      <c r="N91" s="210">
        <f ca="1"/>
        <v>4</v>
      </c>
      <c r="O91" t="str">
        <f ca="1"/>
        <v>DAY</v>
      </c>
      <c r="P91" s="211">
        <f ca="1"/>
        <v>0.90714285714285703</v>
      </c>
      <c r="Q91">
        <f ca="1"/>
        <v>2100</v>
      </c>
      <c r="R91">
        <f ca="1"/>
        <v>0</v>
      </c>
    </row>
    <row r="92" spans="2:18">
      <c r="B92" t="str">
        <f ca="1"/>
        <v>C6 JAN-FEB</v>
      </c>
      <c r="C92" s="209">
        <f ca="1"/>
        <v>46081</v>
      </c>
      <c r="D92" t="str">
        <f ca="1"/>
        <v>Chakki1,2,3</v>
      </c>
      <c r="E92" t="str">
        <f ca="1"/>
        <v>C6</v>
      </c>
      <c r="F92" t="str">
        <f ca="1"/>
        <v>Multigrain</v>
      </c>
      <c r="G92" s="210">
        <f ca="1"/>
        <v>3600</v>
      </c>
      <c r="H92" s="210">
        <f ca="1"/>
        <v>38</v>
      </c>
      <c r="I92" s="210">
        <f ca="1"/>
        <v>43</v>
      </c>
      <c r="J92" s="210">
        <f ca="1"/>
        <v>3</v>
      </c>
      <c r="K92" s="210">
        <f ca="1"/>
        <v>236</v>
      </c>
      <c r="L92" s="210">
        <f ca="1"/>
        <v>320</v>
      </c>
      <c r="M92" s="210">
        <f ca="1"/>
        <v>3280</v>
      </c>
      <c r="N92" s="210">
        <f ca="1"/>
        <v>4</v>
      </c>
      <c r="O92" t="str">
        <f ca="1"/>
        <v>NIGHT</v>
      </c>
      <c r="P92" s="211">
        <f ca="1"/>
        <v>0.91111111111111109</v>
      </c>
      <c r="Q92">
        <f ca="1"/>
        <v>3600</v>
      </c>
      <c r="R92">
        <f ca="1"/>
        <v>0</v>
      </c>
    </row>
    <row r="93" spans="2:18">
      <c r="B93" t="str">
        <f ca="1"/>
        <v xml:space="preserve"> C39 JAN-FEB</v>
      </c>
      <c r="C93" s="209">
        <f ca="1"/>
        <v>46026</v>
      </c>
      <c r="D93" t="str">
        <f ca="1"/>
        <v>3&amp;4</v>
      </c>
      <c r="E93" t="str">
        <f ca="1"/>
        <v>C39</v>
      </c>
      <c r="F93" t="str">
        <f ca="1"/>
        <v>Khapli</v>
      </c>
      <c r="G93" s="210">
        <f ca="1"/>
        <v>5000</v>
      </c>
      <c r="H93" s="210">
        <f ca="1"/>
        <v>130</v>
      </c>
      <c r="I93" s="210">
        <f ca="1"/>
        <v>92</v>
      </c>
      <c r="J93" s="210">
        <f ca="1"/>
        <v>6</v>
      </c>
      <c r="K93" s="210">
        <f ca="1"/>
        <v>240</v>
      </c>
      <c r="L93" s="210">
        <f ca="1"/>
        <v>468</v>
      </c>
      <c r="M93" s="210">
        <f ca="1"/>
        <v>4532</v>
      </c>
      <c r="N93" s="210">
        <f ca="1"/>
        <v>9</v>
      </c>
      <c r="O93" t="str">
        <f ca="1"/>
        <v>Day</v>
      </c>
      <c r="P93" s="211">
        <f ca="1"/>
        <v>0.90639999999999998</v>
      </c>
      <c r="Q93">
        <f ca="1"/>
        <v>5000</v>
      </c>
      <c r="R93">
        <f ca="1"/>
        <v>0</v>
      </c>
    </row>
    <row r="94" spans="2:18">
      <c r="B94" t="str">
        <f ca="1"/>
        <v xml:space="preserve"> C39 JAN-FEB</v>
      </c>
      <c r="C94" s="209">
        <f ca="1"/>
        <v>46027</v>
      </c>
      <c r="D94" t="str">
        <f ca="1"/>
        <v>3&amp;4</v>
      </c>
      <c r="E94" t="str">
        <f ca="1"/>
        <v>C39</v>
      </c>
      <c r="F94" t="str">
        <f ca="1"/>
        <v>Khapli</v>
      </c>
      <c r="G94" s="210">
        <f ca="1"/>
        <v>4450</v>
      </c>
      <c r="H94" s="210">
        <f ca="1"/>
        <v>85</v>
      </c>
      <c r="I94" s="210">
        <f ca="1"/>
        <v>72</v>
      </c>
      <c r="J94" s="210">
        <f ca="1"/>
        <v>5.4</v>
      </c>
      <c r="K94" s="210">
        <f ca="1"/>
        <v>156.6</v>
      </c>
      <c r="L94" s="210">
        <f ca="1"/>
        <v>319</v>
      </c>
      <c r="M94" s="210">
        <f ca="1"/>
        <v>4131</v>
      </c>
      <c r="N94" s="210">
        <f ca="1"/>
        <v>9</v>
      </c>
      <c r="O94" t="str">
        <f ca="1"/>
        <v>Day</v>
      </c>
      <c r="P94" s="211">
        <f ca="1"/>
        <v>0.92831460674157318</v>
      </c>
      <c r="Q94">
        <f ca="1"/>
        <v>4450</v>
      </c>
      <c r="R94">
        <f ca="1"/>
        <v>0</v>
      </c>
    </row>
    <row r="95" spans="2:18">
      <c r="B95" t="str">
        <f ca="1"/>
        <v xml:space="preserve"> C39 JAN-FEB</v>
      </c>
      <c r="C95" s="209">
        <f ca="1"/>
        <v>46028</v>
      </c>
      <c r="D95" t="str">
        <f ca="1"/>
        <v>3&amp;4</v>
      </c>
      <c r="E95" t="str">
        <f ca="1"/>
        <v>C39</v>
      </c>
      <c r="F95" t="str">
        <f ca="1"/>
        <v>Khapli</v>
      </c>
      <c r="G95" s="210">
        <f ca="1"/>
        <v>5550</v>
      </c>
      <c r="H95" s="210">
        <f ca="1"/>
        <v>184</v>
      </c>
      <c r="I95" s="210">
        <f ca="1"/>
        <v>152</v>
      </c>
      <c r="J95" s="210">
        <f ca="1"/>
        <v>6</v>
      </c>
      <c r="K95" s="210">
        <f ca="1"/>
        <v>202</v>
      </c>
      <c r="L95" s="210">
        <f ca="1"/>
        <v>544</v>
      </c>
      <c r="M95" s="210">
        <f ca="1"/>
        <v>5006</v>
      </c>
      <c r="N95" s="210">
        <f ca="1"/>
        <v>9</v>
      </c>
      <c r="O95" t="str">
        <f ca="1"/>
        <v>Day</v>
      </c>
      <c r="P95" s="211">
        <f ca="1"/>
        <v>0.90198198198198198</v>
      </c>
      <c r="Q95">
        <f ca="1"/>
        <v>5550</v>
      </c>
      <c r="R95">
        <f ca="1"/>
        <v>0</v>
      </c>
    </row>
    <row r="96" spans="2:18">
      <c r="B96" t="str">
        <f ca="1"/>
        <v xml:space="preserve"> C39 JAN-FEB</v>
      </c>
      <c r="C96" s="209">
        <f ca="1"/>
        <v>46029</v>
      </c>
      <c r="D96" t="str">
        <f ca="1"/>
        <v>3&amp;4</v>
      </c>
      <c r="E96" t="str">
        <f ca="1"/>
        <v>C39</v>
      </c>
      <c r="F96" t="str">
        <f ca="1"/>
        <v>Khapli</v>
      </c>
      <c r="G96" s="210">
        <f ca="1"/>
        <v>5700</v>
      </c>
      <c r="H96" s="210">
        <f ca="1"/>
        <v>127</v>
      </c>
      <c r="I96" s="210">
        <f ca="1"/>
        <v>85</v>
      </c>
      <c r="J96" s="210">
        <f ca="1"/>
        <v>7</v>
      </c>
      <c r="K96" s="210">
        <f ca="1"/>
        <v>156</v>
      </c>
      <c r="L96" s="210">
        <f ca="1"/>
        <v>375</v>
      </c>
      <c r="M96" s="210">
        <f ca="1"/>
        <v>5325</v>
      </c>
      <c r="N96" s="210">
        <f ca="1"/>
        <v>9</v>
      </c>
      <c r="O96" t="str">
        <f ca="1"/>
        <v>Day</v>
      </c>
      <c r="P96" s="211">
        <f ca="1"/>
        <v>0.93421052631578949</v>
      </c>
      <c r="Q96">
        <f ca="1"/>
        <v>5700</v>
      </c>
      <c r="R96">
        <f ca="1"/>
        <v>0</v>
      </c>
    </row>
    <row r="97" spans="2:18">
      <c r="B97" t="str">
        <f ca="1"/>
        <v xml:space="preserve"> C39 JAN-FEB</v>
      </c>
      <c r="C97" s="209">
        <f ca="1"/>
        <v>46030</v>
      </c>
      <c r="D97" t="str">
        <f ca="1"/>
        <v>3&amp;4</v>
      </c>
      <c r="E97" t="str">
        <f ca="1"/>
        <v>C39</v>
      </c>
      <c r="F97" t="str">
        <f ca="1"/>
        <v>Khapli</v>
      </c>
      <c r="G97" s="210">
        <f ca="1"/>
        <v>5000</v>
      </c>
      <c r="H97" s="210">
        <f ca="1"/>
        <v>127</v>
      </c>
      <c r="I97" s="210">
        <f ca="1"/>
        <v>78</v>
      </c>
      <c r="J97" s="210">
        <f ca="1"/>
        <v>6</v>
      </c>
      <c r="K97" s="210">
        <f ca="1"/>
        <v>169</v>
      </c>
      <c r="L97" s="210">
        <f ca="1"/>
        <v>380</v>
      </c>
      <c r="M97" s="210">
        <f ca="1"/>
        <v>4620</v>
      </c>
      <c r="N97" s="210">
        <f ca="1"/>
        <v>9</v>
      </c>
      <c r="O97" t="str">
        <f ca="1"/>
        <v>Day</v>
      </c>
      <c r="P97" s="211">
        <f ca="1"/>
        <v>0.92400000000000004</v>
      </c>
      <c r="Q97">
        <f ca="1"/>
        <v>5000</v>
      </c>
      <c r="R97">
        <f ca="1"/>
        <v>0</v>
      </c>
    </row>
    <row r="98" spans="2:18">
      <c r="B98" t="str">
        <f ca="1"/>
        <v xml:space="preserve"> C39 JAN-FEB</v>
      </c>
      <c r="C98" s="209">
        <f ca="1"/>
        <v>46031</v>
      </c>
      <c r="D98" t="str">
        <f ca="1"/>
        <v>3&amp;4</v>
      </c>
      <c r="E98" t="str">
        <f ca="1"/>
        <v>C39</v>
      </c>
      <c r="F98" t="str">
        <f ca="1"/>
        <v>Khapli</v>
      </c>
      <c r="G98" s="210">
        <f ca="1"/>
        <v>5000</v>
      </c>
      <c r="H98" s="210">
        <f ca="1"/>
        <v>133</v>
      </c>
      <c r="I98" s="210">
        <f ca="1"/>
        <v>81</v>
      </c>
      <c r="J98" s="210">
        <f ca="1"/>
        <v>6.6</v>
      </c>
      <c r="K98" s="210">
        <f ca="1"/>
        <v>140.4</v>
      </c>
      <c r="L98" s="210">
        <f ca="1"/>
        <v>361</v>
      </c>
      <c r="M98" s="210">
        <f ca="1"/>
        <v>4639</v>
      </c>
      <c r="N98" s="210">
        <f ca="1"/>
        <v>9</v>
      </c>
      <c r="O98" t="str">
        <f ca="1"/>
        <v>Day</v>
      </c>
      <c r="P98" s="211">
        <f ca="1"/>
        <v>0.92779999999999996</v>
      </c>
      <c r="Q98">
        <f ca="1"/>
        <v>5000</v>
      </c>
      <c r="R98">
        <f ca="1"/>
        <v>0</v>
      </c>
    </row>
    <row r="99" spans="2:18">
      <c r="B99" t="str">
        <f ca="1"/>
        <v xml:space="preserve"> C39 JAN-FEB</v>
      </c>
      <c r="C99" s="209">
        <f ca="1"/>
        <v>46032</v>
      </c>
      <c r="D99" t="str">
        <f ca="1"/>
        <v>3&amp;4</v>
      </c>
      <c r="E99" t="str">
        <f ca="1"/>
        <v>C39</v>
      </c>
      <c r="F99" t="str">
        <f ca="1"/>
        <v>Khapli</v>
      </c>
      <c r="G99" s="210">
        <f ca="1"/>
        <v>4500</v>
      </c>
      <c r="H99" s="210">
        <f ca="1"/>
        <v>112</v>
      </c>
      <c r="I99" s="210">
        <f ca="1"/>
        <v>65</v>
      </c>
      <c r="J99" s="210">
        <f ca="1"/>
        <v>4</v>
      </c>
      <c r="K99" s="210">
        <f ca="1"/>
        <v>129</v>
      </c>
      <c r="L99" s="210">
        <f ca="1"/>
        <v>310</v>
      </c>
      <c r="M99" s="210">
        <f ca="1"/>
        <v>4190</v>
      </c>
      <c r="N99" s="210">
        <f ca="1"/>
        <v>9</v>
      </c>
      <c r="O99" t="str">
        <f ca="1"/>
        <v>Day</v>
      </c>
      <c r="P99" s="211">
        <f ca="1"/>
        <v>0.93111111111111111</v>
      </c>
      <c r="Q99">
        <f ca="1"/>
        <v>4500</v>
      </c>
      <c r="R99">
        <f ca="1"/>
        <v>0</v>
      </c>
    </row>
    <row r="100" spans="2:18">
      <c r="B100" t="str">
        <f ca="1"/>
        <v xml:space="preserve"> C39 JAN-FEB</v>
      </c>
      <c r="C100" s="209">
        <f ca="1"/>
        <v>46033</v>
      </c>
      <c r="D100" t="str">
        <f ca="1"/>
        <v>3&amp;4</v>
      </c>
      <c r="E100" t="str">
        <f ca="1"/>
        <v>C39</v>
      </c>
      <c r="F100" t="str">
        <f ca="1"/>
        <v>Khapli</v>
      </c>
      <c r="G100" s="210">
        <f ca="1"/>
        <v>3150</v>
      </c>
      <c r="H100" s="210">
        <f ca="1"/>
        <v>90</v>
      </c>
      <c r="I100" s="210">
        <f ca="1"/>
        <v>46</v>
      </c>
      <c r="J100" s="210">
        <f ca="1"/>
        <v>4</v>
      </c>
      <c r="K100" s="210">
        <f ca="1"/>
        <v>100</v>
      </c>
      <c r="L100" s="210">
        <f ca="1"/>
        <v>240</v>
      </c>
      <c r="M100" s="210">
        <f ca="1"/>
        <v>2910</v>
      </c>
      <c r="N100" s="210">
        <f ca="1"/>
        <v>9</v>
      </c>
      <c r="O100" t="str">
        <f ca="1"/>
        <v>Day</v>
      </c>
      <c r="P100" s="211">
        <f ca="1"/>
        <v>0.92380952380952375</v>
      </c>
      <c r="Q100">
        <f ca="1"/>
        <v>3150</v>
      </c>
      <c r="R100">
        <f ca="1"/>
        <v>0</v>
      </c>
    </row>
    <row r="101" spans="2:18">
      <c r="B101" t="str">
        <f ca="1"/>
        <v xml:space="preserve"> C39 JAN-FEB</v>
      </c>
      <c r="C101" s="209">
        <f ca="1"/>
        <v>46034</v>
      </c>
      <c r="D101" t="str">
        <f ca="1"/>
        <v>3&amp;4</v>
      </c>
      <c r="E101" t="str">
        <f ca="1"/>
        <v>C39</v>
      </c>
      <c r="F101" t="str">
        <f ca="1"/>
        <v>Khapli</v>
      </c>
      <c r="G101" s="210">
        <f ca="1"/>
        <v>4500</v>
      </c>
      <c r="H101" s="210">
        <f ca="1"/>
        <v>106</v>
      </c>
      <c r="I101" s="210">
        <f ca="1"/>
        <v>50</v>
      </c>
      <c r="J101" s="210">
        <f ca="1"/>
        <v>4.5999999999999996</v>
      </c>
      <c r="K101" s="210">
        <f ca="1"/>
        <v>118.4</v>
      </c>
      <c r="L101" s="210">
        <f ca="1"/>
        <v>279</v>
      </c>
      <c r="M101" s="210">
        <f ca="1"/>
        <v>4221</v>
      </c>
      <c r="N101" s="210">
        <f ca="1"/>
        <v>9</v>
      </c>
      <c r="O101" t="str">
        <f ca="1"/>
        <v>Day</v>
      </c>
      <c r="P101" s="211">
        <f ca="1"/>
        <v>0.93799999999999994</v>
      </c>
      <c r="Q101">
        <f ca="1"/>
        <v>4500</v>
      </c>
      <c r="R101">
        <f ca="1"/>
        <v>0</v>
      </c>
    </row>
    <row r="102" spans="2:18">
      <c r="B102" t="str">
        <f ca="1"/>
        <v xml:space="preserve"> C39 JAN-FEB</v>
      </c>
      <c r="C102" s="209">
        <f ca="1"/>
        <v>46035</v>
      </c>
      <c r="D102" t="str">
        <f ca="1"/>
        <v>3&amp;4</v>
      </c>
      <c r="E102" t="str">
        <f ca="1"/>
        <v>C39</v>
      </c>
      <c r="F102" t="str">
        <f ca="1"/>
        <v>Khapli</v>
      </c>
      <c r="G102" s="210">
        <f ca="1"/>
        <v>5000</v>
      </c>
      <c r="H102" s="210">
        <f ca="1"/>
        <v>111</v>
      </c>
      <c r="I102" s="210">
        <f ca="1"/>
        <v>84</v>
      </c>
      <c r="J102" s="210">
        <f ca="1"/>
        <v>6</v>
      </c>
      <c r="K102" s="210">
        <f ca="1"/>
        <v>132</v>
      </c>
      <c r="L102" s="210">
        <f ca="1"/>
        <v>333</v>
      </c>
      <c r="M102" s="210">
        <f ca="1"/>
        <v>4667</v>
      </c>
      <c r="N102" s="210">
        <f ca="1"/>
        <v>9</v>
      </c>
      <c r="O102" t="str">
        <f ca="1"/>
        <v>Day</v>
      </c>
      <c r="P102" s="211">
        <f ca="1"/>
        <v>0.93340000000000001</v>
      </c>
      <c r="Q102">
        <f ca="1"/>
        <v>5000</v>
      </c>
      <c r="R102">
        <f ca="1"/>
        <v>0</v>
      </c>
    </row>
    <row r="103" spans="2:18">
      <c r="B103" t="str">
        <f ca="1"/>
        <v xml:space="preserve"> C39 JAN-FEB</v>
      </c>
      <c r="C103" s="209">
        <f ca="1"/>
        <v>46038</v>
      </c>
      <c r="D103" t="str">
        <f ca="1"/>
        <v>3&amp;4</v>
      </c>
      <c r="E103" t="str">
        <f ca="1"/>
        <v>C39</v>
      </c>
      <c r="F103" t="str">
        <f ca="1"/>
        <v>Khapli</v>
      </c>
      <c r="G103" s="210">
        <f ca="1"/>
        <v>5000</v>
      </c>
      <c r="H103" s="210">
        <f ca="1"/>
        <v>94</v>
      </c>
      <c r="I103" s="210">
        <f ca="1"/>
        <v>62</v>
      </c>
      <c r="J103" s="210">
        <f ca="1"/>
        <v>0</v>
      </c>
      <c r="K103" s="210">
        <f ca="1"/>
        <v>129</v>
      </c>
      <c r="L103" s="210">
        <f ca="1"/>
        <v>285</v>
      </c>
      <c r="M103" s="210">
        <f ca="1"/>
        <v>4715</v>
      </c>
      <c r="N103" s="210">
        <f ca="1"/>
        <v>9</v>
      </c>
      <c r="O103" t="str">
        <f ca="1"/>
        <v>DAY</v>
      </c>
      <c r="P103" s="211">
        <f ca="1"/>
        <v>0.94299999999999995</v>
      </c>
      <c r="Q103">
        <f ca="1"/>
        <v>5000</v>
      </c>
      <c r="R103">
        <f ca="1"/>
        <v>0</v>
      </c>
    </row>
    <row r="104" spans="2:18">
      <c r="B104" t="str">
        <f ca="1"/>
        <v xml:space="preserve"> C39 JAN-FEB</v>
      </c>
      <c r="C104" s="209">
        <f ca="1"/>
        <v>46039</v>
      </c>
      <c r="D104" t="str">
        <f ca="1"/>
        <v>3&amp;4</v>
      </c>
      <c r="E104" t="str">
        <f ca="1"/>
        <v>C39</v>
      </c>
      <c r="F104" t="str">
        <f ca="1"/>
        <v>Khapli</v>
      </c>
      <c r="G104" s="210">
        <f ca="1"/>
        <v>5000</v>
      </c>
      <c r="H104" s="210">
        <f ca="1"/>
        <v>111</v>
      </c>
      <c r="I104" s="210">
        <f ca="1"/>
        <v>71</v>
      </c>
      <c r="J104" s="210">
        <f ca="1"/>
        <v>7</v>
      </c>
      <c r="K104" s="210">
        <f ca="1"/>
        <v>140</v>
      </c>
      <c r="L104" s="210">
        <f ca="1"/>
        <v>329</v>
      </c>
      <c r="M104" s="210">
        <f ca="1"/>
        <v>4671</v>
      </c>
      <c r="N104" s="210">
        <f ca="1"/>
        <v>9</v>
      </c>
      <c r="O104" t="str">
        <f ca="1"/>
        <v>day</v>
      </c>
      <c r="P104" s="211">
        <f ca="1"/>
        <v>0.93420000000000003</v>
      </c>
      <c r="Q104">
        <f ca="1"/>
        <v>5000</v>
      </c>
      <c r="R104">
        <f ca="1"/>
        <v>0</v>
      </c>
    </row>
    <row r="105" spans="2:18">
      <c r="B105" t="str">
        <f ca="1"/>
        <v xml:space="preserve"> C39 JAN-FEB</v>
      </c>
      <c r="C105" s="209">
        <f ca="1"/>
        <v>46040</v>
      </c>
      <c r="D105" t="str">
        <f ca="1"/>
        <v>3&amp;4</v>
      </c>
      <c r="E105" t="str">
        <f ca="1"/>
        <v>C39</v>
      </c>
      <c r="F105" t="str">
        <f ca="1"/>
        <v>Khapli</v>
      </c>
      <c r="G105" s="210">
        <f ca="1"/>
        <v>9000</v>
      </c>
      <c r="H105" s="210">
        <f ca="1"/>
        <v>190</v>
      </c>
      <c r="I105" s="210">
        <f ca="1"/>
        <v>140</v>
      </c>
      <c r="J105" s="210">
        <f ca="1"/>
        <v>20</v>
      </c>
      <c r="K105" s="210">
        <f ca="1"/>
        <v>214</v>
      </c>
      <c r="L105" s="210">
        <f ca="1"/>
        <v>564</v>
      </c>
      <c r="M105" s="210">
        <f ca="1"/>
        <v>8436</v>
      </c>
      <c r="N105" s="210">
        <f ca="1"/>
        <v>9</v>
      </c>
      <c r="O105" t="str">
        <f ca="1"/>
        <v>day</v>
      </c>
      <c r="P105" s="211">
        <f ca="1"/>
        <v>0.93733333333333335</v>
      </c>
      <c r="Q105">
        <f ca="1"/>
        <v>9000</v>
      </c>
      <c r="R105">
        <f ca="1"/>
        <v>0</v>
      </c>
    </row>
    <row r="106" spans="2:18">
      <c r="B106" t="str">
        <f ca="1"/>
        <v xml:space="preserve"> C39 JAN-FEB</v>
      </c>
      <c r="C106" s="209">
        <f ca="1"/>
        <v>46041</v>
      </c>
      <c r="D106" t="str">
        <f ca="1"/>
        <v>3&amp;4</v>
      </c>
      <c r="E106" t="str">
        <f ca="1"/>
        <v>C39</v>
      </c>
      <c r="F106" t="str">
        <f ca="1"/>
        <v>Khapli</v>
      </c>
      <c r="G106" s="210">
        <f ca="1"/>
        <v>3000</v>
      </c>
      <c r="H106" s="210">
        <f ca="1"/>
        <v>93</v>
      </c>
      <c r="I106" s="210">
        <f ca="1"/>
        <v>37</v>
      </c>
      <c r="J106" s="210">
        <f ca="1"/>
        <v>14</v>
      </c>
      <c r="K106" s="210">
        <f ca="1"/>
        <v>96</v>
      </c>
      <c r="L106" s="210">
        <f ca="1"/>
        <v>240</v>
      </c>
      <c r="M106" s="210">
        <f ca="1"/>
        <v>2760</v>
      </c>
      <c r="N106" s="210">
        <f ca="1"/>
        <v>9</v>
      </c>
      <c r="O106" t="str">
        <f ca="1"/>
        <v>DAY</v>
      </c>
      <c r="P106" s="211">
        <f ca="1"/>
        <v>0.92</v>
      </c>
      <c r="Q106">
        <f ca="1"/>
        <v>3000</v>
      </c>
      <c r="R106">
        <f ca="1"/>
        <v>0</v>
      </c>
    </row>
    <row r="107" spans="2:18">
      <c r="B107" t="str">
        <f ca="1"/>
        <v xml:space="preserve"> C39 JAN-FEB</v>
      </c>
      <c r="C107" s="209">
        <f ca="1"/>
        <v>46029</v>
      </c>
      <c r="D107" t="str">
        <f ca="1"/>
        <v>Pulveriser</v>
      </c>
      <c r="E107" t="str">
        <f ca="1"/>
        <v>C39</v>
      </c>
      <c r="F107" t="str">
        <f ca="1"/>
        <v>Besan</v>
      </c>
      <c r="G107" s="210">
        <f ca="1"/>
        <v>455.44</v>
      </c>
      <c r="H107" s="210">
        <f ca="1"/>
        <v>0</v>
      </c>
      <c r="I107" s="210">
        <f ca="1"/>
        <v>0</v>
      </c>
      <c r="J107" s="210">
        <f ca="1"/>
        <v>0</v>
      </c>
      <c r="K107" s="210">
        <f ca="1"/>
        <v>36.44</v>
      </c>
      <c r="L107" s="210">
        <f ca="1"/>
        <v>36.44</v>
      </c>
      <c r="M107" s="210">
        <f ca="1"/>
        <v>419</v>
      </c>
      <c r="N107" s="210">
        <f ca="1"/>
        <v>2</v>
      </c>
      <c r="O107" t="str">
        <f ca="1"/>
        <v>DAY</v>
      </c>
      <c r="P107" s="211">
        <f ca="1"/>
        <v>0.9199894607412612</v>
      </c>
      <c r="Q107">
        <f ca="1"/>
        <v>455.44</v>
      </c>
      <c r="R107">
        <f ca="1"/>
        <v>0</v>
      </c>
    </row>
    <row r="108" spans="2:18">
      <c r="B108" t="str">
        <f ca="1"/>
        <v xml:space="preserve"> C39 JAN-FEB</v>
      </c>
      <c r="C108" s="209">
        <f ca="1"/>
        <v>46044</v>
      </c>
      <c r="D108" t="str">
        <f ca="1"/>
        <v>3&amp;4</v>
      </c>
      <c r="E108" t="str">
        <f ca="1"/>
        <v>C39</v>
      </c>
      <c r="F108" t="str">
        <f ca="1"/>
        <v>Khapli</v>
      </c>
      <c r="G108" s="210">
        <f ca="1"/>
        <v>5000</v>
      </c>
      <c r="H108" s="210">
        <f ca="1"/>
        <v>91</v>
      </c>
      <c r="I108" s="210">
        <f ca="1"/>
        <v>66</v>
      </c>
      <c r="J108" s="210">
        <f ca="1"/>
        <v>9</v>
      </c>
      <c r="K108" s="210">
        <f ca="1"/>
        <v>116</v>
      </c>
      <c r="L108" s="210">
        <f ca="1"/>
        <v>282</v>
      </c>
      <c r="M108" s="210">
        <f ca="1"/>
        <v>4718</v>
      </c>
      <c r="N108" s="210">
        <f ca="1"/>
        <v>9</v>
      </c>
      <c r="O108" t="str">
        <f ca="1"/>
        <v>Day</v>
      </c>
      <c r="P108" s="211">
        <f ca="1"/>
        <v>0.94359999999999999</v>
      </c>
      <c r="Q108">
        <f ca="1"/>
        <v>5000</v>
      </c>
      <c r="R108">
        <f ca="1"/>
        <v>0</v>
      </c>
    </row>
    <row r="109" spans="2:18">
      <c r="B109" t="str">
        <f ca="1"/>
        <v xml:space="preserve"> C39 JAN-FEB</v>
      </c>
      <c r="C109" s="209">
        <f ca="1"/>
        <v>46044</v>
      </c>
      <c r="D109" t="str">
        <f ca="1"/>
        <v>3&amp;4</v>
      </c>
      <c r="E109" t="str">
        <f ca="1"/>
        <v>C39</v>
      </c>
      <c r="F109" t="str">
        <f ca="1"/>
        <v>Khapli</v>
      </c>
      <c r="G109" s="210">
        <f ca="1"/>
        <v>6150</v>
      </c>
      <c r="H109" s="210">
        <f ca="1"/>
        <v>87</v>
      </c>
      <c r="I109" s="210">
        <f ca="1"/>
        <v>75</v>
      </c>
      <c r="J109" s="210">
        <f ca="1"/>
        <v>18</v>
      </c>
      <c r="K109" s="210">
        <f ca="1"/>
        <v>190</v>
      </c>
      <c r="L109" s="210">
        <f ca="1"/>
        <v>370</v>
      </c>
      <c r="M109" s="210">
        <f ca="1"/>
        <v>5780</v>
      </c>
      <c r="N109" s="210">
        <f ca="1"/>
        <v>9</v>
      </c>
      <c r="O109" t="str">
        <f ca="1"/>
        <v>night</v>
      </c>
      <c r="P109" s="211">
        <f ca="1"/>
        <v>0.93983739837398372</v>
      </c>
      <c r="Q109">
        <f ca="1"/>
        <v>6150</v>
      </c>
      <c r="R109">
        <f ca="1"/>
        <v>0</v>
      </c>
    </row>
    <row r="110" spans="2:18">
      <c r="B110" t="str">
        <f ca="1"/>
        <v xml:space="preserve"> C39 JAN-FEB</v>
      </c>
      <c r="C110" s="209">
        <f ca="1"/>
        <v>46045</v>
      </c>
      <c r="D110" t="str">
        <f ca="1"/>
        <v>3&amp;4</v>
      </c>
      <c r="E110" t="str">
        <f ca="1"/>
        <v>C39</v>
      </c>
      <c r="F110" t="str">
        <f ca="1"/>
        <v>Khapli</v>
      </c>
      <c r="G110" s="210">
        <f ca="1"/>
        <v>6000</v>
      </c>
      <c r="H110" s="210">
        <f ca="1"/>
        <v>103</v>
      </c>
      <c r="I110" s="210">
        <f ca="1"/>
        <v>79</v>
      </c>
      <c r="J110" s="210">
        <f ca="1"/>
        <v>23</v>
      </c>
      <c r="K110" s="210">
        <f ca="1"/>
        <v>164</v>
      </c>
      <c r="L110" s="210">
        <f ca="1"/>
        <v>369</v>
      </c>
      <c r="M110" s="210">
        <f ca="1"/>
        <v>5631</v>
      </c>
      <c r="N110" s="210">
        <f ca="1"/>
        <v>9</v>
      </c>
      <c r="O110" t="str">
        <f ca="1"/>
        <v>day</v>
      </c>
      <c r="P110" s="211">
        <f ca="1"/>
        <v>0.93849999999999989</v>
      </c>
      <c r="Q110">
        <f ca="1"/>
        <v>6000</v>
      </c>
      <c r="R110">
        <f ca="1"/>
        <v>0</v>
      </c>
    </row>
    <row r="111" spans="2:18">
      <c r="B111" t="str">
        <f ca="1"/>
        <v xml:space="preserve"> C39 JAN-FEB</v>
      </c>
      <c r="C111" s="209">
        <f ca="1"/>
        <v>46046</v>
      </c>
      <c r="D111" t="str">
        <f ca="1"/>
        <v>3&amp;4</v>
      </c>
      <c r="E111" t="str">
        <f ca="1"/>
        <v>C39</v>
      </c>
      <c r="F111" t="str">
        <f ca="1"/>
        <v>Khapli</v>
      </c>
      <c r="G111" s="210">
        <f ca="1"/>
        <v>2600</v>
      </c>
      <c r="H111" s="210">
        <f ca="1"/>
        <v>64</v>
      </c>
      <c r="I111" s="210">
        <f ca="1"/>
        <v>21</v>
      </c>
      <c r="J111" s="210">
        <f ca="1"/>
        <v>9</v>
      </c>
      <c r="K111" s="210">
        <f ca="1"/>
        <v>66</v>
      </c>
      <c r="L111" s="210">
        <f ca="1"/>
        <v>160</v>
      </c>
      <c r="M111" s="210">
        <f ca="1"/>
        <v>2440</v>
      </c>
      <c r="N111" s="210">
        <f ca="1"/>
        <v>9</v>
      </c>
      <c r="O111" t="str">
        <f ca="1"/>
        <v>night</v>
      </c>
      <c r="P111" s="211">
        <f ca="1"/>
        <v>0.93846153846153835</v>
      </c>
      <c r="Q111">
        <f ca="1"/>
        <v>2600</v>
      </c>
      <c r="R111">
        <f ca="1"/>
        <v>0</v>
      </c>
    </row>
    <row r="112" spans="2:18">
      <c r="B112" t="str">
        <f ca="1"/>
        <v xml:space="preserve"> C39 JAN-FEB</v>
      </c>
      <c r="C112" s="209">
        <f ca="1"/>
        <v>46046</v>
      </c>
      <c r="D112" t="str">
        <f ca="1"/>
        <v>3&amp;4</v>
      </c>
      <c r="E112" t="str">
        <f ca="1"/>
        <v>C39</v>
      </c>
      <c r="F112" t="str">
        <f ca="1"/>
        <v>Khapli</v>
      </c>
      <c r="G112" s="210">
        <f ca="1"/>
        <v>5600</v>
      </c>
      <c r="H112" s="210">
        <f ca="1"/>
        <v>123</v>
      </c>
      <c r="I112" s="210">
        <f ca="1"/>
        <v>89</v>
      </c>
      <c r="J112" s="210">
        <f ca="1"/>
        <v>17</v>
      </c>
      <c r="K112" s="210">
        <f ca="1"/>
        <v>127</v>
      </c>
      <c r="L112" s="210">
        <f ca="1"/>
        <v>356</v>
      </c>
      <c r="M112" s="210">
        <f ca="1"/>
        <v>5244</v>
      </c>
      <c r="N112" s="210">
        <f ca="1"/>
        <v>9</v>
      </c>
      <c r="O112" t="str">
        <f ca="1"/>
        <v>Day</v>
      </c>
      <c r="P112" s="211">
        <f ca="1"/>
        <v>0.93642857142857139</v>
      </c>
      <c r="Q112">
        <f ca="1"/>
        <v>5600</v>
      </c>
      <c r="R112">
        <f ca="1"/>
        <v>0</v>
      </c>
    </row>
    <row r="113" spans="2:18">
      <c r="B113" t="str">
        <f ca="1"/>
        <v xml:space="preserve"> C39 JAN-FEB</v>
      </c>
      <c r="C113" s="209">
        <f ca="1"/>
        <v>46046</v>
      </c>
      <c r="D113" t="str">
        <f ca="1"/>
        <v>3&amp;4</v>
      </c>
      <c r="E113" t="str">
        <f ca="1"/>
        <v>C39</v>
      </c>
      <c r="F113" t="str">
        <f ca="1"/>
        <v>Khapli</v>
      </c>
      <c r="G113" s="210">
        <f ca="1"/>
        <v>5000</v>
      </c>
      <c r="H113" s="210">
        <f ca="1"/>
        <v>102</v>
      </c>
      <c r="I113" s="210">
        <f ca="1"/>
        <v>69</v>
      </c>
      <c r="J113" s="210">
        <f ca="1"/>
        <v>14</v>
      </c>
      <c r="K113" s="210">
        <f ca="1"/>
        <v>120</v>
      </c>
      <c r="L113" s="210">
        <f ca="1"/>
        <v>305</v>
      </c>
      <c r="M113" s="210">
        <f ca="1"/>
        <v>4695</v>
      </c>
      <c r="N113" s="210">
        <f ca="1"/>
        <v>9</v>
      </c>
      <c r="O113" t="str">
        <f ca="1"/>
        <v>night</v>
      </c>
      <c r="P113" s="211">
        <f ca="1"/>
        <v>0.93899999999999995</v>
      </c>
      <c r="Q113">
        <f ca="1"/>
        <v>5000</v>
      </c>
      <c r="R113">
        <f ca="1"/>
        <v>0</v>
      </c>
    </row>
    <row r="114" spans="2:18">
      <c r="B114" t="str">
        <f ca="1"/>
        <v xml:space="preserve"> C39 JAN-FEB</v>
      </c>
      <c r="C114" s="209">
        <f ca="1"/>
        <v>46047</v>
      </c>
      <c r="D114" t="str">
        <f ca="1"/>
        <v>3&amp;4</v>
      </c>
      <c r="E114" t="str">
        <f ca="1"/>
        <v>C39</v>
      </c>
      <c r="F114" t="str">
        <f ca="1"/>
        <v>Khapli</v>
      </c>
      <c r="G114" s="210">
        <f ca="1"/>
        <v>3000</v>
      </c>
      <c r="H114" s="210">
        <f ca="1"/>
        <v>79</v>
      </c>
      <c r="I114" s="210">
        <f ca="1"/>
        <v>33</v>
      </c>
      <c r="J114" s="210">
        <f ca="1"/>
        <v>7</v>
      </c>
      <c r="K114" s="210">
        <f ca="1"/>
        <v>68</v>
      </c>
      <c r="L114" s="210">
        <f ca="1"/>
        <v>187</v>
      </c>
      <c r="M114" s="210">
        <f ca="1"/>
        <v>2813</v>
      </c>
      <c r="N114" s="210">
        <f ca="1"/>
        <v>9</v>
      </c>
      <c r="O114" t="str">
        <f ca="1"/>
        <v>day</v>
      </c>
      <c r="P114" s="211">
        <f ca="1"/>
        <v>0.93766666666666665</v>
      </c>
      <c r="Q114">
        <f ca="1"/>
        <v>3000</v>
      </c>
      <c r="R114">
        <f ca="1"/>
        <v>0</v>
      </c>
    </row>
    <row r="115" spans="2:18">
      <c r="B115" t="str">
        <f ca="1"/>
        <v xml:space="preserve"> C39 JAN-FEB</v>
      </c>
      <c r="C115" s="209">
        <f ca="1"/>
        <v>46049</v>
      </c>
      <c r="D115" t="str">
        <f ca="1"/>
        <v>3&amp;4</v>
      </c>
      <c r="E115" t="str">
        <f ca="1"/>
        <v>C39</v>
      </c>
      <c r="F115" t="str">
        <f ca="1"/>
        <v>Khapli</v>
      </c>
      <c r="G115" s="210">
        <f ca="1"/>
        <v>4600</v>
      </c>
      <c r="H115" s="210">
        <f ca="1"/>
        <v>97</v>
      </c>
      <c r="I115" s="210">
        <f ca="1"/>
        <v>63</v>
      </c>
      <c r="J115" s="210">
        <f ca="1"/>
        <v>14</v>
      </c>
      <c r="K115" s="210">
        <f ca="1"/>
        <v>138</v>
      </c>
      <c r="L115" s="210">
        <f ca="1"/>
        <v>312</v>
      </c>
      <c r="M115" s="210">
        <f ca="1"/>
        <v>4288</v>
      </c>
      <c r="N115" s="210">
        <f ca="1"/>
        <v>9</v>
      </c>
      <c r="O115" t="str">
        <f ca="1"/>
        <v>day</v>
      </c>
      <c r="P115" s="211">
        <f ca="1"/>
        <v>0.9321739130434783</v>
      </c>
      <c r="Q115">
        <f ca="1"/>
        <v>4600</v>
      </c>
      <c r="R115">
        <f ca="1"/>
        <v>0</v>
      </c>
    </row>
    <row r="116" spans="2:18">
      <c r="B116" t="str">
        <f ca="1"/>
        <v xml:space="preserve"> C39 JAN-FEB</v>
      </c>
      <c r="C116" s="209">
        <f ca="1"/>
        <v>46049</v>
      </c>
      <c r="D116" t="str">
        <f ca="1"/>
        <v>3&amp;4</v>
      </c>
      <c r="E116" t="str">
        <f ca="1"/>
        <v>C39</v>
      </c>
      <c r="F116" t="str">
        <f ca="1"/>
        <v>Khapli</v>
      </c>
      <c r="G116" s="210">
        <f ca="1"/>
        <v>3000</v>
      </c>
      <c r="H116" s="210">
        <f ca="1"/>
        <v>67</v>
      </c>
      <c r="I116" s="210">
        <f ca="1"/>
        <v>45</v>
      </c>
      <c r="J116" s="210">
        <f ca="1"/>
        <v>8</v>
      </c>
      <c r="K116" s="210">
        <f ca="1"/>
        <v>120</v>
      </c>
      <c r="L116" s="210">
        <f ca="1"/>
        <v>240</v>
      </c>
      <c r="M116" s="210">
        <f ca="1"/>
        <v>2760</v>
      </c>
      <c r="N116" s="210">
        <f ca="1"/>
        <v>9</v>
      </c>
      <c r="O116" t="str">
        <f ca="1"/>
        <v>NIGHT</v>
      </c>
      <c r="P116" s="211">
        <f ca="1"/>
        <v>0.92</v>
      </c>
      <c r="Q116">
        <f ca="1"/>
        <v>3000</v>
      </c>
      <c r="R116">
        <f ca="1"/>
        <v>0</v>
      </c>
    </row>
    <row r="117" spans="2:18">
      <c r="B117" t="str">
        <f ca="1"/>
        <v xml:space="preserve"> C39 JAN-FEB</v>
      </c>
      <c r="C117" s="209">
        <f ca="1"/>
        <v>46024</v>
      </c>
      <c r="D117" t="str">
        <f ca="1"/>
        <v>3&amp;4</v>
      </c>
      <c r="E117" t="str">
        <f ca="1"/>
        <v>C39</v>
      </c>
      <c r="F117" t="str">
        <f ca="1"/>
        <v>Khapli</v>
      </c>
      <c r="G117" s="210">
        <f ca="1"/>
        <v>3500</v>
      </c>
      <c r="H117" s="210">
        <f ca="1"/>
        <v>90</v>
      </c>
      <c r="I117" s="210">
        <f ca="1"/>
        <v>43</v>
      </c>
      <c r="J117" s="210">
        <f ca="1"/>
        <v>4</v>
      </c>
      <c r="K117" s="210">
        <f ca="1"/>
        <v>103</v>
      </c>
      <c r="L117" s="210">
        <f ca="1"/>
        <v>240</v>
      </c>
      <c r="M117" s="210">
        <f ca="1"/>
        <v>3260</v>
      </c>
      <c r="N117" s="210">
        <f ca="1"/>
        <v>9</v>
      </c>
      <c r="O117" t="str">
        <f ca="1"/>
        <v>DAY</v>
      </c>
      <c r="P117" s="211">
        <f ca="1"/>
        <v>0.93142857142857138</v>
      </c>
      <c r="Q117">
        <f ca="1"/>
        <v>3500</v>
      </c>
      <c r="R117">
        <f ca="1"/>
        <v>0</v>
      </c>
    </row>
    <row r="118" spans="2:18">
      <c r="B118" t="str">
        <f ca="1"/>
        <v xml:space="preserve"> C39 JAN-FEB</v>
      </c>
      <c r="C118" s="209">
        <f ca="1"/>
        <v>46024</v>
      </c>
      <c r="D118" t="str">
        <f ca="1"/>
        <v>3&amp;4</v>
      </c>
      <c r="E118" t="str">
        <f ca="1"/>
        <v>C39</v>
      </c>
      <c r="F118" t="str">
        <f ca="1"/>
        <v>Khapli</v>
      </c>
      <c r="G118" s="210">
        <f ca="1"/>
        <v>1500</v>
      </c>
      <c r="H118" s="210">
        <f ca="1"/>
        <v>29</v>
      </c>
      <c r="I118" s="210">
        <f ca="1"/>
        <v>15</v>
      </c>
      <c r="J118" s="210">
        <f ca="1"/>
        <v>2</v>
      </c>
      <c r="K118" s="210">
        <f ca="1"/>
        <v>45</v>
      </c>
      <c r="L118" s="210">
        <f ca="1"/>
        <v>91</v>
      </c>
      <c r="M118" s="210">
        <f ca="1"/>
        <v>1409</v>
      </c>
      <c r="N118" s="210">
        <f ca="1"/>
        <v>3</v>
      </c>
      <c r="O118" t="str">
        <f ca="1"/>
        <v>Night</v>
      </c>
      <c r="P118" s="211">
        <f ca="1"/>
        <v>0.93933333333333335</v>
      </c>
      <c r="Q118">
        <f ca="1"/>
        <v>1500</v>
      </c>
      <c r="R118">
        <f ca="1"/>
        <v>0</v>
      </c>
    </row>
    <row r="119" spans="2:18">
      <c r="B119" t="str">
        <f ca="1"/>
        <v xml:space="preserve"> C39 JAN-FEB</v>
      </c>
      <c r="C119" s="209">
        <f ca="1"/>
        <v>46055</v>
      </c>
      <c r="D119" t="str">
        <f ca="1"/>
        <v>3&amp;4</v>
      </c>
      <c r="E119" t="str">
        <f ca="1"/>
        <v>C39</v>
      </c>
      <c r="F119" t="str">
        <f ca="1"/>
        <v xml:space="preserve">Khapli  </v>
      </c>
      <c r="G119" s="210">
        <f ca="1"/>
        <v>6000</v>
      </c>
      <c r="H119" s="210">
        <f ca="1"/>
        <v>138</v>
      </c>
      <c r="I119" s="210">
        <f ca="1"/>
        <v>83</v>
      </c>
      <c r="J119" s="210">
        <f ca="1"/>
        <v>16</v>
      </c>
      <c r="K119" s="210">
        <f ca="1"/>
        <v>172</v>
      </c>
      <c r="L119" s="210">
        <f ca="1"/>
        <v>409</v>
      </c>
      <c r="M119" s="210">
        <f ca="1"/>
        <v>5591</v>
      </c>
      <c r="N119" s="210">
        <f ca="1"/>
        <v>9</v>
      </c>
      <c r="O119" t="str">
        <f ca="1"/>
        <v>Day</v>
      </c>
      <c r="P119" s="211">
        <f ca="1"/>
        <v>0.93183333333333318</v>
      </c>
      <c r="Q119">
        <f ca="1"/>
        <v>6000</v>
      </c>
      <c r="R119">
        <f ca="1"/>
        <v>0</v>
      </c>
    </row>
    <row r="120" spans="2:18">
      <c r="B120" t="str">
        <f ca="1"/>
        <v xml:space="preserve"> C39 JAN-FEB</v>
      </c>
      <c r="C120" s="209">
        <f ca="1"/>
        <v>46055</v>
      </c>
      <c r="D120" t="str">
        <f ca="1"/>
        <v>3&amp;4</v>
      </c>
      <c r="E120" t="str">
        <f ca="1"/>
        <v>C39</v>
      </c>
      <c r="F120" t="str">
        <f ca="1"/>
        <v xml:space="preserve">Khapli  </v>
      </c>
      <c r="G120" s="210">
        <f ca="1"/>
        <v>5000</v>
      </c>
      <c r="H120" s="210">
        <f ca="1"/>
        <v>96</v>
      </c>
      <c r="I120" s="210">
        <f ca="1"/>
        <v>79</v>
      </c>
      <c r="J120" s="210">
        <f ca="1"/>
        <v>15</v>
      </c>
      <c r="K120" s="210">
        <f ca="1"/>
        <v>124</v>
      </c>
      <c r="L120" s="210">
        <f ca="1"/>
        <v>314</v>
      </c>
      <c r="M120" s="210">
        <f ca="1"/>
        <v>4686</v>
      </c>
      <c r="N120" s="210">
        <f ca="1"/>
        <v>9</v>
      </c>
      <c r="O120" t="str">
        <f ca="1"/>
        <v>Night</v>
      </c>
      <c r="P120" s="211">
        <f ca="1"/>
        <v>0.93720000000000003</v>
      </c>
      <c r="Q120">
        <f ca="1"/>
        <v>5000</v>
      </c>
      <c r="R120">
        <f ca="1"/>
        <v>0</v>
      </c>
    </row>
    <row r="121" spans="2:18">
      <c r="B121" t="str">
        <f ca="1"/>
        <v xml:space="preserve"> C39 JAN-FEB</v>
      </c>
      <c r="C121" s="209">
        <f ca="1"/>
        <v>46057</v>
      </c>
      <c r="D121" t="str">
        <f ca="1"/>
        <v>3&amp;4</v>
      </c>
      <c r="E121" t="str">
        <f ca="1"/>
        <v>C39</v>
      </c>
      <c r="F121" t="str">
        <f ca="1"/>
        <v xml:space="preserve">Khapli  </v>
      </c>
      <c r="G121" s="210">
        <f ca="1"/>
        <v>3850</v>
      </c>
      <c r="H121" s="210">
        <f ca="1"/>
        <v>85</v>
      </c>
      <c r="I121" s="210">
        <f ca="1"/>
        <v>53</v>
      </c>
      <c r="J121" s="210">
        <f ca="1"/>
        <v>7</v>
      </c>
      <c r="K121" s="210">
        <f ca="1"/>
        <v>96</v>
      </c>
      <c r="L121" s="210">
        <f ca="1"/>
        <v>241</v>
      </c>
      <c r="M121" s="210">
        <f ca="1"/>
        <v>3609</v>
      </c>
      <c r="N121" s="210">
        <f ca="1"/>
        <v>9</v>
      </c>
      <c r="O121" t="str">
        <f ca="1"/>
        <v>Day</v>
      </c>
      <c r="P121" s="211">
        <f ca="1"/>
        <v>0.93740259740259735</v>
      </c>
      <c r="Q121">
        <f ca="1"/>
        <v>3850</v>
      </c>
      <c r="R121">
        <f ca="1"/>
        <v>0</v>
      </c>
    </row>
    <row r="122" spans="2:18">
      <c r="B122" t="str">
        <f ca="1"/>
        <v xml:space="preserve"> C39 JAN-FEB</v>
      </c>
      <c r="C122" s="209">
        <f ca="1"/>
        <v>46057</v>
      </c>
      <c r="D122" t="str">
        <f ca="1"/>
        <v>3&amp;4</v>
      </c>
      <c r="E122" t="str">
        <f ca="1"/>
        <v>C39</v>
      </c>
      <c r="F122" t="str">
        <f ca="1"/>
        <v xml:space="preserve">Khapli  </v>
      </c>
      <c r="G122" s="210">
        <f ca="1"/>
        <v>6400</v>
      </c>
      <c r="H122" s="210">
        <f ca="1"/>
        <v>105</v>
      </c>
      <c r="I122" s="210">
        <f ca="1"/>
        <v>89</v>
      </c>
      <c r="J122" s="210">
        <f ca="1"/>
        <v>24</v>
      </c>
      <c r="K122" s="210">
        <f ca="1"/>
        <v>222</v>
      </c>
      <c r="L122" s="210">
        <f ca="1"/>
        <v>440</v>
      </c>
      <c r="M122" s="210">
        <f ca="1"/>
        <v>5960</v>
      </c>
      <c r="N122" s="210">
        <f ca="1"/>
        <v>9</v>
      </c>
      <c r="O122" t="str">
        <f ca="1"/>
        <v>Night</v>
      </c>
      <c r="P122" s="211">
        <f ca="1"/>
        <v>0.93125000000000002</v>
      </c>
      <c r="Q122">
        <f ca="1"/>
        <v>6400</v>
      </c>
      <c r="R122">
        <f ca="1"/>
        <v>0</v>
      </c>
    </row>
    <row r="123" spans="2:18">
      <c r="B123" t="str">
        <f ca="1"/>
        <v xml:space="preserve"> C39 JAN-FEB</v>
      </c>
      <c r="C123" s="209">
        <f ca="1"/>
        <v>46058</v>
      </c>
      <c r="D123" t="str">
        <f ca="1"/>
        <v>3&amp;4</v>
      </c>
      <c r="E123" t="str">
        <f ca="1"/>
        <v>C39</v>
      </c>
      <c r="F123" t="str">
        <f ca="1"/>
        <v xml:space="preserve">Khapli </v>
      </c>
      <c r="G123" s="210">
        <f ca="1"/>
        <v>2650</v>
      </c>
      <c r="H123" s="210">
        <f ca="1"/>
        <v>56</v>
      </c>
      <c r="I123" s="210">
        <f ca="1"/>
        <v>42</v>
      </c>
      <c r="J123" s="210">
        <f ca="1"/>
        <v>6</v>
      </c>
      <c r="K123" s="210">
        <f ca="1"/>
        <v>96</v>
      </c>
      <c r="L123" s="210">
        <f ca="1"/>
        <v>200</v>
      </c>
      <c r="M123" s="210">
        <f ca="1"/>
        <v>2450</v>
      </c>
      <c r="N123" s="210">
        <f ca="1"/>
        <v>5</v>
      </c>
      <c r="O123" t="str">
        <f ca="1"/>
        <v>Day</v>
      </c>
      <c r="P123" s="211">
        <f ca="1"/>
        <v>0.92452830188679247</v>
      </c>
      <c r="Q123">
        <f ca="1"/>
        <v>2650</v>
      </c>
      <c r="R123">
        <f ca="1"/>
        <v>0</v>
      </c>
    </row>
    <row r="124" spans="2:18">
      <c r="B124" t="str">
        <f ca="1"/>
        <v xml:space="preserve"> C39 JAN-FEB</v>
      </c>
      <c r="C124" s="209">
        <f ca="1"/>
        <v>46059</v>
      </c>
      <c r="D124" t="str">
        <f ca="1"/>
        <v>3&amp;4</v>
      </c>
      <c r="E124" t="str">
        <f ca="1"/>
        <v>C39</v>
      </c>
      <c r="F124" t="str">
        <f ca="1"/>
        <v xml:space="preserve">Khapli </v>
      </c>
      <c r="G124" s="210">
        <f ca="1"/>
        <v>5460</v>
      </c>
      <c r="H124" s="210">
        <f ca="1"/>
        <v>90</v>
      </c>
      <c r="I124" s="210">
        <f ca="1"/>
        <v>60</v>
      </c>
      <c r="J124" s="210">
        <f ca="1"/>
        <v>9</v>
      </c>
      <c r="K124" s="210">
        <f ca="1"/>
        <v>181</v>
      </c>
      <c r="L124" s="210">
        <f ca="1"/>
        <v>340</v>
      </c>
      <c r="M124" s="210">
        <f ca="1"/>
        <v>5120</v>
      </c>
      <c r="N124" s="210">
        <f ca="1"/>
        <v>9</v>
      </c>
      <c r="O124" t="str">
        <f ca="1"/>
        <v>Day</v>
      </c>
      <c r="P124" s="211">
        <f ca="1"/>
        <v>0.93772893772893762</v>
      </c>
      <c r="Q124">
        <f ca="1"/>
        <v>5460</v>
      </c>
      <c r="R124">
        <f ca="1"/>
        <v>0</v>
      </c>
    </row>
    <row r="125" spans="2:18">
      <c r="B125" t="str">
        <f ca="1"/>
        <v xml:space="preserve"> C39 JAN-FEB</v>
      </c>
      <c r="C125" s="209">
        <f ca="1"/>
        <v>46062</v>
      </c>
      <c r="D125" t="str">
        <f ca="1"/>
        <v>3&amp;4</v>
      </c>
      <c r="E125" t="str">
        <f ca="1"/>
        <v>C39</v>
      </c>
      <c r="F125" t="str">
        <f ca="1"/>
        <v xml:space="preserve">Khapli </v>
      </c>
      <c r="G125" s="210">
        <f ca="1"/>
        <v>8000</v>
      </c>
      <c r="H125" s="210">
        <f ca="1"/>
        <v>165</v>
      </c>
      <c r="I125" s="210">
        <f ca="1"/>
        <v>128</v>
      </c>
      <c r="J125" s="210">
        <f ca="1"/>
        <v>12</v>
      </c>
      <c r="K125" s="210">
        <f ca="1"/>
        <v>210</v>
      </c>
      <c r="L125" s="210">
        <f ca="1"/>
        <v>515</v>
      </c>
      <c r="M125" s="210">
        <f ca="1"/>
        <v>7485</v>
      </c>
      <c r="N125" s="210">
        <f ca="1"/>
        <v>9</v>
      </c>
      <c r="O125" t="str">
        <f ca="1"/>
        <v>Day</v>
      </c>
      <c r="P125" s="211">
        <f ca="1"/>
        <v>0.93562500000000004</v>
      </c>
      <c r="Q125">
        <f ca="1"/>
        <v>8000</v>
      </c>
      <c r="R125">
        <f ca="1"/>
        <v>0</v>
      </c>
    </row>
    <row r="126" spans="2:18">
      <c r="B126" t="str">
        <f ca="1"/>
        <v xml:space="preserve"> C39 JAN-FEB</v>
      </c>
      <c r="C126" s="209">
        <f ca="1"/>
        <v>46062</v>
      </c>
      <c r="D126" t="str">
        <f ca="1"/>
        <v>Pulveriser</v>
      </c>
      <c r="E126" t="str">
        <f ca="1"/>
        <v>C39</v>
      </c>
      <c r="F126" t="str">
        <f ca="1"/>
        <v>Besan</v>
      </c>
      <c r="G126" s="210">
        <f ca="1"/>
        <v>1000</v>
      </c>
      <c r="H126" s="210">
        <f ca="1"/>
        <v>7</v>
      </c>
      <c r="I126" s="210">
        <f ca="1"/>
        <v>7</v>
      </c>
      <c r="J126" s="210">
        <f ca="1"/>
        <v>4</v>
      </c>
      <c r="K126" s="210">
        <f ca="1"/>
        <v>42</v>
      </c>
      <c r="L126" s="210">
        <f ca="1"/>
        <v>60</v>
      </c>
      <c r="M126" s="210">
        <f ca="1"/>
        <v>940</v>
      </c>
      <c r="N126" s="210">
        <f ca="1"/>
        <v>2</v>
      </c>
      <c r="O126" t="str">
        <f ca="1"/>
        <v>Night</v>
      </c>
      <c r="P126" s="211">
        <f ca="1"/>
        <v>0.94</v>
      </c>
      <c r="Q126">
        <f ca="1"/>
        <v>1000</v>
      </c>
      <c r="R126">
        <f ca="1"/>
        <v>0</v>
      </c>
    </row>
    <row r="127" spans="2:18">
      <c r="B127" t="str">
        <f ca="1"/>
        <v xml:space="preserve"> C39 JAN-FEB</v>
      </c>
      <c r="C127" s="209">
        <f ca="1"/>
        <v>46065</v>
      </c>
      <c r="D127" t="str">
        <f ca="1"/>
        <v>3&amp;4</v>
      </c>
      <c r="E127" t="str">
        <f ca="1"/>
        <v>C39</v>
      </c>
      <c r="F127" t="str">
        <f ca="1"/>
        <v xml:space="preserve">Khapli </v>
      </c>
      <c r="G127" s="210">
        <f ca="1"/>
        <v>5300</v>
      </c>
      <c r="H127" s="210">
        <f ca="1"/>
        <v>89</v>
      </c>
      <c r="I127" s="210">
        <f ca="1"/>
        <v>81</v>
      </c>
      <c r="J127" s="210">
        <f ca="1"/>
        <v>11</v>
      </c>
      <c r="K127" s="210">
        <f ca="1"/>
        <v>159</v>
      </c>
      <c r="L127" s="210">
        <f ca="1"/>
        <v>340</v>
      </c>
      <c r="M127" s="210">
        <f ca="1"/>
        <v>4960</v>
      </c>
      <c r="N127" s="210">
        <f ca="1"/>
        <v>9</v>
      </c>
      <c r="O127" t="str">
        <f ca="1"/>
        <v>Night</v>
      </c>
      <c r="P127" s="211">
        <f ca="1"/>
        <v>0.9358490566037736</v>
      </c>
      <c r="Q127">
        <f ca="1"/>
        <v>5300</v>
      </c>
      <c r="R127">
        <f ca="1"/>
        <v>0</v>
      </c>
    </row>
    <row r="128" spans="2:18">
      <c r="B128" t="str">
        <f ca="1"/>
        <v xml:space="preserve"> C39 JAN-FEB</v>
      </c>
      <c r="C128" s="209">
        <f ca="1"/>
        <v>46066</v>
      </c>
      <c r="D128" t="str">
        <f ca="1"/>
        <v>3&amp;4</v>
      </c>
      <c r="E128" t="str">
        <f ca="1"/>
        <v>C39</v>
      </c>
      <c r="F128" t="str">
        <f ca="1"/>
        <v xml:space="preserve">Khapli </v>
      </c>
      <c r="G128" s="210">
        <f ca="1"/>
        <v>7000</v>
      </c>
      <c r="H128" s="210">
        <f ca="1"/>
        <v>62</v>
      </c>
      <c r="I128" s="210">
        <f ca="1"/>
        <v>135</v>
      </c>
      <c r="J128" s="210">
        <f ca="1"/>
        <v>11.5</v>
      </c>
      <c r="K128" s="210">
        <f ca="1"/>
        <v>181.5</v>
      </c>
      <c r="L128" s="210">
        <f ca="1"/>
        <v>390</v>
      </c>
      <c r="M128" s="210">
        <f ca="1"/>
        <v>6610</v>
      </c>
      <c r="N128" s="210">
        <f ca="1"/>
        <v>9</v>
      </c>
      <c r="O128" t="str">
        <f ca="1"/>
        <v>Day</v>
      </c>
      <c r="P128" s="211">
        <f ca="1"/>
        <v>0.94428571428571428</v>
      </c>
      <c r="Q128">
        <f ca="1"/>
        <v>7000</v>
      </c>
      <c r="R128">
        <f ca="1"/>
        <v>0</v>
      </c>
    </row>
    <row r="129" spans="2:18">
      <c r="B129" t="str">
        <f ca="1"/>
        <v xml:space="preserve"> C39 JAN-FEB</v>
      </c>
      <c r="C129" s="209">
        <f ca="1"/>
        <v>46067</v>
      </c>
      <c r="D129" t="str">
        <f ca="1"/>
        <v>3&amp;4</v>
      </c>
      <c r="E129" t="str">
        <f ca="1"/>
        <v>C39</v>
      </c>
      <c r="F129" t="str">
        <f ca="1"/>
        <v xml:space="preserve">Khapli </v>
      </c>
      <c r="G129" s="210">
        <f ca="1"/>
        <v>7000</v>
      </c>
      <c r="H129" s="210">
        <f ca="1"/>
        <v>80</v>
      </c>
      <c r="I129" s="210">
        <f ca="1"/>
        <v>115</v>
      </c>
      <c r="J129" s="210">
        <f ca="1"/>
        <v>9</v>
      </c>
      <c r="K129" s="210">
        <f ca="1"/>
        <v>236</v>
      </c>
      <c r="L129" s="210">
        <f ca="1"/>
        <v>440</v>
      </c>
      <c r="M129" s="210">
        <f ca="1"/>
        <v>6560</v>
      </c>
      <c r="N129" s="210">
        <f ca="1"/>
        <v>9</v>
      </c>
      <c r="O129" t="str">
        <f ca="1"/>
        <v>Day</v>
      </c>
      <c r="P129" s="211">
        <f ca="1"/>
        <v>0.93714285714285728</v>
      </c>
      <c r="Q129">
        <f ca="1"/>
        <v>7000</v>
      </c>
      <c r="R129">
        <f ca="1"/>
        <v>0</v>
      </c>
    </row>
    <row r="130" spans="2:18">
      <c r="B130" t="str">
        <f ca="1"/>
        <v xml:space="preserve"> C39 JAN-FEB</v>
      </c>
      <c r="C130" s="209">
        <f ca="1"/>
        <v>46070</v>
      </c>
      <c r="D130" t="str">
        <f ca="1"/>
        <v>3&amp;4</v>
      </c>
      <c r="E130" t="str">
        <f ca="1"/>
        <v>C39</v>
      </c>
      <c r="F130" t="str">
        <f ca="1"/>
        <v xml:space="preserve">Khapli </v>
      </c>
      <c r="G130" s="210">
        <f ca="1"/>
        <v>1350</v>
      </c>
      <c r="H130" s="210">
        <f ca="1"/>
        <v>18</v>
      </c>
      <c r="I130" s="210">
        <f ca="1"/>
        <v>32</v>
      </c>
      <c r="J130" s="210">
        <f ca="1"/>
        <v>6</v>
      </c>
      <c r="K130" s="210">
        <f ca="1"/>
        <v>24</v>
      </c>
      <c r="L130" s="210">
        <f ca="1"/>
        <v>80</v>
      </c>
      <c r="M130" s="210">
        <f ca="1"/>
        <v>1270</v>
      </c>
      <c r="N130" s="210">
        <f ca="1"/>
        <v>4</v>
      </c>
      <c r="O130" t="str">
        <f ca="1"/>
        <v>DAY</v>
      </c>
      <c r="P130" s="211">
        <f ca="1"/>
        <v>0.94074074074074077</v>
      </c>
      <c r="Q130">
        <f ca="1"/>
        <v>1350</v>
      </c>
      <c r="R130">
        <f ca="1"/>
        <v>0</v>
      </c>
    </row>
    <row r="131" spans="2:18">
      <c r="B131" t="str">
        <f ca="1"/>
        <v xml:space="preserve"> C39 JAN-FEB</v>
      </c>
      <c r="C131" s="209">
        <f ca="1"/>
        <v>46070</v>
      </c>
      <c r="D131" t="str">
        <f ca="1"/>
        <v>3&amp;4</v>
      </c>
      <c r="E131" t="str">
        <f ca="1"/>
        <v>C39</v>
      </c>
      <c r="F131" t="str">
        <f ca="1"/>
        <v xml:space="preserve">Khapli </v>
      </c>
      <c r="G131" s="210">
        <f ca="1"/>
        <v>3143.36</v>
      </c>
      <c r="H131" s="210">
        <f ca="1"/>
        <v>40</v>
      </c>
      <c r="I131" s="210">
        <f ca="1"/>
        <v>32</v>
      </c>
      <c r="J131" s="210">
        <f ca="1"/>
        <v>5</v>
      </c>
      <c r="K131" s="210">
        <f ca="1"/>
        <v>116.36</v>
      </c>
      <c r="L131" s="210">
        <f ca="1"/>
        <v>193.36</v>
      </c>
      <c r="M131" s="210">
        <f ca="1"/>
        <v>2950</v>
      </c>
      <c r="N131" s="210">
        <f ca="1"/>
        <v>9</v>
      </c>
      <c r="O131" t="str">
        <f ca="1"/>
        <v>Night</v>
      </c>
      <c r="P131" s="211">
        <f ca="1"/>
        <v>0.93848620584342868</v>
      </c>
      <c r="Q131">
        <f ca="1"/>
        <v>3143.36</v>
      </c>
      <c r="R131">
        <f ca="1"/>
        <v>0</v>
      </c>
    </row>
    <row r="132" spans="2:18">
      <c r="B132" t="str">
        <f ca="1"/>
        <v xml:space="preserve"> C39 JAN-FEB</v>
      </c>
      <c r="C132" s="209">
        <f ca="1"/>
        <v>46072</v>
      </c>
      <c r="D132" t="str">
        <f ca="1"/>
        <v>3&amp;4</v>
      </c>
      <c r="E132" t="str">
        <f ca="1"/>
        <v>C39</v>
      </c>
      <c r="F132" t="str">
        <f ca="1"/>
        <v xml:space="preserve">Khapli </v>
      </c>
      <c r="G132" s="210">
        <f ca="1"/>
        <v>1100</v>
      </c>
      <c r="H132" s="210">
        <f ca="1"/>
        <v>10</v>
      </c>
      <c r="I132" s="210">
        <f ca="1"/>
        <v>44</v>
      </c>
      <c r="J132" s="210">
        <f ca="1"/>
        <v>2</v>
      </c>
      <c r="K132" s="210">
        <f ca="1"/>
        <v>4</v>
      </c>
      <c r="L132" s="210">
        <f ca="1"/>
        <v>60</v>
      </c>
      <c r="M132" s="210">
        <f ca="1"/>
        <v>1040</v>
      </c>
      <c r="N132" s="210">
        <f ca="1"/>
        <v>4</v>
      </c>
      <c r="O132" t="str">
        <f ca="1"/>
        <v>Night</v>
      </c>
      <c r="P132" s="211">
        <f ca="1"/>
        <v>0.94545454545454544</v>
      </c>
      <c r="Q132">
        <f ca="1"/>
        <v>1100</v>
      </c>
      <c r="R132">
        <f ca="1"/>
        <v>0</v>
      </c>
    </row>
    <row r="133" spans="2:18">
      <c r="B133" t="str">
        <f ca="1"/>
        <v xml:space="preserve"> C39 JAN-FEB</v>
      </c>
      <c r="C133" s="209">
        <f ca="1"/>
        <v>46073</v>
      </c>
      <c r="D133" t="str">
        <f ca="1"/>
        <v>3&amp;4</v>
      </c>
      <c r="E133" t="str">
        <f ca="1"/>
        <v>C39</v>
      </c>
      <c r="F133" t="str">
        <f ca="1"/>
        <v xml:space="preserve">Khapli </v>
      </c>
      <c r="G133" s="210">
        <f ca="1"/>
        <v>5100</v>
      </c>
      <c r="H133" s="210">
        <f ca="1"/>
        <v>50</v>
      </c>
      <c r="I133" s="210">
        <f ca="1"/>
        <v>183</v>
      </c>
      <c r="J133" s="210">
        <f ca="1"/>
        <v>6</v>
      </c>
      <c r="K133" s="210">
        <f ca="1"/>
        <v>101</v>
      </c>
      <c r="L133" s="210">
        <f ca="1"/>
        <v>340</v>
      </c>
      <c r="M133" s="210">
        <f ca="1"/>
        <v>4760</v>
      </c>
      <c r="N133" s="210">
        <f ca="1"/>
        <v>9</v>
      </c>
      <c r="O133" t="str">
        <f ca="1"/>
        <v xml:space="preserve">Day </v>
      </c>
      <c r="P133" s="211">
        <f ca="1"/>
        <v>0.93333333333333324</v>
      </c>
      <c r="Q133">
        <f ca="1"/>
        <v>5100</v>
      </c>
      <c r="R133">
        <f ca="1"/>
        <v>0</v>
      </c>
    </row>
    <row r="134" spans="2:18">
      <c r="B134" t="str">
        <f ca="1"/>
        <v xml:space="preserve"> C39 JAN-FEB</v>
      </c>
      <c r="C134" s="209">
        <f ca="1"/>
        <v>46074</v>
      </c>
      <c r="D134" t="str">
        <f ca="1"/>
        <v>3&amp;4</v>
      </c>
      <c r="E134" t="str">
        <f ca="1"/>
        <v>C39</v>
      </c>
      <c r="F134" t="str">
        <f ca="1"/>
        <v xml:space="preserve">Khapli </v>
      </c>
      <c r="G134" s="210">
        <f ca="1"/>
        <v>7173.92</v>
      </c>
      <c r="H134" s="210">
        <f ca="1"/>
        <v>87</v>
      </c>
      <c r="I134" s="210">
        <f ca="1"/>
        <v>215.22</v>
      </c>
      <c r="J134" s="210">
        <f ca="1"/>
        <v>10</v>
      </c>
      <c r="K134" s="210">
        <f ca="1"/>
        <v>261.7</v>
      </c>
      <c r="L134" s="210">
        <f ca="1"/>
        <v>573.92000000000007</v>
      </c>
      <c r="M134" s="210">
        <f ca="1"/>
        <v>6600</v>
      </c>
      <c r="N134" s="210">
        <f ca="1"/>
        <v>9</v>
      </c>
      <c r="O134" t="str">
        <f ca="1"/>
        <v>Day</v>
      </c>
      <c r="P134" s="211">
        <f ca="1"/>
        <v>0.919999107879653</v>
      </c>
      <c r="Q134">
        <f ca="1"/>
        <v>7173.92</v>
      </c>
      <c r="R134">
        <f ca="1"/>
        <v>0</v>
      </c>
    </row>
    <row r="135" spans="2:18">
      <c r="B135" t="str">
        <f ca="1"/>
        <v xml:space="preserve"> C39 JAN-FEB</v>
      </c>
      <c r="C135" s="209">
        <f ca="1"/>
        <v>46075</v>
      </c>
      <c r="D135" t="str">
        <f ca="1"/>
        <v>3&amp;4</v>
      </c>
      <c r="E135" t="str">
        <f ca="1"/>
        <v>C39</v>
      </c>
      <c r="F135" t="str">
        <f ca="1"/>
        <v xml:space="preserve">Khapli </v>
      </c>
      <c r="G135" s="210">
        <f ca="1"/>
        <v>5550</v>
      </c>
      <c r="H135" s="210">
        <f ca="1"/>
        <v>40</v>
      </c>
      <c r="I135" s="210">
        <f ca="1"/>
        <v>95</v>
      </c>
      <c r="J135" s="210">
        <f ca="1"/>
        <v>10</v>
      </c>
      <c r="K135" s="210">
        <f ca="1"/>
        <v>205</v>
      </c>
      <c r="L135" s="210">
        <f ca="1"/>
        <v>350</v>
      </c>
      <c r="M135" s="210">
        <f ca="1"/>
        <v>5200</v>
      </c>
      <c r="N135" s="210">
        <f ca="1"/>
        <v>9</v>
      </c>
      <c r="O135" t="str">
        <f ca="1"/>
        <v>Day</v>
      </c>
      <c r="P135" s="211">
        <f ca="1"/>
        <v>0.93693693693693691</v>
      </c>
      <c r="Q135">
        <f ca="1"/>
        <v>5550</v>
      </c>
      <c r="R135">
        <f ca="1"/>
        <v>0</v>
      </c>
    </row>
    <row r="136" spans="2:18">
      <c r="B136" t="str">
        <f ca="1"/>
        <v xml:space="preserve"> C39 JAN-FEB</v>
      </c>
      <c r="C136" s="209">
        <f ca="1"/>
        <v>46077</v>
      </c>
      <c r="D136" t="str">
        <f ca="1"/>
        <v>3&amp;4</v>
      </c>
      <c r="E136" t="str">
        <f ca="1"/>
        <v>C39</v>
      </c>
      <c r="F136" t="str">
        <f ca="1"/>
        <v>Multigrain</v>
      </c>
      <c r="G136" s="210">
        <f ca="1"/>
        <v>500</v>
      </c>
      <c r="H136" s="210">
        <f ca="1"/>
        <v>1</v>
      </c>
      <c r="I136" s="210">
        <f ca="1"/>
        <v>15</v>
      </c>
      <c r="J136" s="210">
        <f ca="1"/>
        <v>4.7</v>
      </c>
      <c r="K136" s="210">
        <f ca="1"/>
        <v>42.3</v>
      </c>
      <c r="L136" s="210">
        <f ca="1"/>
        <v>63</v>
      </c>
      <c r="M136" s="210">
        <f ca="1"/>
        <v>437</v>
      </c>
      <c r="N136" s="210">
        <f ca="1"/>
        <v>3</v>
      </c>
      <c r="O136" t="str">
        <f ca="1"/>
        <v>Day</v>
      </c>
      <c r="P136" s="211">
        <f ca="1"/>
        <v>0.87400000000000011</v>
      </c>
      <c r="Q136">
        <f ca="1"/>
        <v>500</v>
      </c>
      <c r="R136">
        <f ca="1"/>
        <v>0</v>
      </c>
    </row>
    <row r="137" spans="2:18">
      <c r="B137" t="str">
        <f ca="1"/>
        <v xml:space="preserve"> C39 JAN-FEB</v>
      </c>
      <c r="C137" s="209">
        <f ca="1"/>
        <v>46078</v>
      </c>
      <c r="D137" t="str">
        <f ca="1"/>
        <v>3&amp;4</v>
      </c>
      <c r="E137" t="str">
        <f ca="1"/>
        <v>C39</v>
      </c>
      <c r="F137" t="str">
        <f ca="1"/>
        <v>Multigrain</v>
      </c>
      <c r="G137" s="210">
        <f ca="1"/>
        <v>3000</v>
      </c>
      <c r="H137" s="210">
        <f ca="1"/>
        <v>3.2</v>
      </c>
      <c r="I137" s="210">
        <f ca="1"/>
        <v>50</v>
      </c>
      <c r="J137" s="210">
        <f ca="1"/>
        <v>8</v>
      </c>
      <c r="K137" s="210">
        <f ca="1"/>
        <v>62.8</v>
      </c>
      <c r="L137" s="210">
        <f ca="1"/>
        <v>124</v>
      </c>
      <c r="M137" s="210">
        <f ca="1"/>
        <v>2876</v>
      </c>
      <c r="N137" s="210">
        <f ca="1"/>
        <v>9</v>
      </c>
      <c r="O137" t="str">
        <f ca="1"/>
        <v>Day</v>
      </c>
      <c r="P137" s="211">
        <f ca="1"/>
        <v>0.95866666666666656</v>
      </c>
      <c r="Q137">
        <f ca="1"/>
        <v>3000</v>
      </c>
      <c r="R137">
        <f ca="1"/>
        <v>0</v>
      </c>
    </row>
    <row r="138" spans="2:18">
      <c r="B138" t="str">
        <f ca="1"/>
        <v xml:space="preserve"> C39 JAN-FEB</v>
      </c>
      <c r="C138" s="209">
        <f ca="1"/>
        <v>46080</v>
      </c>
      <c r="D138" t="str">
        <f ca="1"/>
        <v>3&amp;4</v>
      </c>
      <c r="E138" t="str">
        <f ca="1"/>
        <v>C39</v>
      </c>
      <c r="F138" t="str">
        <f ca="1"/>
        <v>Multigrain</v>
      </c>
      <c r="G138" s="210">
        <f ca="1"/>
        <v>4400</v>
      </c>
      <c r="H138" s="210">
        <f ca="1"/>
        <v>3.9</v>
      </c>
      <c r="I138" s="210">
        <f ca="1"/>
        <v>69</v>
      </c>
      <c r="J138" s="210">
        <f ca="1"/>
        <v>14</v>
      </c>
      <c r="K138" s="210">
        <f ca="1"/>
        <v>128.1</v>
      </c>
      <c r="L138" s="210">
        <f ca="1"/>
        <v>215</v>
      </c>
      <c r="M138" s="210">
        <f ca="1"/>
        <v>4185</v>
      </c>
      <c r="N138" s="210">
        <f ca="1"/>
        <v>9</v>
      </c>
      <c r="O138" t="str">
        <f ca="1"/>
        <v>Day</v>
      </c>
      <c r="P138" s="211">
        <f ca="1"/>
        <v>0.95113636363636378</v>
      </c>
      <c r="Q138">
        <f ca="1"/>
        <v>4400</v>
      </c>
      <c r="R138">
        <f ca="1"/>
        <v>0</v>
      </c>
    </row>
    <row r="139" spans="2:18">
      <c r="B139" t="str">
        <f ca="1"/>
        <v xml:space="preserve"> C39 JAN-FEB</v>
      </c>
      <c r="C139" s="209">
        <f ca="1"/>
        <v>46081</v>
      </c>
      <c r="D139" t="str">
        <f ca="1"/>
        <v>3&amp;4</v>
      </c>
      <c r="E139" t="str">
        <f ca="1"/>
        <v>C39</v>
      </c>
      <c r="F139" t="str">
        <f ca="1"/>
        <v>Multigrain</v>
      </c>
      <c r="G139" s="210">
        <f ca="1"/>
        <v>5100</v>
      </c>
      <c r="H139" s="210">
        <f ca="1"/>
        <v>2.4</v>
      </c>
      <c r="I139" s="210">
        <f ca="1"/>
        <v>80</v>
      </c>
      <c r="J139" s="210">
        <f ca="1"/>
        <v>13</v>
      </c>
      <c r="K139" s="210">
        <f ca="1"/>
        <v>130.6</v>
      </c>
      <c r="L139" s="210">
        <f ca="1"/>
        <v>226</v>
      </c>
      <c r="M139" s="210">
        <f ca="1"/>
        <v>4874</v>
      </c>
      <c r="N139" s="210">
        <f ca="1"/>
        <v>9</v>
      </c>
      <c r="O139" t="str">
        <f ca="1"/>
        <v>Night</v>
      </c>
      <c r="P139" s="211">
        <f ca="1"/>
        <v>0.95568627450980381</v>
      </c>
      <c r="Q139">
        <f ca="1"/>
        <v>5100</v>
      </c>
      <c r="R139">
        <f ca="1"/>
        <v>0</v>
      </c>
    </row>
    <row r="140" spans="2:18">
      <c r="B140" t="str">
        <f ca="1"/>
        <v xml:space="preserve"> C39 JAN-FEB</v>
      </c>
      <c r="C140" s="209">
        <f ca="1"/>
        <v>46025</v>
      </c>
      <c r="D140" t="str">
        <f ca="1"/>
        <v>3&amp;4</v>
      </c>
      <c r="E140" t="str">
        <f ca="1"/>
        <v>C39</v>
      </c>
      <c r="F140" t="str">
        <f ca="1"/>
        <v>Multigrain</v>
      </c>
      <c r="G140" s="210">
        <f ca="1"/>
        <v>5100</v>
      </c>
      <c r="H140" s="210">
        <f ca="1"/>
        <v>3.8</v>
      </c>
      <c r="I140" s="210">
        <f ca="1"/>
        <v>72</v>
      </c>
      <c r="J140" s="210">
        <f ca="1"/>
        <v>15</v>
      </c>
      <c r="K140" s="210">
        <f ca="1"/>
        <v>149.19999999999999</v>
      </c>
      <c r="L140" s="210">
        <f ca="1"/>
        <v>240</v>
      </c>
      <c r="M140" s="210">
        <f ca="1"/>
        <v>4860</v>
      </c>
      <c r="N140" s="210">
        <f ca="1"/>
        <v>9</v>
      </c>
      <c r="O140" t="str">
        <f ca="1"/>
        <v>Day</v>
      </c>
      <c r="P140" s="211">
        <f ca="1"/>
        <v>0.95294117647058807</v>
      </c>
      <c r="Q140">
        <f ca="1"/>
        <v>5100</v>
      </c>
      <c r="R140">
        <f ca="1"/>
        <v>0</v>
      </c>
    </row>
    <row r="141" spans="2:18">
      <c r="B141" t="str">
        <f ca="1"/>
        <v xml:space="preserve"> C39 JAN-FEB</v>
      </c>
      <c r="C141" s="209">
        <f ca="1"/>
        <v>46056</v>
      </c>
      <c r="D141" t="str">
        <f ca="1"/>
        <v>3&amp;4</v>
      </c>
      <c r="E141" t="str">
        <f ca="1"/>
        <v>C39</v>
      </c>
      <c r="F141" t="str">
        <f ca="1"/>
        <v>Multigrain</v>
      </c>
      <c r="G141" s="210">
        <f ca="1"/>
        <v>3050</v>
      </c>
      <c r="H141" s="210">
        <f ca="1"/>
        <v>4.5999999999999996</v>
      </c>
      <c r="I141" s="210">
        <f ca="1"/>
        <v>59</v>
      </c>
      <c r="J141" s="210">
        <f ca="1"/>
        <v>6</v>
      </c>
      <c r="K141" s="210">
        <f ca="1"/>
        <v>60.4</v>
      </c>
      <c r="L141" s="210">
        <f ca="1"/>
        <v>130</v>
      </c>
      <c r="M141" s="210">
        <f ca="1"/>
        <v>2920</v>
      </c>
      <c r="N141" s="210">
        <f ca="1"/>
        <v>5</v>
      </c>
      <c r="O141" t="str">
        <f ca="1"/>
        <v>Day</v>
      </c>
      <c r="P141" s="211">
        <f ca="1"/>
        <v>0.95737704918032795</v>
      </c>
      <c r="Q141">
        <f ca="1"/>
        <v>3050</v>
      </c>
      <c r="R141">
        <f ca="1"/>
        <v>0</v>
      </c>
    </row>
    <row r="142" spans="2:18">
      <c r="B142" t="str">
        <f ca="1"/>
        <v>C6 MARCH</v>
      </c>
      <c r="C142" s="209">
        <f ca="1"/>
        <v>46078</v>
      </c>
      <c r="D142" t="str">
        <f ca="1"/>
        <v>Pulvriser</v>
      </c>
      <c r="E142" t="str">
        <f ca="1"/>
        <v>C39</v>
      </c>
      <c r="F142" t="str">
        <f ca="1"/>
        <v>Besan</v>
      </c>
      <c r="G142" s="210">
        <f ca="1"/>
        <v>650</v>
      </c>
      <c r="H142" s="210">
        <f ca="1"/>
        <v>0</v>
      </c>
      <c r="I142" s="210">
        <f ca="1"/>
        <v>0</v>
      </c>
      <c r="J142" s="210">
        <f ca="1"/>
        <v>0</v>
      </c>
      <c r="K142" s="210">
        <f ca="1"/>
        <v>40</v>
      </c>
      <c r="L142" s="210">
        <f ca="1"/>
        <v>40</v>
      </c>
      <c r="M142" s="210">
        <f ca="1"/>
        <v>610</v>
      </c>
      <c r="N142" s="210">
        <f ca="1"/>
        <v>4</v>
      </c>
      <c r="O142">
        <f ca="1"/>
        <v>0</v>
      </c>
      <c r="P142" s="211">
        <f ca="1"/>
        <v>0.93846153846153835</v>
      </c>
      <c r="Q142">
        <f ca="1"/>
        <v>650</v>
      </c>
      <c r="R142">
        <f ca="1"/>
        <v>0</v>
      </c>
    </row>
    <row r="143" spans="2:18">
      <c r="B143" t="str">
        <f ca="1"/>
        <v>C6 MARCH</v>
      </c>
      <c r="C143" s="209">
        <f ca="1"/>
        <v>46082</v>
      </c>
      <c r="D143" t="str">
        <f ca="1"/>
        <v>Chakki1,2,3</v>
      </c>
      <c r="E143" t="str">
        <f ca="1"/>
        <v>C6</v>
      </c>
      <c r="F143" t="str">
        <f ca="1"/>
        <v>Multigrain</v>
      </c>
      <c r="G143" s="210">
        <f ca="1"/>
        <v>2100</v>
      </c>
      <c r="H143" s="210">
        <f ca="1"/>
        <v>30</v>
      </c>
      <c r="I143" s="210">
        <f ca="1"/>
        <v>25</v>
      </c>
      <c r="J143" s="210">
        <f ca="1"/>
        <v>2</v>
      </c>
      <c r="K143" s="210">
        <f ca="1"/>
        <v>133</v>
      </c>
      <c r="L143" s="210">
        <f ca="1"/>
        <v>190</v>
      </c>
      <c r="M143" s="210">
        <f ca="1"/>
        <v>1910</v>
      </c>
      <c r="N143" s="210">
        <f ca="1"/>
        <v>4</v>
      </c>
      <c r="O143" t="str">
        <f ca="1"/>
        <v>DAY</v>
      </c>
      <c r="P143" s="211">
        <f ca="1"/>
        <v>0.90952380952380951</v>
      </c>
      <c r="Q143">
        <f ca="1"/>
        <v>2100</v>
      </c>
      <c r="R143">
        <f ca="1"/>
        <v>0</v>
      </c>
    </row>
    <row r="144" spans="2:18">
      <c r="B144" t="str">
        <f ca="1"/>
        <v>C6 MARCH</v>
      </c>
      <c r="C144" s="209">
        <f ca="1"/>
        <v>46082</v>
      </c>
      <c r="D144" t="str">
        <f ca="1"/>
        <v>Chakki1,2,3</v>
      </c>
      <c r="E144" t="str">
        <f ca="1"/>
        <v>C6</v>
      </c>
      <c r="F144" t="str">
        <f ca="1"/>
        <v>Pearl Millet</v>
      </c>
      <c r="G144" s="210">
        <f ca="1"/>
        <v>1750</v>
      </c>
      <c r="H144" s="210">
        <f ca="1"/>
        <v>28</v>
      </c>
      <c r="I144" s="210">
        <f ca="1"/>
        <v>42</v>
      </c>
      <c r="J144" s="210">
        <f ca="1"/>
        <v>2</v>
      </c>
      <c r="K144" s="210">
        <f ca="1"/>
        <v>82.4</v>
      </c>
      <c r="L144" s="210">
        <f ca="1"/>
        <v>154.4</v>
      </c>
      <c r="M144" s="210">
        <f ca="1"/>
        <v>1595.6</v>
      </c>
      <c r="N144" s="210">
        <f ca="1"/>
        <v>4</v>
      </c>
      <c r="O144" t="str">
        <f ca="1"/>
        <v>NIGHT</v>
      </c>
      <c r="P144" s="211">
        <f ca="1"/>
        <v>0.91177142857142857</v>
      </c>
      <c r="Q144">
        <f ca="1"/>
        <v>1750</v>
      </c>
      <c r="R144">
        <f ca="1"/>
        <v>0</v>
      </c>
    </row>
    <row r="145" spans="2:18">
      <c r="B145" t="str">
        <f ca="1"/>
        <v>C6 MARCH</v>
      </c>
      <c r="C145" s="209">
        <f ca="1"/>
        <v>46083</v>
      </c>
      <c r="D145" t="str">
        <f ca="1"/>
        <v>Chakki1,2,3</v>
      </c>
      <c r="E145" t="str">
        <f ca="1"/>
        <v>C6</v>
      </c>
      <c r="F145" t="str">
        <f ca="1"/>
        <v>Jowar</v>
      </c>
      <c r="G145" s="210">
        <f ca="1"/>
        <v>2400</v>
      </c>
      <c r="H145" s="210">
        <f ca="1"/>
        <v>30</v>
      </c>
      <c r="I145" s="210">
        <f ca="1"/>
        <v>56</v>
      </c>
      <c r="J145" s="210">
        <f ca="1"/>
        <v>3</v>
      </c>
      <c r="K145" s="210">
        <f ca="1"/>
        <v>132</v>
      </c>
      <c r="L145" s="210">
        <f ca="1"/>
        <v>221</v>
      </c>
      <c r="M145" s="210">
        <f ca="1"/>
        <v>2240</v>
      </c>
      <c r="N145" s="210">
        <f ca="1"/>
        <v>4</v>
      </c>
      <c r="O145" t="str">
        <f ca="1"/>
        <v>DAY</v>
      </c>
      <c r="P145" s="211">
        <f ca="1"/>
        <v>0.93333333333333324</v>
      </c>
      <c r="Q145">
        <f ca="1"/>
        <v>2461</v>
      </c>
      <c r="R145">
        <f ca="1"/>
        <v>-61</v>
      </c>
    </row>
    <row r="146" spans="2:18">
      <c r="B146" t="str">
        <f ca="1"/>
        <v>C6 MARCH</v>
      </c>
      <c r="C146" s="209">
        <f ca="1"/>
        <v>46085</v>
      </c>
      <c r="D146" t="str">
        <f ca="1"/>
        <v>Chakki1,2,3</v>
      </c>
      <c r="E146" t="str">
        <f ca="1"/>
        <v>C6</v>
      </c>
      <c r="F146" t="str">
        <f ca="1"/>
        <v>Multigrain</v>
      </c>
      <c r="G146" s="210">
        <f ca="1"/>
        <v>2100</v>
      </c>
      <c r="H146" s="210">
        <f ca="1"/>
        <v>31</v>
      </c>
      <c r="I146" s="210">
        <f ca="1"/>
        <v>30</v>
      </c>
      <c r="J146" s="210">
        <f ca="1"/>
        <v>2</v>
      </c>
      <c r="K146" s="210">
        <f ca="1"/>
        <v>110</v>
      </c>
      <c r="L146" s="210">
        <f ca="1"/>
        <v>173</v>
      </c>
      <c r="M146" s="210">
        <f ca="1"/>
        <v>1927</v>
      </c>
      <c r="N146" s="210">
        <f ca="1"/>
        <v>4</v>
      </c>
      <c r="O146" t="str">
        <f ca="1"/>
        <v>DAY</v>
      </c>
      <c r="P146" s="211">
        <f ca="1"/>
        <v>0.91761904761904778</v>
      </c>
      <c r="Q146">
        <f ca="1"/>
        <v>2100</v>
      </c>
      <c r="R146">
        <f ca="1"/>
        <v>0</v>
      </c>
    </row>
    <row r="147" spans="2:18">
      <c r="B147" t="str">
        <f ca="1"/>
        <v>C6 MARCH</v>
      </c>
      <c r="C147" s="209">
        <f ca="1"/>
        <v>46085</v>
      </c>
      <c r="D147" t="str">
        <f ca="1"/>
        <v>Chakki1,2,3</v>
      </c>
      <c r="E147" t="str">
        <f ca="1"/>
        <v>C6</v>
      </c>
      <c r="F147" t="str">
        <f ca="1"/>
        <v>Multigrain</v>
      </c>
      <c r="G147" s="210">
        <f ca="1"/>
        <v>2900</v>
      </c>
      <c r="H147" s="210">
        <f ca="1"/>
        <v>29</v>
      </c>
      <c r="I147" s="210">
        <f ca="1"/>
        <v>40</v>
      </c>
      <c r="J147" s="210">
        <f ca="1"/>
        <v>1</v>
      </c>
      <c r="K147" s="210">
        <f ca="1"/>
        <v>120</v>
      </c>
      <c r="L147" s="210">
        <f ca="1"/>
        <v>190</v>
      </c>
      <c r="M147" s="210">
        <f ca="1"/>
        <v>2660</v>
      </c>
      <c r="N147" s="210">
        <f ca="1"/>
        <v>4</v>
      </c>
      <c r="O147" t="str">
        <f ca="1"/>
        <v>NIGHT</v>
      </c>
      <c r="P147" s="211">
        <f ca="1"/>
        <v>0.91724137931034477</v>
      </c>
      <c r="Q147">
        <f ca="1"/>
        <v>2850</v>
      </c>
      <c r="R147">
        <f ca="1"/>
        <v>50</v>
      </c>
    </row>
    <row r="148" spans="2:18">
      <c r="B148" t="str">
        <f ca="1"/>
        <v>C6 MARCH</v>
      </c>
      <c r="C148" s="209">
        <f ca="1"/>
        <v>46086</v>
      </c>
      <c r="D148" t="str">
        <f ca="1"/>
        <v>Chakki1,2,3</v>
      </c>
      <c r="E148" t="str">
        <f ca="1"/>
        <v>C6</v>
      </c>
      <c r="F148" t="str">
        <f ca="1"/>
        <v>Multigrain</v>
      </c>
      <c r="G148" s="210">
        <f ca="1"/>
        <v>1750</v>
      </c>
      <c r="H148" s="210">
        <f ca="1"/>
        <v>30</v>
      </c>
      <c r="I148" s="210">
        <f ca="1"/>
        <v>14</v>
      </c>
      <c r="J148" s="210">
        <f ca="1"/>
        <v>1</v>
      </c>
      <c r="K148" s="210">
        <f ca="1"/>
        <v>105</v>
      </c>
      <c r="L148" s="210">
        <f ca="1"/>
        <v>150</v>
      </c>
      <c r="M148" s="210">
        <f ca="1"/>
        <v>1605</v>
      </c>
      <c r="N148" s="210">
        <f ca="1"/>
        <v>4</v>
      </c>
      <c r="O148" t="str">
        <f ca="1"/>
        <v>DAY</v>
      </c>
      <c r="P148" s="211">
        <f ca="1"/>
        <v>0.91714285714285704</v>
      </c>
      <c r="Q148">
        <f ca="1"/>
        <v>1755</v>
      </c>
      <c r="R148">
        <f ca="1"/>
        <v>-5</v>
      </c>
    </row>
    <row r="149" spans="2:18">
      <c r="B149" t="str">
        <f ca="1"/>
        <v>C6 MARCH</v>
      </c>
      <c r="C149" s="209">
        <f ca="1"/>
        <v>46086</v>
      </c>
      <c r="D149" t="str">
        <f ca="1"/>
        <v>Chakki1,2,3</v>
      </c>
      <c r="E149" t="str">
        <f ca="1"/>
        <v>C6</v>
      </c>
      <c r="F149" t="str">
        <f ca="1"/>
        <v>Multigrain</v>
      </c>
      <c r="G149" s="210">
        <f ca="1"/>
        <v>3250</v>
      </c>
      <c r="H149" s="210">
        <f ca="1"/>
        <v>45</v>
      </c>
      <c r="I149" s="210">
        <f ca="1"/>
        <v>68</v>
      </c>
      <c r="J149" s="210">
        <f ca="1"/>
        <v>2</v>
      </c>
      <c r="K149" s="210">
        <f ca="1"/>
        <v>130</v>
      </c>
      <c r="L149" s="210">
        <f ca="1"/>
        <v>245</v>
      </c>
      <c r="M149" s="210">
        <f ca="1"/>
        <v>3005</v>
      </c>
      <c r="N149" s="210">
        <f ca="1"/>
        <v>4</v>
      </c>
      <c r="O149" t="str">
        <f ca="1"/>
        <v>NIGHT</v>
      </c>
      <c r="P149" s="211">
        <f ca="1"/>
        <v>0.92461538461538462</v>
      </c>
      <c r="Q149">
        <f ca="1"/>
        <v>3250</v>
      </c>
      <c r="R149">
        <f ca="1"/>
        <v>0</v>
      </c>
    </row>
    <row r="150" spans="2:18">
      <c r="B150" t="str">
        <f ca="1"/>
        <v>C6 MARCH</v>
      </c>
      <c r="C150" s="209">
        <f ca="1"/>
        <v>46087</v>
      </c>
      <c r="D150" t="str">
        <f ca="1"/>
        <v>Chakki1,2,3</v>
      </c>
      <c r="E150" t="str">
        <f ca="1"/>
        <v>C6</v>
      </c>
      <c r="F150" t="str">
        <f ca="1"/>
        <v>Khapli wheat</v>
      </c>
      <c r="G150" s="210">
        <f ca="1"/>
        <v>175</v>
      </c>
      <c r="H150" s="210">
        <f ca="1"/>
        <v>10</v>
      </c>
      <c r="I150" s="210">
        <f ca="1"/>
        <v>0.4</v>
      </c>
      <c r="J150" s="210">
        <f ca="1"/>
        <v>0.2</v>
      </c>
      <c r="K150" s="210">
        <f ca="1"/>
        <v>3.4</v>
      </c>
      <c r="L150" s="210">
        <f ca="1"/>
        <v>14</v>
      </c>
      <c r="M150" s="210">
        <f ca="1"/>
        <v>161</v>
      </c>
      <c r="N150" s="210">
        <f ca="1"/>
        <v>4</v>
      </c>
      <c r="O150" t="str">
        <f ca="1"/>
        <v>DAY</v>
      </c>
      <c r="P150" s="211">
        <f ca="1"/>
        <v>0.92</v>
      </c>
      <c r="Q150">
        <f ca="1"/>
        <v>175</v>
      </c>
      <c r="R150">
        <f ca="1"/>
        <v>0</v>
      </c>
    </row>
    <row r="151" spans="2:18">
      <c r="B151" t="str">
        <f ca="1"/>
        <v>C6 MARCH</v>
      </c>
      <c r="C151" s="209">
        <f ca="1"/>
        <v>46087</v>
      </c>
      <c r="D151" t="str">
        <f ca="1"/>
        <v>Chakki1,2,3</v>
      </c>
      <c r="E151" t="str">
        <f ca="1"/>
        <v>C6</v>
      </c>
      <c r="F151" t="str">
        <f ca="1"/>
        <v>Khapli wheat</v>
      </c>
      <c r="G151" s="210">
        <f ca="1"/>
        <v>3350</v>
      </c>
      <c r="H151" s="210">
        <f ca="1"/>
        <v>42</v>
      </c>
      <c r="I151" s="210">
        <f ca="1"/>
        <v>35</v>
      </c>
      <c r="J151" s="210">
        <f ca="1"/>
        <v>4</v>
      </c>
      <c r="K151" s="210">
        <f ca="1"/>
        <v>233</v>
      </c>
      <c r="L151" s="210">
        <f ca="1"/>
        <v>314</v>
      </c>
      <c r="M151" s="210">
        <f ca="1"/>
        <v>3111</v>
      </c>
      <c r="N151" s="210">
        <f ca="1"/>
        <v>4</v>
      </c>
      <c r="O151" t="str">
        <f ca="1"/>
        <v>NIGHT</v>
      </c>
      <c r="P151" s="211">
        <f ca="1"/>
        <v>0.92865671641791048</v>
      </c>
      <c r="Q151">
        <f ca="1"/>
        <v>3425</v>
      </c>
      <c r="R151">
        <f ca="1"/>
        <v>-75</v>
      </c>
    </row>
    <row r="152" spans="2:18">
      <c r="B152" t="str">
        <f ca="1"/>
        <v>C6 MARCH</v>
      </c>
      <c r="C152" s="209">
        <f ca="1"/>
        <v>46088</v>
      </c>
      <c r="D152" t="str">
        <f ca="1"/>
        <v>Chakki 1,2,3</v>
      </c>
      <c r="E152" t="str">
        <f ca="1"/>
        <v>C6</v>
      </c>
      <c r="F152" t="str">
        <f ca="1"/>
        <v>Khapli wheat</v>
      </c>
      <c r="G152" s="210">
        <f ca="1"/>
        <v>2200</v>
      </c>
      <c r="H152" s="210">
        <f ca="1"/>
        <v>20</v>
      </c>
      <c r="I152" s="210">
        <f ca="1"/>
        <v>4</v>
      </c>
      <c r="J152" s="210">
        <f ca="1"/>
        <v>1</v>
      </c>
      <c r="K152" s="210">
        <f ca="1"/>
        <v>134</v>
      </c>
      <c r="L152" s="210">
        <f ca="1"/>
        <v>159</v>
      </c>
      <c r="M152" s="210">
        <f ca="1"/>
        <v>2041</v>
      </c>
      <c r="N152" s="210">
        <f ca="1"/>
        <v>4</v>
      </c>
      <c r="O152" t="str">
        <f ca="1"/>
        <v>DAY</v>
      </c>
      <c r="P152" s="211">
        <f ca="1"/>
        <v>0.92772727272727284</v>
      </c>
      <c r="Q152">
        <f ca="1"/>
        <v>2200</v>
      </c>
      <c r="R152">
        <f ca="1"/>
        <v>0</v>
      </c>
    </row>
    <row r="153" spans="2:18">
      <c r="B153" t="str">
        <f ca="1"/>
        <v>C39 MARCH</v>
      </c>
      <c r="C153" s="209">
        <f ca="1"/>
        <v>46082</v>
      </c>
      <c r="D153" t="str">
        <f ca="1"/>
        <v>3&amp;4</v>
      </c>
      <c r="E153" t="str">
        <f ca="1"/>
        <v>C39</v>
      </c>
      <c r="F153" t="str">
        <f ca="1"/>
        <v>Multigrain</v>
      </c>
      <c r="G153" s="210">
        <f ca="1"/>
        <v>5100</v>
      </c>
      <c r="H153" s="210">
        <f ca="1"/>
        <v>3.8</v>
      </c>
      <c r="I153" s="210">
        <f ca="1"/>
        <v>72</v>
      </c>
      <c r="J153" s="210">
        <f ca="1"/>
        <v>15</v>
      </c>
      <c r="K153" s="210">
        <f ca="1"/>
        <v>149.19999999999999</v>
      </c>
      <c r="L153" s="210">
        <f ca="1"/>
        <v>240</v>
      </c>
      <c r="M153" s="210">
        <f ca="1"/>
        <v>4860</v>
      </c>
      <c r="N153" s="210">
        <f ca="1"/>
        <v>9</v>
      </c>
      <c r="O153" t="str">
        <f ca="1"/>
        <v>Day</v>
      </c>
      <c r="P153" s="211">
        <f ca="1"/>
        <v>0.95294117647058807</v>
      </c>
      <c r="Q153">
        <f ca="1"/>
        <v>5100</v>
      </c>
      <c r="R153">
        <f ca="1"/>
        <v>0</v>
      </c>
    </row>
    <row r="154" spans="2:18">
      <c r="B154" t="str">
        <f ca="1"/>
        <v>C39 MARCH</v>
      </c>
      <c r="C154" s="209">
        <f ca="1"/>
        <v>46082</v>
      </c>
      <c r="D154" t="str">
        <f ca="1"/>
        <v>3&amp;4</v>
      </c>
      <c r="E154" t="str">
        <f ca="1"/>
        <v>C39</v>
      </c>
      <c r="F154" t="str">
        <f ca="1"/>
        <v>Multigrain</v>
      </c>
      <c r="G154" s="210">
        <f ca="1"/>
        <v>720</v>
      </c>
      <c r="H154" s="210">
        <f ca="1"/>
        <v>1.5</v>
      </c>
      <c r="I154" s="210">
        <f ca="1"/>
        <v>12</v>
      </c>
      <c r="J154" s="210">
        <f ca="1"/>
        <v>5</v>
      </c>
      <c r="K154" s="210">
        <f ca="1"/>
        <v>21.5</v>
      </c>
      <c r="L154" s="210">
        <f ca="1"/>
        <v>40</v>
      </c>
      <c r="M154" s="210">
        <f ca="1"/>
        <v>680</v>
      </c>
      <c r="N154" s="210">
        <f ca="1"/>
        <v>6</v>
      </c>
      <c r="O154" t="str">
        <f ca="1"/>
        <v>Night</v>
      </c>
      <c r="P154" s="211">
        <f ca="1"/>
        <v>0.94444444444444442</v>
      </c>
      <c r="Q154">
        <f ca="1"/>
        <v>720</v>
      </c>
      <c r="R154">
        <f ca="1"/>
        <v>0</v>
      </c>
    </row>
    <row r="155" spans="2:18">
      <c r="B155" t="str">
        <f ca="1"/>
        <v>C39 MARCH</v>
      </c>
      <c r="C155" s="209">
        <f ca="1"/>
        <v>46083</v>
      </c>
      <c r="D155" t="str">
        <f ca="1"/>
        <v>3&amp;4</v>
      </c>
      <c r="E155" t="str">
        <f ca="1"/>
        <v>C39</v>
      </c>
      <c r="F155" t="str">
        <f ca="1"/>
        <v>Multigrain</v>
      </c>
      <c r="G155" s="210">
        <f ca="1"/>
        <v>3050</v>
      </c>
      <c r="H155" s="210">
        <f ca="1"/>
        <v>4.5999999999999996</v>
      </c>
      <c r="I155" s="210">
        <f ca="1"/>
        <v>59</v>
      </c>
      <c r="J155" s="210">
        <f ca="1"/>
        <v>6</v>
      </c>
      <c r="K155" s="210">
        <f ca="1"/>
        <v>60.4</v>
      </c>
      <c r="L155" s="210">
        <f ca="1"/>
        <v>130</v>
      </c>
      <c r="M155" s="210">
        <f ca="1"/>
        <v>2920</v>
      </c>
      <c r="N155" s="210">
        <f ca="1"/>
        <v>5</v>
      </c>
      <c r="O155" t="str">
        <f ca="1"/>
        <v>Day</v>
      </c>
      <c r="P155" s="211">
        <f ca="1"/>
        <v>0.95737704918032795</v>
      </c>
      <c r="Q155">
        <f ca="1"/>
        <v>3050</v>
      </c>
      <c r="R155">
        <f ca="1"/>
        <v>0</v>
      </c>
    </row>
    <row r="156" spans="2:18">
      <c r="B156" t="str">
        <f ca="1"/>
        <v>C39 MARCH</v>
      </c>
      <c r="C156" s="209">
        <f ca="1"/>
        <v>46087</v>
      </c>
      <c r="D156" t="str">
        <f ca="1"/>
        <v>3&amp;4</v>
      </c>
      <c r="E156" t="str">
        <f ca="1"/>
        <v>C39</v>
      </c>
      <c r="F156" t="str">
        <f ca="1"/>
        <v>Multigrain</v>
      </c>
      <c r="G156" s="210">
        <f ca="1"/>
        <v>4800</v>
      </c>
      <c r="H156" s="210">
        <f ca="1"/>
        <v>2</v>
      </c>
      <c r="I156" s="210">
        <f ca="1"/>
        <v>97</v>
      </c>
      <c r="J156" s="210">
        <f ca="1"/>
        <v>6</v>
      </c>
      <c r="K156" s="210">
        <f ca="1"/>
        <v>105</v>
      </c>
      <c r="L156" s="210">
        <f ca="1"/>
        <v>210</v>
      </c>
      <c r="M156" s="210">
        <f ca="1"/>
        <v>4590</v>
      </c>
      <c r="N156" s="210">
        <f ca="1"/>
        <v>5</v>
      </c>
      <c r="O156" t="str">
        <f ca="1"/>
        <v>Day</v>
      </c>
      <c r="P156" s="211">
        <f ca="1"/>
        <v>0.95625000000000004</v>
      </c>
      <c r="Q156">
        <f ca="1"/>
        <v>4800</v>
      </c>
      <c r="R156">
        <f ca="1"/>
        <v>0</v>
      </c>
    </row>
    <row r="157" spans="2:18">
      <c r="B157" t="str">
        <f ca="1"/>
        <v>C39 MARCH</v>
      </c>
      <c r="C157" s="209">
        <f ca="1"/>
        <v>46089</v>
      </c>
      <c r="D157" t="str">
        <f ca="1"/>
        <v>3&amp;4</v>
      </c>
      <c r="E157" t="str">
        <f ca="1"/>
        <v>C39</v>
      </c>
      <c r="F157" t="str">
        <f ca="1"/>
        <v>Multigrain</v>
      </c>
      <c r="G157" s="210">
        <f ca="1"/>
        <v>5200</v>
      </c>
      <c r="H157" s="210">
        <f ca="1"/>
        <v>10</v>
      </c>
      <c r="I157" s="210">
        <f ca="1"/>
        <v>95</v>
      </c>
      <c r="J157" s="210">
        <f ca="1"/>
        <v>15</v>
      </c>
      <c r="K157" s="210">
        <f ca="1"/>
        <v>130</v>
      </c>
      <c r="L157" s="210">
        <f ca="1"/>
        <v>250</v>
      </c>
      <c r="M157" s="210">
        <f ca="1"/>
        <v>4950</v>
      </c>
      <c r="N157" s="210">
        <f ca="1"/>
        <v>6</v>
      </c>
      <c r="O157" t="str">
        <f ca="1"/>
        <v>DAY</v>
      </c>
      <c r="P157" s="211">
        <f ca="1"/>
        <v>0.95192307692307698</v>
      </c>
      <c r="Q157">
        <f ca="1"/>
        <v>5200</v>
      </c>
      <c r="R157">
        <f ca="1"/>
        <v>0</v>
      </c>
    </row>
    <row r="158" spans="2:18">
      <c r="B158" t="str">
        <f ca="1"/>
        <v>C39 MARCH</v>
      </c>
      <c r="C158" s="209">
        <f ca="1"/>
        <v>46091</v>
      </c>
      <c r="D158" t="str">
        <f ca="1"/>
        <v>3&amp;4</v>
      </c>
      <c r="E158" t="str">
        <f ca="1"/>
        <v>C39</v>
      </c>
      <c r="F158" t="str">
        <f ca="1"/>
        <v>Multigrain</v>
      </c>
      <c r="G158" s="210">
        <f ca="1"/>
        <v>2680</v>
      </c>
      <c r="H158" s="210">
        <f ca="1"/>
        <v>20</v>
      </c>
      <c r="I158" s="210">
        <f ca="1"/>
        <v>20</v>
      </c>
      <c r="J158" s="210">
        <f ca="1"/>
        <v>15.8</v>
      </c>
      <c r="K158" s="210">
        <f ca="1"/>
        <v>64.2</v>
      </c>
      <c r="L158" s="210">
        <f ca="1"/>
        <v>120</v>
      </c>
      <c r="M158" s="210">
        <f ca="1"/>
        <v>2560</v>
      </c>
      <c r="N158" s="210">
        <f ca="1"/>
        <v>7</v>
      </c>
      <c r="O158" t="str">
        <f ca="1"/>
        <v>DAY</v>
      </c>
      <c r="P158" s="211">
        <f ca="1"/>
        <v>0.9552238805970148</v>
      </c>
      <c r="Q158">
        <f ca="1"/>
        <v>2680</v>
      </c>
      <c r="R158">
        <f ca="1"/>
        <v>0</v>
      </c>
    </row>
    <row r="159" spans="2:18">
      <c r="B159" t="str">
        <f ca="1"/>
        <v>C39 MARCH</v>
      </c>
      <c r="C159" s="209">
        <f ca="1"/>
        <v>46091</v>
      </c>
      <c r="D159" t="str">
        <f ca="1"/>
        <v>3&amp;4</v>
      </c>
      <c r="E159" t="str">
        <f ca="1"/>
        <v>C39</v>
      </c>
      <c r="F159" t="str">
        <f ca="1"/>
        <v>Multigrain</v>
      </c>
      <c r="G159" s="210">
        <f ca="1"/>
        <v>1920</v>
      </c>
      <c r="H159" s="210">
        <f ca="1"/>
        <v>15</v>
      </c>
      <c r="I159" s="210">
        <f ca="1"/>
        <v>15</v>
      </c>
      <c r="J159" s="210">
        <f ca="1"/>
        <v>3</v>
      </c>
      <c r="K159" s="210">
        <f ca="1"/>
        <v>47</v>
      </c>
      <c r="L159" s="210">
        <f ca="1"/>
        <v>80</v>
      </c>
      <c r="M159" s="210">
        <f ca="1"/>
        <v>1840</v>
      </c>
      <c r="N159" s="210">
        <f ca="1"/>
        <v>4</v>
      </c>
      <c r="O159" t="str">
        <f ca="1"/>
        <v>Night</v>
      </c>
      <c r="P159" s="211">
        <f ca="1"/>
        <v>0.95833333333333348</v>
      </c>
      <c r="Q159">
        <f ca="1"/>
        <v>1920</v>
      </c>
      <c r="R159">
        <f ca="1"/>
        <v>0</v>
      </c>
    </row>
    <row r="160" spans="2:18">
      <c r="B160" t="str">
        <f ca="1"/>
        <v>C39 MARCH</v>
      </c>
      <c r="C160" s="209">
        <f ca="1"/>
        <v>46092</v>
      </c>
      <c r="D160" t="str">
        <f ca="1"/>
        <v>3&amp;4</v>
      </c>
      <c r="E160" t="str">
        <f ca="1"/>
        <v>C39</v>
      </c>
      <c r="F160" t="str">
        <f ca="1"/>
        <v>Multigrain</v>
      </c>
      <c r="G160" s="210">
        <f ca="1"/>
        <v>2830</v>
      </c>
      <c r="H160" s="210">
        <f ca="1"/>
        <v>12</v>
      </c>
      <c r="I160" s="210">
        <f ca="1"/>
        <v>55</v>
      </c>
      <c r="J160" s="210">
        <f ca="1"/>
        <v>7</v>
      </c>
      <c r="K160" s="210">
        <f ca="1"/>
        <v>56</v>
      </c>
      <c r="L160" s="210">
        <f ca="1"/>
        <v>130</v>
      </c>
      <c r="M160" s="210">
        <f ca="1"/>
        <v>2700</v>
      </c>
      <c r="N160" s="210">
        <f ca="1"/>
        <v>4</v>
      </c>
      <c r="O160" t="str">
        <f ca="1"/>
        <v>Day</v>
      </c>
      <c r="P160" s="211">
        <f ca="1"/>
        <v>0.95400000000000007</v>
      </c>
      <c r="Q160">
        <f ca="1"/>
        <v>2830</v>
      </c>
      <c r="R160">
        <f ca="1"/>
        <v>0</v>
      </c>
    </row>
    <row r="161" spans="2:18">
      <c r="B161" t="str">
        <f ca="1"/>
        <v>C39 MARCH</v>
      </c>
      <c r="C161" s="209">
        <f ca="1"/>
        <v>46094</v>
      </c>
      <c r="D161" t="str">
        <f ca="1"/>
        <v>Pulveriser</v>
      </c>
      <c r="E161" t="str">
        <f ca="1"/>
        <v>C39</v>
      </c>
      <c r="F161" t="str">
        <f ca="1"/>
        <v>Besan atta</v>
      </c>
      <c r="G161" s="210">
        <f ca="1"/>
        <v>255</v>
      </c>
      <c r="H161" s="210">
        <f ca="1"/>
        <v>0</v>
      </c>
      <c r="I161" s="210">
        <f ca="1"/>
        <v>0</v>
      </c>
      <c r="J161" s="210">
        <f ca="1"/>
        <v>1.2</v>
      </c>
      <c r="K161" s="210">
        <f ca="1"/>
        <v>4</v>
      </c>
      <c r="L161" s="210">
        <f ca="1"/>
        <v>5.2</v>
      </c>
      <c r="M161" s="210">
        <f ca="1"/>
        <v>250</v>
      </c>
      <c r="N161" s="210">
        <f ca="1"/>
        <v>1</v>
      </c>
      <c r="O161" t="str">
        <f ca="1"/>
        <v>DAY</v>
      </c>
      <c r="P161" s="211">
        <f ca="1"/>
        <v>0.98039215686274506</v>
      </c>
      <c r="Q161">
        <f ca="1"/>
        <v>255.2</v>
      </c>
      <c r="R161">
        <f ca="1"/>
        <v>-0.19999999999998863</v>
      </c>
    </row>
    <row r="162" spans="2:18">
      <c r="B162" t="str">
        <f ca="1"/>
        <v>C39 MARCH</v>
      </c>
      <c r="C162" s="209">
        <f ca="1"/>
        <v>46094</v>
      </c>
      <c r="D162" t="str">
        <f ca="1"/>
        <v>Pulveriser</v>
      </c>
      <c r="E162" t="str">
        <f ca="1"/>
        <v>C39</v>
      </c>
      <c r="F162" t="str">
        <f ca="1"/>
        <v>Besan</v>
      </c>
      <c r="G162" s="210">
        <f ca="1"/>
        <v>700</v>
      </c>
      <c r="H162" s="210">
        <f ca="1"/>
        <v>0</v>
      </c>
      <c r="I162" s="210">
        <f ca="1"/>
        <v>0</v>
      </c>
      <c r="J162" s="210">
        <f ca="1"/>
        <v>3.5</v>
      </c>
      <c r="K162" s="210">
        <f ca="1"/>
        <v>0</v>
      </c>
      <c r="L162" s="210">
        <f ca="1"/>
        <v>3.5</v>
      </c>
      <c r="M162" s="210">
        <f ca="1"/>
        <v>646</v>
      </c>
      <c r="N162" s="210">
        <f ca="1"/>
        <v>1</v>
      </c>
      <c r="O162" t="str">
        <f ca="1"/>
        <v>DAY</v>
      </c>
      <c r="P162" s="211">
        <f ca="1"/>
        <v>0.92</v>
      </c>
      <c r="Q162">
        <f ca="1"/>
        <v>649.5</v>
      </c>
      <c r="R162">
        <f ca="1"/>
        <v>50.5</v>
      </c>
    </row>
    <row r="163" spans="2:18">
      <c r="B163" t="str">
        <f ca="1"/>
        <v>C39 MARCH</v>
      </c>
      <c r="C163" s="209">
        <f ca="1"/>
        <v>46094</v>
      </c>
      <c r="D163" t="str">
        <f ca="1"/>
        <v>1,3&amp;4</v>
      </c>
      <c r="E163" t="str">
        <f ca="1"/>
        <v>C39</v>
      </c>
      <c r="F163" t="str">
        <f ca="1"/>
        <v>khapli</v>
      </c>
      <c r="G163" s="210">
        <f ca="1"/>
        <v>4150</v>
      </c>
      <c r="H163" s="210">
        <f ca="1"/>
        <v>42</v>
      </c>
      <c r="I163" s="210">
        <f ca="1"/>
        <v>56</v>
      </c>
      <c r="J163" s="210">
        <f ca="1"/>
        <v>12</v>
      </c>
      <c r="K163" s="210">
        <f ca="1"/>
        <v>120</v>
      </c>
      <c r="L163" s="210">
        <f ca="1"/>
        <v>230</v>
      </c>
      <c r="M163" s="210">
        <f ca="1"/>
        <v>3920</v>
      </c>
      <c r="N163" s="210">
        <f ca="1"/>
        <v>5</v>
      </c>
      <c r="O163" t="str">
        <f ca="1"/>
        <v>Day</v>
      </c>
      <c r="P163" s="211">
        <f ca="1"/>
        <v>0.944578313253012</v>
      </c>
      <c r="Q163">
        <f ca="1"/>
        <v>4150</v>
      </c>
      <c r="R163">
        <f ca="1"/>
        <v>0</v>
      </c>
    </row>
    <row r="164" spans="2:18">
      <c r="B164" t="str">
        <f ca="1"/>
        <v>C39 MARCH</v>
      </c>
      <c r="C164" s="209">
        <f ca="1"/>
        <v>46095</v>
      </c>
      <c r="D164" t="str">
        <f ca="1"/>
        <v>1,3&amp;4</v>
      </c>
      <c r="E164" t="str">
        <f ca="1"/>
        <v>C39</v>
      </c>
      <c r="F164" t="str">
        <f ca="1"/>
        <v>khapli</v>
      </c>
      <c r="G164" s="210">
        <f ca="1"/>
        <v>6600</v>
      </c>
      <c r="H164" s="210">
        <f ca="1"/>
        <v>43</v>
      </c>
      <c r="I164" s="210">
        <f ca="1"/>
        <v>89</v>
      </c>
      <c r="J164" s="210">
        <f ca="1"/>
        <v>16</v>
      </c>
      <c r="K164" s="210">
        <f ca="1"/>
        <v>196</v>
      </c>
      <c r="L164" s="210">
        <f ca="1"/>
        <v>344</v>
      </c>
      <c r="M164" s="210">
        <f ca="1"/>
        <v>6256</v>
      </c>
      <c r="N164" s="210">
        <f ca="1"/>
        <v>4</v>
      </c>
      <c r="O164" t="str">
        <f ca="1"/>
        <v>Day</v>
      </c>
      <c r="P164" s="211">
        <f ca="1"/>
        <v>0.94787878787878777</v>
      </c>
      <c r="Q164">
        <f ca="1"/>
        <v>6600</v>
      </c>
      <c r="R164">
        <f ca="1"/>
        <v>0</v>
      </c>
    </row>
    <row r="165" spans="2:18">
      <c r="B165" t="str">
        <f ca="1"/>
        <v>C39 MARCH</v>
      </c>
      <c r="C165" s="209">
        <f ca="1"/>
        <v>46096</v>
      </c>
      <c r="D165" t="str">
        <f ca="1"/>
        <v>1&amp;3&amp;4</v>
      </c>
      <c r="E165" t="str">
        <f ca="1"/>
        <v>C39</v>
      </c>
      <c r="F165" t="str">
        <f ca="1"/>
        <v>Khapli</v>
      </c>
      <c r="G165" s="210">
        <f ca="1"/>
        <v>6300</v>
      </c>
      <c r="H165" s="210">
        <f ca="1"/>
        <v>46</v>
      </c>
      <c r="I165" s="210">
        <f ca="1"/>
        <v>84</v>
      </c>
      <c r="J165" s="210">
        <f ca="1"/>
        <v>140</v>
      </c>
      <c r="K165" s="210">
        <f ca="1"/>
        <v>160</v>
      </c>
      <c r="L165" s="210">
        <f ca="1"/>
        <v>430</v>
      </c>
      <c r="M165" s="210">
        <f ca="1"/>
        <v>6000</v>
      </c>
      <c r="N165" s="210">
        <f ca="1"/>
        <v>4</v>
      </c>
      <c r="O165" t="str">
        <f ca="1"/>
        <v>DAY</v>
      </c>
      <c r="P165" s="211">
        <f ca="1"/>
        <v>0.95238095238095222</v>
      </c>
      <c r="Q165">
        <f ca="1"/>
        <v>6430</v>
      </c>
      <c r="R165">
        <f ca="1"/>
        <v>-130</v>
      </c>
    </row>
    <row r="166" spans="2:18">
      <c r="B166" t="str">
        <f ca="1"/>
        <v>C39 MARCH</v>
      </c>
      <c r="C166" s="209">
        <f ca="1"/>
        <v>46097</v>
      </c>
      <c r="D166" t="str">
        <f ca="1"/>
        <v>1&amp;3&amp;4</v>
      </c>
      <c r="E166" t="str">
        <f ca="1"/>
        <v>C39</v>
      </c>
      <c r="F166" t="str">
        <f ca="1"/>
        <v>khapli</v>
      </c>
      <c r="G166" s="210">
        <f ca="1"/>
        <v>4300</v>
      </c>
      <c r="H166" s="210">
        <f ca="1"/>
        <v>30</v>
      </c>
      <c r="I166" s="210">
        <f ca="1"/>
        <v>54</v>
      </c>
      <c r="J166" s="210">
        <f ca="1"/>
        <v>94</v>
      </c>
      <c r="K166" s="210">
        <f ca="1"/>
        <v>86</v>
      </c>
      <c r="L166" s="210">
        <f ca="1"/>
        <v>264</v>
      </c>
      <c r="M166" s="210">
        <f ca="1"/>
        <v>4120</v>
      </c>
      <c r="N166" s="210">
        <f ca="1"/>
        <v>4</v>
      </c>
      <c r="O166" t="str">
        <f ca="1"/>
        <v>DAY</v>
      </c>
      <c r="P166" s="211">
        <f ca="1"/>
        <v>0.95813953488372094</v>
      </c>
      <c r="Q166">
        <f ca="1"/>
        <v>4384</v>
      </c>
      <c r="R166">
        <f ca="1"/>
        <v>-84</v>
      </c>
    </row>
    <row r="167" spans="2:18">
      <c r="B167" t="str">
        <f ca="1"/>
        <v>C39 MARCH</v>
      </c>
      <c r="C167" s="209">
        <f ca="1"/>
        <v>46099</v>
      </c>
      <c r="D167" t="str">
        <f ca="1"/>
        <v>1,2,3&amp;4</v>
      </c>
      <c r="E167" t="str">
        <f ca="1"/>
        <v>C39</v>
      </c>
      <c r="F167" t="str">
        <f ca="1"/>
        <v>khapli</v>
      </c>
      <c r="G167" s="210">
        <f ca="1"/>
        <v>6400</v>
      </c>
      <c r="H167" s="210">
        <f ca="1"/>
        <v>32</v>
      </c>
      <c r="I167" s="210">
        <f ca="1"/>
        <v>58</v>
      </c>
      <c r="J167" s="210">
        <f ca="1"/>
        <v>16</v>
      </c>
      <c r="K167" s="210">
        <f ca="1"/>
        <v>94</v>
      </c>
      <c r="L167" s="210">
        <f ca="1"/>
        <v>200</v>
      </c>
      <c r="M167" s="210">
        <f ca="1"/>
        <v>6200</v>
      </c>
      <c r="N167" s="210">
        <f ca="1"/>
        <v>5</v>
      </c>
      <c r="O167" t="str">
        <f ca="1"/>
        <v>Day</v>
      </c>
      <c r="P167" s="211">
        <f ca="1"/>
        <v>0.96875</v>
      </c>
      <c r="Q167">
        <f ca="1"/>
        <v>6400</v>
      </c>
      <c r="R167">
        <f ca="1"/>
        <v>0</v>
      </c>
    </row>
    <row r="168" spans="2:18">
      <c r="B168" t="str">
        <f ca="1"/>
        <v>C39 MARCH</v>
      </c>
      <c r="C168" s="209">
        <f ca="1"/>
        <v>46101</v>
      </c>
      <c r="D168" t="str">
        <f ca="1"/>
        <v>1,2,3&amp;4</v>
      </c>
      <c r="E168" t="str">
        <f ca="1"/>
        <v>C39</v>
      </c>
      <c r="F168" t="str">
        <f ca="1"/>
        <v>multigrain</v>
      </c>
      <c r="G168" s="210">
        <f ca="1"/>
        <v>5500</v>
      </c>
      <c r="H168" s="210">
        <f ca="1"/>
        <v>4</v>
      </c>
      <c r="I168" s="210">
        <f ca="1"/>
        <v>110</v>
      </c>
      <c r="J168" s="210">
        <f ca="1"/>
        <v>15</v>
      </c>
      <c r="K168" s="210">
        <f ca="1"/>
        <v>179</v>
      </c>
      <c r="L168" s="210">
        <f ca="1"/>
        <v>308</v>
      </c>
      <c r="M168" s="210">
        <f ca="1"/>
        <v>5200</v>
      </c>
      <c r="N168" s="210">
        <f ca="1"/>
        <v>5</v>
      </c>
      <c r="O168" t="str">
        <f ca="1"/>
        <v>Day</v>
      </c>
      <c r="P168" s="211">
        <f ca="1"/>
        <v>0.94545454545454544</v>
      </c>
      <c r="Q168">
        <f ca="1"/>
        <v>5508</v>
      </c>
      <c r="R168">
        <f ca="1"/>
        <v>-8</v>
      </c>
    </row>
    <row r="169" spans="2:18">
      <c r="B169" t="str">
        <f ca="1"/>
        <v>C39 MARCH</v>
      </c>
      <c r="C169" s="209">
        <f ca="1"/>
        <v>46102</v>
      </c>
      <c r="D169" t="str">
        <f ca="1"/>
        <v>1,2,3&amp;4</v>
      </c>
      <c r="E169" t="str">
        <f ca="1"/>
        <v>C39</v>
      </c>
      <c r="F169" t="str">
        <f ca="1"/>
        <v>multigrain</v>
      </c>
      <c r="G169" s="210">
        <f ca="1"/>
        <v>6500</v>
      </c>
      <c r="H169" s="210">
        <f ca="1"/>
        <v>6</v>
      </c>
      <c r="I169" s="210">
        <f ca="1"/>
        <v>127</v>
      </c>
      <c r="J169" s="210">
        <f ca="1"/>
        <v>15</v>
      </c>
      <c r="K169" s="210">
        <f ca="1"/>
        <v>192</v>
      </c>
      <c r="L169" s="210">
        <f ca="1"/>
        <v>340</v>
      </c>
      <c r="M169" s="210">
        <f ca="1"/>
        <v>6160</v>
      </c>
      <c r="N169" s="210">
        <f ca="1"/>
        <v>5</v>
      </c>
      <c r="O169" t="str">
        <f ca="1"/>
        <v>Day</v>
      </c>
      <c r="P169" s="211">
        <f ca="1"/>
        <v>0.94769230769230772</v>
      </c>
      <c r="Q169">
        <f ca="1"/>
        <v>6500</v>
      </c>
      <c r="R169">
        <f ca="1"/>
        <v>0</v>
      </c>
    </row>
    <row r="170" spans="2:18">
      <c r="B170" t="str">
        <f ca="1"/>
        <v>C39 MARCH</v>
      </c>
      <c r="C170" s="209">
        <f ca="1"/>
        <v>46103</v>
      </c>
      <c r="D170" t="str">
        <f ca="1"/>
        <v>1,2,3&amp;4</v>
      </c>
      <c r="E170" t="str">
        <f ca="1"/>
        <v>C39</v>
      </c>
      <c r="F170" t="str">
        <f ca="1"/>
        <v>multigrain</v>
      </c>
      <c r="G170" s="210">
        <f ca="1"/>
        <v>3600</v>
      </c>
      <c r="H170" s="210">
        <f ca="1"/>
        <v>4.5</v>
      </c>
      <c r="I170" s="210">
        <f ca="1"/>
        <v>67</v>
      </c>
      <c r="J170" s="210">
        <f ca="1"/>
        <v>9</v>
      </c>
      <c r="K170" s="210">
        <f ca="1"/>
        <v>159.5</v>
      </c>
      <c r="L170" s="210">
        <f ca="1"/>
        <v>240</v>
      </c>
      <c r="M170" s="210">
        <f ca="1"/>
        <v>3360</v>
      </c>
      <c r="N170" s="210">
        <f ca="1"/>
        <v>4</v>
      </c>
      <c r="O170" t="str">
        <f ca="1"/>
        <v>day</v>
      </c>
      <c r="P170" s="211">
        <f ca="1"/>
        <v>0.93330000000000002</v>
      </c>
      <c r="Q170">
        <f ca="1"/>
        <v>3600</v>
      </c>
      <c r="R170">
        <f ca="1"/>
        <v>0</v>
      </c>
    </row>
    <row r="171" spans="2:18">
      <c r="B171" t="str">
        <f ca="1"/>
        <v>C39 MARCH</v>
      </c>
      <c r="C171" s="209">
        <f ca="1"/>
        <v>46105</v>
      </c>
      <c r="D171" t="str">
        <f ca="1"/>
        <v>1,2,3&amp;4</v>
      </c>
      <c r="E171" t="str">
        <f ca="1"/>
        <v>C39</v>
      </c>
      <c r="F171" t="str">
        <f ca="1"/>
        <v>multigrain</v>
      </c>
      <c r="G171" s="210">
        <f ca="1"/>
        <v>5900</v>
      </c>
      <c r="H171" s="210">
        <f ca="1"/>
        <v>6</v>
      </c>
      <c r="I171" s="210">
        <f ca="1"/>
        <v>135</v>
      </c>
      <c r="J171" s="210">
        <f ca="1"/>
        <v>15</v>
      </c>
      <c r="K171" s="210">
        <f ca="1"/>
        <v>144</v>
      </c>
      <c r="L171" s="210">
        <f ca="1"/>
        <v>300</v>
      </c>
      <c r="M171" s="210">
        <f ca="1"/>
        <v>5600</v>
      </c>
      <c r="N171" s="210">
        <f ca="1"/>
        <v>4</v>
      </c>
      <c r="O171" t="str">
        <f ca="1"/>
        <v>day</v>
      </c>
      <c r="P171" s="211">
        <f ca="1"/>
        <v>0.94915254237288138</v>
      </c>
      <c r="Q171">
        <f ca="1"/>
        <v>5900</v>
      </c>
      <c r="R171">
        <f ca="1"/>
        <v>0</v>
      </c>
    </row>
    <row r="172" spans="2:18">
      <c r="B172" t="str">
        <f ca="1"/>
        <v>C39 MARCH</v>
      </c>
      <c r="C172" s="209">
        <f ca="1"/>
        <v>46106</v>
      </c>
      <c r="D172" t="str">
        <f ca="1"/>
        <v>1,2,3&amp;4</v>
      </c>
      <c r="E172" t="str">
        <f ca="1"/>
        <v>C39</v>
      </c>
      <c r="F172" t="str">
        <f ca="1"/>
        <v>multigrain</v>
      </c>
      <c r="G172" s="210">
        <f ca="1"/>
        <v>5700</v>
      </c>
      <c r="H172" s="210">
        <f ca="1"/>
        <v>7</v>
      </c>
      <c r="I172" s="210">
        <f ca="1"/>
        <v>156</v>
      </c>
      <c r="J172" s="210">
        <f ca="1"/>
        <v>15</v>
      </c>
      <c r="K172" s="210">
        <f ca="1"/>
        <v>162</v>
      </c>
      <c r="L172" s="210">
        <f ca="1"/>
        <v>340</v>
      </c>
      <c r="M172" s="210">
        <f ca="1"/>
        <v>5360</v>
      </c>
      <c r="N172" s="210">
        <f ca="1"/>
        <v>4</v>
      </c>
      <c r="O172" t="str">
        <f ca="1"/>
        <v>day</v>
      </c>
      <c r="P172" s="211">
        <f ca="1"/>
        <v>0.94035087719298249</v>
      </c>
      <c r="Q172">
        <f ca="1"/>
        <v>5700</v>
      </c>
      <c r="R172">
        <f ca="1"/>
        <v>0</v>
      </c>
    </row>
    <row r="173" spans="2:18">
      <c r="B173" t="str">
        <f ca="1"/>
        <v>C39 MARCH</v>
      </c>
      <c r="C173" s="209">
        <f ca="1"/>
        <v>46108</v>
      </c>
      <c r="D173" t="str">
        <f ca="1"/>
        <v>1,2,3&amp;4</v>
      </c>
      <c r="E173" t="str">
        <f ca="1"/>
        <v>C39</v>
      </c>
      <c r="F173" t="str">
        <f ca="1"/>
        <v>multigrain</v>
      </c>
      <c r="G173" s="210">
        <f ca="1"/>
        <v>4850</v>
      </c>
      <c r="H173" s="210">
        <f ca="1"/>
        <v>6</v>
      </c>
      <c r="I173" s="210">
        <f ca="1"/>
        <v>104</v>
      </c>
      <c r="J173" s="210">
        <f ca="1"/>
        <v>12</v>
      </c>
      <c r="K173" s="210">
        <f ca="1"/>
        <v>128</v>
      </c>
      <c r="L173" s="210">
        <f ca="1"/>
        <v>250</v>
      </c>
      <c r="M173" s="210">
        <f ca="1"/>
        <v>4600</v>
      </c>
      <c r="N173" s="210">
        <f ca="1"/>
        <v>4</v>
      </c>
      <c r="O173" t="str">
        <f ca="1"/>
        <v>day</v>
      </c>
      <c r="P173" s="211">
        <f ca="1"/>
        <v>0.94845360824742253</v>
      </c>
      <c r="Q173">
        <f ca="1"/>
        <v>4850</v>
      </c>
      <c r="R173">
        <f ca="1"/>
        <v>0</v>
      </c>
    </row>
    <row r="174" spans="2:18">
      <c r="B174" t="str">
        <f ca="1"/>
        <v>C39 MARCH</v>
      </c>
      <c r="C174" s="209">
        <f ca="1"/>
        <v>46109</v>
      </c>
      <c r="D174" t="str">
        <f ca="1"/>
        <v>1,2,3&amp;4</v>
      </c>
      <c r="E174" t="str">
        <f ca="1"/>
        <v>C39</v>
      </c>
      <c r="F174" t="str">
        <f ca="1"/>
        <v>multigrain</v>
      </c>
      <c r="G174" s="210">
        <f ca="1"/>
        <v>4500</v>
      </c>
      <c r="H174" s="210">
        <f ca="1"/>
        <v>4</v>
      </c>
      <c r="I174" s="210">
        <f ca="1"/>
        <v>112</v>
      </c>
      <c r="J174" s="210">
        <f ca="1"/>
        <v>16</v>
      </c>
      <c r="K174" s="210">
        <f ca="1"/>
        <v>168</v>
      </c>
      <c r="L174" s="210">
        <f ca="1"/>
        <v>300</v>
      </c>
      <c r="M174" s="210">
        <f ca="1"/>
        <v>4200</v>
      </c>
      <c r="N174" s="210">
        <f ca="1"/>
        <v>4</v>
      </c>
      <c r="O174">
        <f ca="1"/>
        <v>0</v>
      </c>
      <c r="P174" s="211">
        <f ca="1"/>
        <v>0.93333333333333324</v>
      </c>
      <c r="Q174">
        <f ca="1"/>
        <v>4500</v>
      </c>
      <c r="R174">
        <f ca="1"/>
        <v>0</v>
      </c>
    </row>
    <row r="175" spans="2:18">
      <c r="B175" t="str">
        <f ca="1"/>
        <v>C39 MARCH</v>
      </c>
      <c r="C175" s="209">
        <f ca="1"/>
        <v>46110</v>
      </c>
      <c r="D175" t="str">
        <f ca="1"/>
        <v>1,2,3&amp;4</v>
      </c>
      <c r="E175" t="str">
        <f ca="1"/>
        <v>c39</v>
      </c>
      <c r="F175" t="str">
        <f ca="1"/>
        <v>multigrain</v>
      </c>
      <c r="G175" s="210">
        <f ca="1"/>
        <v>2050</v>
      </c>
      <c r="H175" s="210">
        <f ca="1"/>
        <v>4</v>
      </c>
      <c r="I175" s="210">
        <f ca="1"/>
        <v>45</v>
      </c>
      <c r="J175" s="210">
        <f ca="1"/>
        <v>11</v>
      </c>
      <c r="K175" s="210">
        <f ca="1"/>
        <v>72</v>
      </c>
      <c r="L175" s="210">
        <f ca="1"/>
        <v>132</v>
      </c>
      <c r="M175" s="210">
        <f ca="1"/>
        <v>1920</v>
      </c>
      <c r="N175" s="210">
        <f ca="1"/>
        <v>4</v>
      </c>
      <c r="O175" t="str">
        <f ca="1"/>
        <v>Day</v>
      </c>
      <c r="P175" s="211">
        <f ca="1"/>
        <v>0.9365853658536587</v>
      </c>
      <c r="Q175">
        <f ca="1"/>
        <v>2052</v>
      </c>
      <c r="R175">
        <f ca="1"/>
        <v>-2</v>
      </c>
    </row>
    <row r="176" spans="2:18">
      <c r="B176" t="str">
        <f ca="1"/>
        <v>C39 MARCH</v>
      </c>
      <c r="C176" s="209">
        <f ca="1"/>
        <v>46111</v>
      </c>
      <c r="D176" t="str">
        <f ca="1"/>
        <v>1,2,3&amp;4</v>
      </c>
      <c r="E176" t="str">
        <f ca="1"/>
        <v>c39</v>
      </c>
      <c r="F176" t="str">
        <f ca="1"/>
        <v>multigrain</v>
      </c>
      <c r="G176" s="210">
        <f ca="1"/>
        <v>4260</v>
      </c>
      <c r="H176" s="210">
        <f ca="1"/>
        <v>7</v>
      </c>
      <c r="I176" s="210">
        <f ca="1"/>
        <v>90</v>
      </c>
      <c r="J176" s="210">
        <f ca="1"/>
        <v>10</v>
      </c>
      <c r="K176" s="210">
        <f ca="1"/>
        <v>153</v>
      </c>
      <c r="L176" s="210">
        <f ca="1"/>
        <v>260</v>
      </c>
      <c r="M176" s="210">
        <f ca="1"/>
        <v>4000</v>
      </c>
      <c r="N176" s="210">
        <f ca="1"/>
        <v>4</v>
      </c>
      <c r="O176" t="str">
        <f ca="1"/>
        <v>DAY</v>
      </c>
      <c r="P176" s="211">
        <f ca="1"/>
        <v>0.93896713615023475</v>
      </c>
      <c r="Q176">
        <f ca="1"/>
        <v>4260</v>
      </c>
      <c r="R176">
        <f ca="1"/>
        <v>0</v>
      </c>
    </row>
    <row r="177" spans="2:18">
      <c r="B177" t="str">
        <f ca="1"/>
        <v>C39 MARCH</v>
      </c>
      <c r="C177" s="209">
        <f ca="1"/>
        <v>46112</v>
      </c>
      <c r="D177" t="str">
        <f ca="1"/>
        <v>1,2,3&amp;4</v>
      </c>
      <c r="E177" t="str">
        <f ca="1"/>
        <v>c39</v>
      </c>
      <c r="F177" t="str">
        <f ca="1"/>
        <v>multigrain</v>
      </c>
      <c r="G177" s="210">
        <f ca="1"/>
        <v>8000</v>
      </c>
      <c r="H177" s="210">
        <f ca="1"/>
        <v>8</v>
      </c>
      <c r="I177" s="210">
        <f ca="1"/>
        <v>470</v>
      </c>
      <c r="J177" s="210">
        <f ca="1"/>
        <v>16</v>
      </c>
      <c r="K177" s="210">
        <f ca="1"/>
        <v>226</v>
      </c>
      <c r="L177" s="210">
        <f ca="1"/>
        <v>720</v>
      </c>
      <c r="M177" s="210">
        <f ca="1"/>
        <v>7280</v>
      </c>
      <c r="N177" s="210">
        <f ca="1"/>
        <v>5</v>
      </c>
      <c r="O177" t="str">
        <f ca="1"/>
        <v>DAY</v>
      </c>
      <c r="P177" s="211">
        <f ca="1"/>
        <v>0.91</v>
      </c>
      <c r="Q177">
        <f ca="1"/>
        <v>8000</v>
      </c>
      <c r="R177">
        <f ca="1"/>
        <v>0</v>
      </c>
    </row>
    <row r="178" spans="2:18">
      <c r="B178" t="str">
        <f ca="1"/>
        <v>C6 APRIL</v>
      </c>
      <c r="C178" s="209">
        <f ca="1"/>
        <v>46113</v>
      </c>
      <c r="D178" t="str">
        <f ca="1"/>
        <v>Chakki1,2,3</v>
      </c>
      <c r="E178" t="str">
        <f ca="1"/>
        <v>C6</v>
      </c>
      <c r="F178" t="str">
        <f ca="1"/>
        <v>Khapli wheat</v>
      </c>
      <c r="G178" s="210">
        <f ca="1"/>
        <v>1000</v>
      </c>
      <c r="H178" s="210">
        <f ca="1"/>
        <v>6</v>
      </c>
      <c r="I178" s="210">
        <f ca="1"/>
        <v>1</v>
      </c>
      <c r="J178" s="210">
        <f ca="1"/>
        <v>1</v>
      </c>
      <c r="K178" s="210">
        <f ca="1"/>
        <v>42</v>
      </c>
      <c r="L178" s="210">
        <f ca="1"/>
        <v>50</v>
      </c>
      <c r="M178" s="210">
        <f ca="1"/>
        <v>950</v>
      </c>
      <c r="N178" s="210">
        <f ca="1"/>
        <v>3</v>
      </c>
      <c r="O178" t="str">
        <f ca="1"/>
        <v>Night</v>
      </c>
      <c r="P178" s="211">
        <f ca="1"/>
        <v>0.95</v>
      </c>
      <c r="Q178">
        <f ca="1"/>
        <v>1000</v>
      </c>
      <c r="R178">
        <f ca="1"/>
        <v>0</v>
      </c>
    </row>
    <row r="179" spans="2:18">
      <c r="B179" t="str">
        <f ca="1"/>
        <v>C6 APRIL</v>
      </c>
      <c r="C179" s="209">
        <f ca="1"/>
        <v>46114</v>
      </c>
      <c r="D179" t="str">
        <f ca="1"/>
        <v>Chakki1,2,3</v>
      </c>
      <c r="E179" t="str">
        <f ca="1"/>
        <v>C6</v>
      </c>
      <c r="F179" t="str">
        <f ca="1"/>
        <v>Khapli wheat</v>
      </c>
      <c r="G179" s="210">
        <f ca="1"/>
        <v>1050</v>
      </c>
      <c r="H179" s="210">
        <f ca="1"/>
        <v>0</v>
      </c>
      <c r="I179" s="210">
        <f ca="1"/>
        <v>6</v>
      </c>
      <c r="J179" s="210">
        <f ca="1"/>
        <v>1</v>
      </c>
      <c r="K179" s="210">
        <f ca="1"/>
        <v>66</v>
      </c>
      <c r="L179" s="210">
        <f ca="1"/>
        <v>73</v>
      </c>
      <c r="M179" s="210">
        <f ca="1"/>
        <v>977</v>
      </c>
      <c r="N179" s="210">
        <f ca="1"/>
        <v>3</v>
      </c>
      <c r="O179" t="str">
        <f ca="1"/>
        <v>Night</v>
      </c>
      <c r="P179" s="211">
        <f ca="1"/>
        <v>0.93047619047619046</v>
      </c>
      <c r="Q179">
        <f ca="1"/>
        <v>1050</v>
      </c>
      <c r="R179">
        <f ca="1"/>
        <v>0</v>
      </c>
    </row>
    <row r="180" spans="2:18">
      <c r="B180" t="str">
        <f ca="1"/>
        <v>C6 APRIL</v>
      </c>
      <c r="C180" s="209">
        <f ca="1"/>
        <v>46118</v>
      </c>
      <c r="D180" t="str">
        <f ca="1"/>
        <v>Chakki1,2,3</v>
      </c>
      <c r="E180" t="str">
        <f ca="1"/>
        <v>C6</v>
      </c>
      <c r="F180" t="str">
        <f ca="1"/>
        <v>Khapli wheat</v>
      </c>
      <c r="G180" s="210">
        <f ca="1"/>
        <v>1150</v>
      </c>
      <c r="H180" s="210">
        <f ca="1"/>
        <v>7</v>
      </c>
      <c r="I180" s="210">
        <f ca="1"/>
        <v>26</v>
      </c>
      <c r="J180" s="210">
        <f ca="1"/>
        <v>1.5</v>
      </c>
      <c r="K180" s="210">
        <f ca="1"/>
        <v>80.5</v>
      </c>
      <c r="L180" s="210">
        <f ca="1"/>
        <v>115</v>
      </c>
      <c r="M180" s="210">
        <f ca="1"/>
        <v>1035</v>
      </c>
      <c r="N180" s="210">
        <f ca="1"/>
        <v>4</v>
      </c>
      <c r="O180" t="str">
        <f ca="1"/>
        <v>Night</v>
      </c>
      <c r="P180" s="211">
        <f ca="1"/>
        <v>0.9</v>
      </c>
      <c r="Q180">
        <f ca="1"/>
        <v>1150</v>
      </c>
      <c r="R180">
        <f ca="1"/>
        <v>0</v>
      </c>
    </row>
    <row r="181" spans="2:18">
      <c r="B181" t="str">
        <f ca="1"/>
        <v>C6 APRIL</v>
      </c>
      <c r="C181" s="209">
        <f ca="1"/>
        <v>46116</v>
      </c>
      <c r="D181" t="str">
        <f ca="1"/>
        <v>Chakki 1</v>
      </c>
      <c r="E181" t="str">
        <f ca="1"/>
        <v>C6</v>
      </c>
      <c r="F181" t="str">
        <f ca="1"/>
        <v>Khapli wheat</v>
      </c>
      <c r="G181" s="210">
        <f ca="1"/>
        <v>720</v>
      </c>
      <c r="H181" s="210">
        <f ca="1"/>
        <v>3</v>
      </c>
      <c r="I181" s="210">
        <f ca="1"/>
        <v>10</v>
      </c>
      <c r="J181" s="210">
        <f ca="1"/>
        <v>1</v>
      </c>
      <c r="K181" s="210">
        <f ca="1"/>
        <v>45</v>
      </c>
      <c r="L181" s="210">
        <f ca="1"/>
        <v>59</v>
      </c>
      <c r="M181" s="210">
        <f ca="1"/>
        <v>661</v>
      </c>
      <c r="N181" s="210">
        <f ca="1"/>
        <v>3</v>
      </c>
      <c r="O181" t="str">
        <f ca="1"/>
        <v>Day</v>
      </c>
      <c r="P181" s="211">
        <f ca="1"/>
        <v>0.91805555555555562</v>
      </c>
      <c r="Q181">
        <f ca="1"/>
        <v>720</v>
      </c>
      <c r="R181">
        <f ca="1"/>
        <v>0</v>
      </c>
    </row>
    <row r="182" spans="2:18">
      <c r="B182" t="str">
        <f ca="1"/>
        <v>C6 APRIL</v>
      </c>
      <c r="C182" s="209">
        <f ca="1"/>
        <v>46119</v>
      </c>
      <c r="D182" t="str">
        <f ca="1"/>
        <v>Chakki1,2,3</v>
      </c>
      <c r="E182" t="str">
        <f ca="1"/>
        <v>C6</v>
      </c>
      <c r="F182" t="str">
        <f ca="1"/>
        <v>Khapli wheat</v>
      </c>
      <c r="G182" s="210">
        <f ca="1"/>
        <v>720</v>
      </c>
      <c r="H182" s="210">
        <f ca="1"/>
        <v>1</v>
      </c>
      <c r="I182" s="210">
        <f ca="1"/>
        <v>10</v>
      </c>
      <c r="J182" s="210">
        <f ca="1"/>
        <v>1</v>
      </c>
      <c r="K182" s="210">
        <f ca="1"/>
        <v>28</v>
      </c>
      <c r="L182" s="210">
        <f ca="1"/>
        <v>40</v>
      </c>
      <c r="M182" s="210">
        <f ca="1"/>
        <v>680</v>
      </c>
      <c r="N182" s="210">
        <f ca="1"/>
        <v>2</v>
      </c>
      <c r="O182" t="str">
        <f ca="1"/>
        <v>Day</v>
      </c>
      <c r="P182" s="211">
        <f ca="1"/>
        <v>0.94444444444444442</v>
      </c>
      <c r="Q182">
        <f ca="1"/>
        <v>720</v>
      </c>
      <c r="R182">
        <f ca="1"/>
        <v>0</v>
      </c>
    </row>
    <row r="183" spans="2:18">
      <c r="B183" t="str">
        <f ca="1"/>
        <v>C6 APRIL</v>
      </c>
      <c r="C183" s="209">
        <f ca="1"/>
        <v>46120</v>
      </c>
      <c r="D183" t="str">
        <f ca="1"/>
        <v>Chakki1,2,3</v>
      </c>
      <c r="E183" t="str">
        <f ca="1"/>
        <v>C6</v>
      </c>
      <c r="F183" t="str">
        <f ca="1"/>
        <v>Khapli wheat</v>
      </c>
      <c r="G183" s="210">
        <f ca="1"/>
        <v>850</v>
      </c>
      <c r="H183" s="210">
        <f ca="1"/>
        <v>2.5</v>
      </c>
      <c r="I183" s="210">
        <f ca="1"/>
        <v>15</v>
      </c>
      <c r="J183" s="210">
        <f ca="1"/>
        <v>2</v>
      </c>
      <c r="K183" s="210">
        <f ca="1"/>
        <v>40.5</v>
      </c>
      <c r="L183" s="210">
        <f ca="1"/>
        <v>60</v>
      </c>
      <c r="M183" s="210">
        <f ca="1"/>
        <v>790</v>
      </c>
      <c r="N183" s="210">
        <f ca="1"/>
        <v>3</v>
      </c>
      <c r="O183" t="str">
        <f ca="1"/>
        <v>Night</v>
      </c>
      <c r="P183" s="211">
        <f ca="1"/>
        <v>0.92941176470588227</v>
      </c>
      <c r="Q183">
        <f ca="1"/>
        <v>850</v>
      </c>
      <c r="R183">
        <f ca="1"/>
        <v>0</v>
      </c>
    </row>
    <row r="184" spans="2:18">
      <c r="B184" t="str">
        <f ca="1"/>
        <v>C6 APRIL</v>
      </c>
      <c r="C184" s="209">
        <f ca="1"/>
        <v>46120</v>
      </c>
      <c r="D184" t="str">
        <f ca="1"/>
        <v>Chakki1,2,3</v>
      </c>
      <c r="E184" t="str">
        <f ca="1"/>
        <v>C6</v>
      </c>
      <c r="F184" t="str">
        <f ca="1"/>
        <v>Khapli wheat</v>
      </c>
      <c r="G184" s="210">
        <f ca="1"/>
        <v>1200</v>
      </c>
      <c r="H184" s="210">
        <f ca="1"/>
        <v>3</v>
      </c>
      <c r="I184" s="210">
        <f ca="1"/>
        <v>30</v>
      </c>
      <c r="J184" s="210">
        <f ca="1"/>
        <v>2</v>
      </c>
      <c r="K184" s="210">
        <f ca="1"/>
        <v>65</v>
      </c>
      <c r="L184" s="210">
        <f ca="1"/>
        <v>100</v>
      </c>
      <c r="M184" s="210">
        <f ca="1"/>
        <v>1100</v>
      </c>
      <c r="N184" s="210">
        <f ca="1"/>
        <v>3</v>
      </c>
      <c r="O184" t="str">
        <f ca="1"/>
        <v>Day</v>
      </c>
      <c r="P184" s="211">
        <f ca="1"/>
        <v>0.91666666666666652</v>
      </c>
      <c r="Q184">
        <f ca="1"/>
        <v>1200</v>
      </c>
      <c r="R184">
        <f ca="1"/>
        <v>0</v>
      </c>
    </row>
    <row r="185" spans="2:18">
      <c r="B185" t="str">
        <f ca="1"/>
        <v>C6 APRIL</v>
      </c>
      <c r="C185" s="209">
        <f ca="1"/>
        <v>46121</v>
      </c>
      <c r="D185" t="str">
        <f ca="1"/>
        <v>Chakki1,2,3</v>
      </c>
      <c r="E185" t="str">
        <f ca="1"/>
        <v>C6</v>
      </c>
      <c r="F185" t="str">
        <f ca="1"/>
        <v>Khapli wheat</v>
      </c>
      <c r="G185" s="210">
        <f ca="1"/>
        <v>900</v>
      </c>
      <c r="H185" s="210">
        <f ca="1"/>
        <v>2.5</v>
      </c>
      <c r="I185" s="210">
        <f ca="1"/>
        <v>16</v>
      </c>
      <c r="J185" s="210">
        <f ca="1"/>
        <v>2</v>
      </c>
      <c r="K185" s="210">
        <f ca="1"/>
        <v>56.5</v>
      </c>
      <c r="L185" s="210">
        <f ca="1"/>
        <v>77</v>
      </c>
      <c r="M185" s="210">
        <f ca="1"/>
        <v>823</v>
      </c>
      <c r="N185" s="210">
        <f ca="1"/>
        <v>3</v>
      </c>
      <c r="O185" t="str">
        <f ca="1"/>
        <v>Day</v>
      </c>
      <c r="P185" s="211">
        <f ca="1"/>
        <v>0.91444444444444439</v>
      </c>
      <c r="Q185">
        <f ca="1"/>
        <v>900</v>
      </c>
      <c r="R185">
        <f ca="1"/>
        <v>0</v>
      </c>
    </row>
    <row r="186" spans="2:18">
      <c r="B186" t="str">
        <f ca="1"/>
        <v>C6 APRIL</v>
      </c>
      <c r="C186" s="209">
        <f ca="1"/>
        <v>46121</v>
      </c>
      <c r="D186" t="str">
        <f ca="1"/>
        <v>Chakki1,2,3</v>
      </c>
      <c r="E186" t="str">
        <f ca="1"/>
        <v>C6</v>
      </c>
      <c r="F186" t="str">
        <f ca="1"/>
        <v xml:space="preserve">Bajra </v>
      </c>
      <c r="G186" s="210">
        <f ca="1"/>
        <v>720</v>
      </c>
      <c r="H186" s="210">
        <f ca="1"/>
        <v>2</v>
      </c>
      <c r="I186" s="210">
        <f ca="1"/>
        <v>5</v>
      </c>
      <c r="J186" s="210">
        <f ca="1"/>
        <v>1</v>
      </c>
      <c r="K186" s="210">
        <f ca="1"/>
        <v>62</v>
      </c>
      <c r="L186" s="210">
        <f ca="1"/>
        <v>70</v>
      </c>
      <c r="M186" s="210">
        <f ca="1"/>
        <v>650</v>
      </c>
      <c r="N186" s="210">
        <f ca="1"/>
        <v>3</v>
      </c>
      <c r="O186" t="str">
        <f ca="1"/>
        <v>Night</v>
      </c>
      <c r="P186" s="211">
        <f ca="1"/>
        <v>0.9027777777777779</v>
      </c>
      <c r="Q186">
        <f ca="1"/>
        <v>720</v>
      </c>
      <c r="R186">
        <f ca="1"/>
        <v>0</v>
      </c>
    </row>
    <row r="187" spans="2:18">
      <c r="B187" t="str">
        <f ca="1"/>
        <v>C6 APRIL</v>
      </c>
      <c r="C187" s="209">
        <f ca="1"/>
        <v>46122</v>
      </c>
      <c r="D187" t="str">
        <f ca="1"/>
        <v>Chakki1,2,3</v>
      </c>
      <c r="E187" t="str">
        <f ca="1"/>
        <v>C6</v>
      </c>
      <c r="F187" t="str">
        <f ca="1"/>
        <v xml:space="preserve">Bajra </v>
      </c>
      <c r="G187" s="210">
        <f ca="1"/>
        <v>1500</v>
      </c>
      <c r="H187" s="210">
        <f ca="1"/>
        <v>4.5</v>
      </c>
      <c r="I187" s="210">
        <f ca="1"/>
        <v>15</v>
      </c>
      <c r="J187" s="210">
        <f ca="1"/>
        <v>2</v>
      </c>
      <c r="K187" s="210">
        <f ca="1"/>
        <v>108.5</v>
      </c>
      <c r="L187" s="210">
        <f ca="1"/>
        <v>130</v>
      </c>
      <c r="M187" s="210">
        <f ca="1"/>
        <v>1370</v>
      </c>
      <c r="N187" s="210">
        <f ca="1"/>
        <v>3</v>
      </c>
      <c r="O187" t="str">
        <f ca="1"/>
        <v>Night</v>
      </c>
      <c r="P187" s="211">
        <f ca="1"/>
        <v>0.91333333333333333</v>
      </c>
      <c r="Q187">
        <f ca="1"/>
        <v>1500</v>
      </c>
      <c r="R187">
        <f ca="1"/>
        <v>0</v>
      </c>
    </row>
    <row r="188" spans="2:18">
      <c r="B188" t="str">
        <f ca="1"/>
        <v>C6 APRIL</v>
      </c>
      <c r="C188" s="209">
        <f ca="1"/>
        <v>46123</v>
      </c>
      <c r="D188" t="str">
        <f ca="1"/>
        <v>Chakki1,2,3</v>
      </c>
      <c r="E188" t="str">
        <f ca="1"/>
        <v>C6</v>
      </c>
      <c r="F188" t="str">
        <f ca="1"/>
        <v xml:space="preserve">Bajra </v>
      </c>
      <c r="G188" s="210">
        <f ca="1"/>
        <v>1200</v>
      </c>
      <c r="H188" s="210">
        <f ca="1"/>
        <v>4</v>
      </c>
      <c r="I188" s="210">
        <f ca="1"/>
        <v>29</v>
      </c>
      <c r="J188" s="210">
        <f ca="1"/>
        <v>2</v>
      </c>
      <c r="K188" s="210">
        <f ca="1"/>
        <v>69</v>
      </c>
      <c r="L188" s="210">
        <f ca="1"/>
        <v>100</v>
      </c>
      <c r="M188" s="210">
        <f ca="1"/>
        <v>1100</v>
      </c>
      <c r="N188" s="210">
        <f ca="1"/>
        <v>2</v>
      </c>
      <c r="O188" t="str">
        <f ca="1"/>
        <v>Day</v>
      </c>
      <c r="P188" s="211">
        <f ca="1"/>
        <v>0.91666666666666652</v>
      </c>
      <c r="Q188">
        <f ca="1"/>
        <v>1200</v>
      </c>
      <c r="R188">
        <f ca="1"/>
        <v>0</v>
      </c>
    </row>
    <row r="189" spans="2:18">
      <c r="B189" t="str">
        <f ca="1"/>
        <v>C6 APRIL</v>
      </c>
      <c r="C189" s="209">
        <f ca="1"/>
        <v>46123</v>
      </c>
      <c r="D189" t="str">
        <f ca="1"/>
        <v>Chakki1,2,3</v>
      </c>
      <c r="E189" t="str">
        <f ca="1"/>
        <v>C6</v>
      </c>
      <c r="F189" t="str">
        <f ca="1"/>
        <v xml:space="preserve">Bajra </v>
      </c>
      <c r="G189" s="210">
        <f ca="1"/>
        <v>420</v>
      </c>
      <c r="H189" s="210">
        <f ca="1"/>
        <v>3</v>
      </c>
      <c r="I189" s="210">
        <f ca="1"/>
        <v>8</v>
      </c>
      <c r="J189" s="210">
        <f ca="1"/>
        <v>1</v>
      </c>
      <c r="K189" s="210">
        <f ca="1"/>
        <v>31</v>
      </c>
      <c r="L189" s="210">
        <f ca="1"/>
        <v>40</v>
      </c>
      <c r="M189" s="210">
        <f ca="1"/>
        <v>380</v>
      </c>
      <c r="N189" s="210">
        <f ca="1"/>
        <v>2</v>
      </c>
      <c r="O189" t="str">
        <f ca="1"/>
        <v>Night</v>
      </c>
      <c r="P189" s="211">
        <f ca="1"/>
        <v>0.90476190476190477</v>
      </c>
      <c r="Q189">
        <f ca="1"/>
        <v>420</v>
      </c>
      <c r="R189">
        <f ca="1"/>
        <v>0</v>
      </c>
    </row>
    <row r="190" spans="2:18">
      <c r="B190" t="str">
        <f ca="1"/>
        <v>C6 APRIL</v>
      </c>
      <c r="C190" s="209">
        <f ca="1"/>
        <v>46123</v>
      </c>
      <c r="D190" t="str">
        <f ca="1"/>
        <v>Chakki1,2,3</v>
      </c>
      <c r="E190" t="str">
        <f ca="1"/>
        <v>C6</v>
      </c>
      <c r="F190" t="str">
        <f ca="1"/>
        <v>jowar</v>
      </c>
      <c r="G190" s="210">
        <f ca="1"/>
        <v>944</v>
      </c>
      <c r="H190" s="210">
        <f ca="1"/>
        <v>0</v>
      </c>
      <c r="I190" s="210">
        <f ca="1"/>
        <v>20</v>
      </c>
      <c r="J190" s="210">
        <f ca="1"/>
        <v>1</v>
      </c>
      <c r="K190" s="210">
        <f ca="1"/>
        <v>56</v>
      </c>
      <c r="L190" s="210">
        <f ca="1"/>
        <v>77</v>
      </c>
      <c r="M190" s="210">
        <f ca="1"/>
        <v>867</v>
      </c>
      <c r="N190" s="210">
        <f ca="1"/>
        <v>2</v>
      </c>
      <c r="O190" t="str">
        <f ca="1"/>
        <v>Night</v>
      </c>
      <c r="P190" s="211">
        <f ca="1"/>
        <v>0.91843220338983056</v>
      </c>
      <c r="Q190">
        <f ca="1"/>
        <v>944</v>
      </c>
      <c r="R190">
        <f ca="1"/>
        <v>0</v>
      </c>
    </row>
    <row r="191" spans="2:18">
      <c r="B191" t="str">
        <f ca="1"/>
        <v>C6 APRIL</v>
      </c>
      <c r="C191" s="209">
        <f ca="1"/>
        <v>46125</v>
      </c>
      <c r="D191" t="str">
        <f ca="1"/>
        <v>Chakki1,2,3</v>
      </c>
      <c r="E191" t="str">
        <f ca="1"/>
        <v>C6</v>
      </c>
      <c r="F191" t="str">
        <f ca="1"/>
        <v>Jowar</v>
      </c>
      <c r="G191" s="210">
        <f ca="1"/>
        <v>1800</v>
      </c>
      <c r="H191" s="210">
        <f ca="1"/>
        <v>7</v>
      </c>
      <c r="I191" s="210">
        <f ca="1"/>
        <v>36</v>
      </c>
      <c r="J191" s="210">
        <f ca="1"/>
        <v>1</v>
      </c>
      <c r="K191" s="210">
        <f ca="1"/>
        <v>113</v>
      </c>
      <c r="L191" s="210">
        <f ca="1"/>
        <v>150</v>
      </c>
      <c r="M191" s="210">
        <f ca="1"/>
        <v>1650</v>
      </c>
      <c r="N191" s="210">
        <f ca="1"/>
        <v>2</v>
      </c>
      <c r="O191" t="str">
        <f ca="1"/>
        <v>Day</v>
      </c>
      <c r="P191" s="211">
        <f ca="1"/>
        <v>0.91666666666666652</v>
      </c>
      <c r="Q191">
        <f ca="1"/>
        <v>1800</v>
      </c>
      <c r="R191">
        <f ca="1"/>
        <v>0</v>
      </c>
    </row>
    <row r="192" spans="2:18">
      <c r="B192" t="str">
        <f ca="1"/>
        <v>C6 APRIL</v>
      </c>
      <c r="C192" s="209">
        <f ca="1"/>
        <v>46125</v>
      </c>
      <c r="D192" t="str">
        <f ca="1"/>
        <v>Chakki1,2,3</v>
      </c>
      <c r="E192" t="str">
        <f ca="1"/>
        <v>C6</v>
      </c>
      <c r="F192" t="str">
        <f ca="1"/>
        <v>Jowar</v>
      </c>
      <c r="G192" s="210">
        <f ca="1"/>
        <v>1420</v>
      </c>
      <c r="H192" s="210">
        <f ca="1"/>
        <v>5</v>
      </c>
      <c r="I192" s="210">
        <f ca="1"/>
        <v>15</v>
      </c>
      <c r="J192" s="210">
        <f ca="1"/>
        <v>1</v>
      </c>
      <c r="K192" s="210">
        <f ca="1"/>
        <v>84</v>
      </c>
      <c r="L192" s="210">
        <f ca="1"/>
        <v>100</v>
      </c>
      <c r="M192" s="210">
        <f ca="1"/>
        <v>1320</v>
      </c>
      <c r="N192" s="210">
        <f ca="1"/>
        <v>2</v>
      </c>
      <c r="O192" t="str">
        <f ca="1"/>
        <v>Night</v>
      </c>
      <c r="P192" s="211">
        <f ca="1"/>
        <v>0.92957746478873238</v>
      </c>
      <c r="Q192">
        <f ca="1"/>
        <v>1420</v>
      </c>
      <c r="R192">
        <f ca="1"/>
        <v>0</v>
      </c>
    </row>
    <row r="193" spans="2:18">
      <c r="B193" t="str">
        <f ca="1"/>
        <v>C6 APRIL</v>
      </c>
      <c r="C193" s="209">
        <f ca="1"/>
        <v>46126</v>
      </c>
      <c r="D193" t="str">
        <f ca="1"/>
        <v>Chakki1,2,3</v>
      </c>
      <c r="E193" t="str">
        <f ca="1"/>
        <v>C6</v>
      </c>
      <c r="F193" t="str">
        <f ca="1"/>
        <v>Jowar</v>
      </c>
      <c r="G193" s="210">
        <f ca="1"/>
        <v>1450</v>
      </c>
      <c r="H193" s="210">
        <f ca="1"/>
        <v>6</v>
      </c>
      <c r="I193" s="210">
        <f ca="1"/>
        <v>60</v>
      </c>
      <c r="J193" s="210">
        <f ca="1"/>
        <v>3</v>
      </c>
      <c r="K193" s="210">
        <f ca="1"/>
        <v>38</v>
      </c>
      <c r="L193" s="210">
        <f ca="1"/>
        <v>101</v>
      </c>
      <c r="M193" s="210">
        <f ca="1"/>
        <v>1349</v>
      </c>
      <c r="N193" s="210">
        <f ca="1"/>
        <v>2</v>
      </c>
      <c r="O193" t="str">
        <f ca="1"/>
        <v>Day</v>
      </c>
      <c r="P193" s="211">
        <f ca="1"/>
        <v>0.93034482758620685</v>
      </c>
      <c r="Q193">
        <f ca="1"/>
        <v>1450</v>
      </c>
      <c r="R193">
        <f ca="1"/>
        <v>0</v>
      </c>
    </row>
    <row r="194" spans="2:18">
      <c r="B194" t="str">
        <f ca="1"/>
        <v>C6 APRIL</v>
      </c>
      <c r="C194" s="209">
        <f ca="1"/>
        <v>46127</v>
      </c>
      <c r="D194" t="str">
        <f ca="1"/>
        <v>Chakki1,2,3</v>
      </c>
      <c r="E194" t="str">
        <f ca="1"/>
        <v>C6</v>
      </c>
      <c r="F194" t="str">
        <f ca="1"/>
        <v>Jowar</v>
      </c>
      <c r="G194" s="210">
        <f ca="1"/>
        <v>195</v>
      </c>
      <c r="H194" s="210">
        <f ca="1"/>
        <v>1</v>
      </c>
      <c r="I194" s="210">
        <f ca="1"/>
        <v>3</v>
      </c>
      <c r="J194" s="210">
        <f ca="1"/>
        <v>1</v>
      </c>
      <c r="K194" s="210">
        <f ca="1"/>
        <v>16</v>
      </c>
      <c r="L194" s="210">
        <f ca="1"/>
        <v>20</v>
      </c>
      <c r="M194" s="210">
        <f ca="1"/>
        <v>175</v>
      </c>
      <c r="N194" s="210">
        <f ca="1"/>
        <v>2</v>
      </c>
      <c r="O194" t="str">
        <f ca="1"/>
        <v>Day</v>
      </c>
      <c r="P194" s="211">
        <f ca="1"/>
        <v>0.89743589743589747</v>
      </c>
      <c r="Q194">
        <f ca="1"/>
        <v>195</v>
      </c>
      <c r="R194">
        <f ca="1"/>
        <v>0</v>
      </c>
    </row>
    <row r="195" spans="2:18">
      <c r="B195" t="str">
        <f ca="1"/>
        <v>C6 APRIL</v>
      </c>
      <c r="C195" s="209">
        <f ca="1"/>
        <v>46128</v>
      </c>
      <c r="D195" t="str">
        <f ca="1"/>
        <v>Chakki1,2,3</v>
      </c>
      <c r="E195" t="str">
        <f ca="1"/>
        <v>C6</v>
      </c>
      <c r="F195" t="str">
        <f ca="1"/>
        <v>Khapli wheat</v>
      </c>
      <c r="G195" s="210">
        <f ca="1"/>
        <v>1450</v>
      </c>
      <c r="H195" s="210">
        <f ca="1"/>
        <v>5</v>
      </c>
      <c r="I195" s="210">
        <f ca="1"/>
        <v>32</v>
      </c>
      <c r="J195" s="210">
        <f ca="1"/>
        <v>2</v>
      </c>
      <c r="K195" s="210">
        <f ca="1"/>
        <v>86</v>
      </c>
      <c r="L195" s="210">
        <f ca="1"/>
        <v>120</v>
      </c>
      <c r="M195" s="210">
        <f ca="1"/>
        <v>1330</v>
      </c>
      <c r="N195" s="210">
        <f ca="1"/>
        <v>2</v>
      </c>
      <c r="O195" t="str">
        <f ca="1"/>
        <v>Night</v>
      </c>
      <c r="P195" s="211">
        <f ca="1"/>
        <v>0.91724137931034477</v>
      </c>
      <c r="Q195">
        <f ca="1"/>
        <v>1450</v>
      </c>
      <c r="R195">
        <f ca="1"/>
        <v>0</v>
      </c>
    </row>
    <row r="196" spans="2:18">
      <c r="B196" t="str">
        <f ca="1"/>
        <v>C6 APRIL</v>
      </c>
      <c r="C196" s="209">
        <f ca="1"/>
        <v>46129</v>
      </c>
      <c r="D196" t="str">
        <f ca="1"/>
        <v>Chakki1,2,3</v>
      </c>
      <c r="E196" t="str">
        <f ca="1"/>
        <v>C6</v>
      </c>
      <c r="F196" t="str">
        <f ca="1"/>
        <v>Khapli wheat</v>
      </c>
      <c r="G196" s="210">
        <f ca="1"/>
        <v>2000</v>
      </c>
      <c r="H196" s="210">
        <f ca="1"/>
        <v>9</v>
      </c>
      <c r="I196" s="210">
        <f ca="1"/>
        <v>21</v>
      </c>
      <c r="J196" s="210">
        <f ca="1"/>
        <v>2</v>
      </c>
      <c r="K196" s="210">
        <f ca="1"/>
        <v>81</v>
      </c>
      <c r="L196" s="210">
        <f ca="1"/>
        <v>104</v>
      </c>
      <c r="M196" s="210">
        <f ca="1"/>
        <v>1896</v>
      </c>
      <c r="N196" s="210">
        <f ca="1"/>
        <v>2</v>
      </c>
      <c r="O196" t="str">
        <f ca="1"/>
        <v>Day</v>
      </c>
      <c r="P196" s="211">
        <f ca="1"/>
        <v>0.94799999999999995</v>
      </c>
      <c r="Q196">
        <f ca="1"/>
        <v>2000</v>
      </c>
      <c r="R196">
        <f ca="1"/>
        <v>0</v>
      </c>
    </row>
    <row r="197" spans="2:18">
      <c r="B197" t="str">
        <f ca="1"/>
        <v>C6 APRIL</v>
      </c>
      <c r="C197" s="209">
        <f ca="1"/>
        <v>46129</v>
      </c>
      <c r="D197" t="str">
        <f ca="1"/>
        <v>Chakki1,2,3</v>
      </c>
      <c r="E197" t="str">
        <f ca="1"/>
        <v>C6</v>
      </c>
      <c r="F197" t="str">
        <f ca="1"/>
        <v>Khapli wheat</v>
      </c>
      <c r="G197" s="210">
        <f ca="1"/>
        <v>1570</v>
      </c>
      <c r="H197" s="210">
        <f ca="1"/>
        <v>0</v>
      </c>
      <c r="I197" s="210">
        <f ca="1"/>
        <v>10</v>
      </c>
      <c r="J197" s="210">
        <f ca="1"/>
        <v>2</v>
      </c>
      <c r="K197" s="210">
        <f ca="1"/>
        <v>123</v>
      </c>
      <c r="L197" s="210">
        <f ca="1"/>
        <v>135</v>
      </c>
      <c r="M197" s="210">
        <f ca="1"/>
        <v>1435</v>
      </c>
      <c r="N197" s="210">
        <f ca="1"/>
        <v>3</v>
      </c>
      <c r="O197" t="str">
        <f ca="1"/>
        <v>Night</v>
      </c>
      <c r="P197" s="211">
        <f ca="1"/>
        <v>0.9140127388535032</v>
      </c>
      <c r="Q197">
        <f ca="1"/>
        <v>1570</v>
      </c>
      <c r="R197">
        <f ca="1"/>
        <v>0</v>
      </c>
    </row>
    <row r="198" spans="2:18">
      <c r="B198" t="str">
        <f ca="1"/>
        <v>C6 APRIL</v>
      </c>
      <c r="C198" s="209">
        <f ca="1"/>
        <v>46130</v>
      </c>
      <c r="D198" t="str">
        <f ca="1"/>
        <v>Chakki1,2,3</v>
      </c>
      <c r="E198" t="str">
        <f ca="1"/>
        <v>C6</v>
      </c>
      <c r="F198" t="str">
        <f ca="1"/>
        <v>Khapli wheat</v>
      </c>
      <c r="G198" s="210">
        <f ca="1"/>
        <v>2550</v>
      </c>
      <c r="H198" s="210">
        <f ca="1"/>
        <v>15</v>
      </c>
      <c r="I198" s="210">
        <f ca="1"/>
        <v>12</v>
      </c>
      <c r="J198" s="210">
        <f ca="1"/>
        <v>4</v>
      </c>
      <c r="K198" s="210">
        <f ca="1"/>
        <v>207</v>
      </c>
      <c r="L198" s="210">
        <f ca="1"/>
        <v>223</v>
      </c>
      <c r="M198" s="210">
        <f ca="1"/>
        <v>2327</v>
      </c>
      <c r="N198" s="210">
        <f ca="1"/>
        <v>2</v>
      </c>
      <c r="O198" t="str">
        <f ca="1"/>
        <v>Day</v>
      </c>
      <c r="P198" s="211">
        <f ca="1"/>
        <v>0.91254901960784318</v>
      </c>
      <c r="Q198">
        <f ca="1"/>
        <v>2550</v>
      </c>
      <c r="R198">
        <f ca="1"/>
        <v>0</v>
      </c>
    </row>
    <row r="199" spans="2:18">
      <c r="B199" t="str">
        <f ca="1"/>
        <v>C6 APRIL</v>
      </c>
      <c r="C199" s="209">
        <f ca="1"/>
        <v>46130</v>
      </c>
      <c r="D199" t="str">
        <f ca="1"/>
        <v>Chakki1,2,3</v>
      </c>
      <c r="E199" t="str">
        <f ca="1"/>
        <v>C6</v>
      </c>
      <c r="F199" t="str">
        <f ca="1"/>
        <v>Khapli wheat</v>
      </c>
      <c r="G199" s="210">
        <f ca="1"/>
        <v>2300</v>
      </c>
      <c r="H199" s="210">
        <f ca="1"/>
        <v>0</v>
      </c>
      <c r="I199" s="210">
        <f ca="1"/>
        <v>10</v>
      </c>
      <c r="J199" s="210">
        <f ca="1"/>
        <v>2</v>
      </c>
      <c r="K199" s="210">
        <f ca="1"/>
        <v>177</v>
      </c>
      <c r="L199" s="210">
        <f ca="1"/>
        <v>189</v>
      </c>
      <c r="M199" s="210">
        <f ca="1"/>
        <v>2111</v>
      </c>
      <c r="N199" s="210">
        <f ca="1"/>
        <v>3</v>
      </c>
      <c r="O199" t="str">
        <f ca="1"/>
        <v>Night</v>
      </c>
      <c r="P199" s="211">
        <f ca="1"/>
        <v>0.9178260869565219</v>
      </c>
      <c r="Q199">
        <f ca="1"/>
        <v>2300</v>
      </c>
      <c r="R199">
        <f ca="1"/>
        <v>0</v>
      </c>
    </row>
    <row r="200" spans="2:18">
      <c r="B200" t="str">
        <f ca="1"/>
        <v>C6 APRIL</v>
      </c>
      <c r="C200" s="209">
        <f ca="1"/>
        <v>46128</v>
      </c>
      <c r="D200" t="str">
        <f ca="1"/>
        <v>Chakki 1&amp;2</v>
      </c>
      <c r="E200" t="str">
        <f ca="1"/>
        <v>C6</v>
      </c>
      <c r="F200" t="str">
        <f ca="1"/>
        <v>Protein Atta</v>
      </c>
      <c r="G200" s="210">
        <f ca="1"/>
        <v>2425</v>
      </c>
      <c r="H200" s="210">
        <f ca="1"/>
        <v>15</v>
      </c>
      <c r="I200" s="210">
        <f ca="1"/>
        <v>18</v>
      </c>
      <c r="J200" s="210">
        <f ca="1"/>
        <v>3</v>
      </c>
      <c r="K200" s="210">
        <f ca="1"/>
        <v>124</v>
      </c>
      <c r="L200" s="210">
        <f ca="1"/>
        <v>145</v>
      </c>
      <c r="M200" s="210">
        <f ca="1"/>
        <v>2280</v>
      </c>
      <c r="N200" s="210">
        <f ca="1"/>
        <v>3</v>
      </c>
      <c r="O200" t="str">
        <f ca="1"/>
        <v>Day</v>
      </c>
      <c r="P200" s="211">
        <f ca="1"/>
        <v>0.94020618556701019</v>
      </c>
      <c r="Q200">
        <f ca="1"/>
        <v>2425</v>
      </c>
      <c r="R200">
        <f ca="1"/>
        <v>0</v>
      </c>
    </row>
    <row r="201" spans="2:18">
      <c r="B201" t="str">
        <f ca="1"/>
        <v>C6 APRIL</v>
      </c>
      <c r="C201" s="209">
        <f ca="1"/>
        <v>46132</v>
      </c>
      <c r="D201" t="str">
        <f ca="1"/>
        <v>Chakki 1&amp;2</v>
      </c>
      <c r="E201" t="str">
        <f ca="1"/>
        <v>C6</v>
      </c>
      <c r="F201" t="str">
        <f ca="1"/>
        <v>Protein Atta</v>
      </c>
      <c r="G201" s="210">
        <f ca="1"/>
        <v>970</v>
      </c>
      <c r="H201" s="210">
        <f ca="1"/>
        <v>6</v>
      </c>
      <c r="I201" s="210">
        <f ca="1"/>
        <v>3</v>
      </c>
      <c r="J201" s="210">
        <f ca="1"/>
        <v>1</v>
      </c>
      <c r="K201" s="210">
        <f ca="1"/>
        <v>66</v>
      </c>
      <c r="L201" s="210">
        <f ca="1"/>
        <v>70</v>
      </c>
      <c r="M201" s="210">
        <f ca="1"/>
        <v>900</v>
      </c>
      <c r="N201" s="210">
        <f ca="1"/>
        <v>3</v>
      </c>
      <c r="O201" t="str">
        <f ca="1"/>
        <v>Night</v>
      </c>
      <c r="P201" s="211">
        <f ca="1"/>
        <v>0.92783505154639168</v>
      </c>
      <c r="Q201">
        <f ca="1"/>
        <v>970</v>
      </c>
      <c r="R201">
        <f ca="1"/>
        <v>0</v>
      </c>
    </row>
    <row r="202" spans="2:18">
      <c r="B202" t="str">
        <f ca="1"/>
        <v>C6 APRIL</v>
      </c>
      <c r="C202" s="209">
        <f ca="1"/>
        <v>46133</v>
      </c>
      <c r="D202" t="str">
        <f ca="1"/>
        <v>Chakki1,2,3</v>
      </c>
      <c r="E202" t="str">
        <f ca="1"/>
        <v>C6</v>
      </c>
      <c r="F202" t="str">
        <f ca="1"/>
        <v>Multigrains</v>
      </c>
      <c r="G202" s="210">
        <f ca="1"/>
        <v>2550</v>
      </c>
      <c r="H202" s="210">
        <f ca="1"/>
        <v>24</v>
      </c>
      <c r="I202" s="210">
        <f ca="1"/>
        <v>18</v>
      </c>
      <c r="J202" s="210">
        <f ca="1"/>
        <v>2</v>
      </c>
      <c r="K202" s="210">
        <f ca="1"/>
        <v>180</v>
      </c>
      <c r="L202" s="210">
        <f ca="1"/>
        <v>200</v>
      </c>
      <c r="M202" s="210">
        <f ca="1"/>
        <v>2350</v>
      </c>
      <c r="N202" s="210">
        <f ca="1"/>
        <v>3</v>
      </c>
      <c r="O202" t="str">
        <f ca="1"/>
        <v>Night</v>
      </c>
      <c r="P202" s="211">
        <f ca="1"/>
        <v>0.92156862745098034</v>
      </c>
      <c r="Q202">
        <f ca="1"/>
        <v>2550</v>
      </c>
      <c r="R202">
        <f ca="1"/>
        <v>0</v>
      </c>
    </row>
    <row r="203" spans="2:18">
      <c r="B203" t="str">
        <f ca="1"/>
        <v>C6 APRIL</v>
      </c>
      <c r="C203" s="209">
        <f ca="1"/>
        <v>46133</v>
      </c>
      <c r="D203" t="str">
        <f ca="1"/>
        <v>Chakki1,2,3</v>
      </c>
      <c r="E203" t="str">
        <f ca="1"/>
        <v>C6</v>
      </c>
      <c r="F203" t="str">
        <f ca="1"/>
        <v>Multigrains</v>
      </c>
      <c r="G203" s="210">
        <f ca="1"/>
        <v>2100</v>
      </c>
      <c r="H203" s="210">
        <f ca="1"/>
        <v>17</v>
      </c>
      <c r="I203" s="210">
        <f ca="1"/>
        <v>18</v>
      </c>
      <c r="J203" s="210">
        <f ca="1"/>
        <v>3</v>
      </c>
      <c r="K203" s="210">
        <f ca="1"/>
        <v>149</v>
      </c>
      <c r="L203" s="210">
        <f ca="1"/>
        <v>170</v>
      </c>
      <c r="M203" s="210">
        <f ca="1"/>
        <v>1930</v>
      </c>
      <c r="N203" s="210">
        <f ca="1"/>
        <v>0</v>
      </c>
      <c r="O203">
        <f ca="1"/>
        <v>0</v>
      </c>
      <c r="P203" s="211">
        <f ca="1"/>
        <v>0.919047619047619</v>
      </c>
      <c r="Q203">
        <f ca="1"/>
        <v>2100</v>
      </c>
      <c r="R203">
        <f ca="1"/>
        <v>0</v>
      </c>
    </row>
    <row r="204" spans="2:18">
      <c r="B204" t="str">
        <f ca="1"/>
        <v>C6 APRIL</v>
      </c>
      <c r="C204" s="209">
        <f ca="1"/>
        <v>46134</v>
      </c>
      <c r="D204" t="str">
        <f ca="1"/>
        <v>Chakki1,2,3</v>
      </c>
      <c r="E204" t="str">
        <f ca="1"/>
        <v>C6</v>
      </c>
      <c r="F204" t="str">
        <f ca="1"/>
        <v>Multigrains</v>
      </c>
      <c r="G204" s="210">
        <f ca="1"/>
        <v>3200</v>
      </c>
      <c r="H204" s="210">
        <f ca="1"/>
        <v>27</v>
      </c>
      <c r="I204" s="210">
        <f ca="1"/>
        <v>51</v>
      </c>
      <c r="J204" s="210">
        <f ca="1"/>
        <v>3</v>
      </c>
      <c r="K204" s="210">
        <f ca="1"/>
        <v>196</v>
      </c>
      <c r="L204" s="210">
        <f ca="1"/>
        <v>250</v>
      </c>
      <c r="M204" s="210">
        <f ca="1"/>
        <v>2950</v>
      </c>
      <c r="N204" s="210">
        <f ca="1"/>
        <v>3</v>
      </c>
      <c r="O204" t="str">
        <f ca="1"/>
        <v>Day</v>
      </c>
      <c r="P204" s="211">
        <f ca="1"/>
        <v>0.921875</v>
      </c>
      <c r="Q204">
        <f ca="1"/>
        <v>3200</v>
      </c>
      <c r="R204">
        <f ca="1"/>
        <v>0</v>
      </c>
    </row>
    <row r="205" spans="2:18">
      <c r="B205" t="str">
        <f ca="1"/>
        <v>C6 APRIL</v>
      </c>
      <c r="C205" s="209">
        <f ca="1"/>
        <v>46134</v>
      </c>
      <c r="D205" t="str">
        <f ca="1"/>
        <v>Chakki1,2,3</v>
      </c>
      <c r="E205" t="str">
        <f ca="1"/>
        <v>C6</v>
      </c>
      <c r="F205" t="str">
        <f ca="1"/>
        <v>Multigrains</v>
      </c>
      <c r="G205" s="210">
        <f ca="1"/>
        <v>2250</v>
      </c>
      <c r="H205" s="210">
        <f ca="1"/>
        <v>13</v>
      </c>
      <c r="I205" s="210">
        <f ca="1"/>
        <v>12</v>
      </c>
      <c r="J205" s="210">
        <f ca="1"/>
        <v>2</v>
      </c>
      <c r="K205" s="210">
        <f ca="1"/>
        <v>156</v>
      </c>
      <c r="L205" s="210">
        <f ca="1"/>
        <v>170</v>
      </c>
      <c r="M205" s="210">
        <f ca="1"/>
        <v>2080</v>
      </c>
      <c r="N205" s="210">
        <f ca="1"/>
        <v>3</v>
      </c>
      <c r="O205" t="str">
        <f ca="1"/>
        <v>Night</v>
      </c>
      <c r="P205" s="211">
        <f ca="1"/>
        <v>0.9244444444444444</v>
      </c>
      <c r="Q205">
        <f ca="1"/>
        <v>2250</v>
      </c>
      <c r="R205">
        <f ca="1"/>
        <v>0</v>
      </c>
    </row>
    <row r="206" spans="2:18">
      <c r="B206" t="str">
        <f ca="1"/>
        <v>C6 APRIL</v>
      </c>
      <c r="C206" s="209">
        <f ca="1"/>
        <v>46135</v>
      </c>
      <c r="D206" t="str">
        <f ca="1"/>
        <v>Chakki1,2,3</v>
      </c>
      <c r="E206" t="str">
        <f ca="1"/>
        <v>C6</v>
      </c>
      <c r="F206" t="str">
        <f ca="1"/>
        <v>Multigrains</v>
      </c>
      <c r="G206" s="210">
        <f ca="1"/>
        <v>2000</v>
      </c>
      <c r="H206" s="210">
        <f ca="1"/>
        <v>11</v>
      </c>
      <c r="I206" s="210">
        <f ca="1"/>
        <v>10</v>
      </c>
      <c r="J206" s="210">
        <f ca="1"/>
        <v>2</v>
      </c>
      <c r="K206" s="210">
        <f ca="1"/>
        <v>160</v>
      </c>
      <c r="L206" s="210">
        <f ca="1"/>
        <v>172</v>
      </c>
      <c r="M206" s="210">
        <f ca="1"/>
        <v>1828</v>
      </c>
      <c r="N206" s="210">
        <f ca="1"/>
        <v>3</v>
      </c>
      <c r="O206" t="str">
        <f ca="1"/>
        <v>Day</v>
      </c>
      <c r="P206" s="211">
        <f ca="1"/>
        <v>0.91400000000000003</v>
      </c>
      <c r="Q206">
        <f ca="1"/>
        <v>2000</v>
      </c>
      <c r="R206">
        <f ca="1"/>
        <v>0</v>
      </c>
    </row>
    <row r="207" spans="2:18">
      <c r="B207" t="str">
        <f ca="1"/>
        <v>C6 APRIL</v>
      </c>
      <c r="C207" s="209">
        <f ca="1"/>
        <v>46135</v>
      </c>
      <c r="D207" t="str">
        <f ca="1"/>
        <v>Chakki1,2,3</v>
      </c>
      <c r="E207" t="str">
        <f ca="1"/>
        <v>C6</v>
      </c>
      <c r="F207" t="str">
        <f ca="1"/>
        <v>Multigrains</v>
      </c>
      <c r="G207" s="210">
        <f ca="1"/>
        <v>2000</v>
      </c>
      <c r="H207" s="210">
        <f ca="1"/>
        <v>10</v>
      </c>
      <c r="I207" s="210">
        <f ca="1"/>
        <v>17</v>
      </c>
      <c r="J207" s="210">
        <f ca="1"/>
        <v>2</v>
      </c>
      <c r="K207" s="210">
        <f ca="1"/>
        <v>131</v>
      </c>
      <c r="L207" s="210">
        <f ca="1"/>
        <v>150</v>
      </c>
      <c r="M207" s="210">
        <f ca="1"/>
        <v>1850</v>
      </c>
      <c r="N207" s="210">
        <f ca="1"/>
        <v>3</v>
      </c>
      <c r="O207" t="str">
        <f ca="1"/>
        <v>Night</v>
      </c>
      <c r="P207" s="211">
        <f ca="1"/>
        <v>0.92500000000000004</v>
      </c>
      <c r="Q207">
        <f ca="1"/>
        <v>2000</v>
      </c>
      <c r="R207">
        <f ca="1"/>
        <v>0</v>
      </c>
    </row>
    <row r="208" spans="2:18">
      <c r="B208" t="str">
        <f ca="1"/>
        <v>C6 APRIL</v>
      </c>
      <c r="C208" s="209">
        <f ca="1"/>
        <v>46135</v>
      </c>
      <c r="D208" t="str">
        <f ca="1"/>
        <v>Chakki1,2,3</v>
      </c>
      <c r="E208" t="str">
        <f ca="1"/>
        <v>C6</v>
      </c>
      <c r="F208" t="str">
        <f ca="1"/>
        <v>Protein Atta</v>
      </c>
      <c r="G208" s="210">
        <f ca="1"/>
        <v>1261</v>
      </c>
      <c r="H208" s="210">
        <f ca="1"/>
        <v>0</v>
      </c>
      <c r="I208" s="210">
        <f ca="1"/>
        <v>8</v>
      </c>
      <c r="J208" s="210">
        <f ca="1"/>
        <v>8</v>
      </c>
      <c r="K208" s="210">
        <f ca="1"/>
        <v>62</v>
      </c>
      <c r="L208" s="210">
        <f ca="1"/>
        <v>78</v>
      </c>
      <c r="M208" s="210">
        <f ca="1"/>
        <v>1183</v>
      </c>
      <c r="N208" s="210">
        <f ca="1"/>
        <v>3</v>
      </c>
      <c r="O208" t="str">
        <f ca="1"/>
        <v>Night</v>
      </c>
      <c r="P208" s="211">
        <f ca="1"/>
        <v>0.9381443298969071</v>
      </c>
      <c r="Q208">
        <f ca="1"/>
        <v>1261</v>
      </c>
      <c r="R208">
        <f ca="1"/>
        <v>0</v>
      </c>
    </row>
    <row r="209" spans="2:18">
      <c r="B209" t="str">
        <f ca="1"/>
        <v>C6 APRIL</v>
      </c>
      <c r="C209" s="209">
        <f ca="1"/>
        <v>46136</v>
      </c>
      <c r="D209" t="str">
        <f ca="1"/>
        <v>Chakki1,2,3</v>
      </c>
      <c r="E209" t="str">
        <f ca="1"/>
        <v>C6</v>
      </c>
      <c r="F209" t="str">
        <f ca="1"/>
        <v>Multigrains</v>
      </c>
      <c r="G209" s="210">
        <f ca="1"/>
        <v>3100</v>
      </c>
      <c r="H209" s="210">
        <f ca="1"/>
        <v>15</v>
      </c>
      <c r="I209" s="210">
        <f ca="1"/>
        <v>55</v>
      </c>
      <c r="J209" s="210">
        <f ca="1"/>
        <v>2</v>
      </c>
      <c r="K209" s="210">
        <f ca="1"/>
        <v>173</v>
      </c>
      <c r="L209" s="210">
        <f ca="1"/>
        <v>230</v>
      </c>
      <c r="M209" s="210">
        <f ca="1"/>
        <v>2870</v>
      </c>
      <c r="N209" s="210">
        <f ca="1"/>
        <v>3</v>
      </c>
      <c r="O209" t="str">
        <f ca="1"/>
        <v>Day</v>
      </c>
      <c r="P209" s="211">
        <f ca="1"/>
        <v>0.9258064516129032</v>
      </c>
      <c r="Q209">
        <f ca="1"/>
        <v>3100</v>
      </c>
      <c r="R209">
        <f ca="1"/>
        <v>0</v>
      </c>
    </row>
    <row r="210" spans="2:18">
      <c r="B210" t="str">
        <f ca="1"/>
        <v>C6 APRIL</v>
      </c>
      <c r="C210" s="209">
        <f ca="1"/>
        <v>46136</v>
      </c>
      <c r="D210" t="str">
        <f ca="1"/>
        <v>Chakki1,2,3</v>
      </c>
      <c r="E210" t="str">
        <f ca="1"/>
        <v>C6</v>
      </c>
      <c r="F210" t="str">
        <f ca="1"/>
        <v>Multigrains</v>
      </c>
      <c r="G210" s="210">
        <f ca="1"/>
        <v>2850</v>
      </c>
      <c r="H210" s="210">
        <f ca="1"/>
        <v>17</v>
      </c>
      <c r="I210" s="210">
        <f ca="1"/>
        <v>48</v>
      </c>
      <c r="J210" s="210">
        <f ca="1"/>
        <v>2</v>
      </c>
      <c r="K210" s="210">
        <f ca="1"/>
        <v>170</v>
      </c>
      <c r="L210" s="210">
        <f ca="1"/>
        <v>220</v>
      </c>
      <c r="M210" s="210">
        <f ca="1"/>
        <v>2630</v>
      </c>
      <c r="N210" s="210">
        <f ca="1"/>
        <v>3</v>
      </c>
      <c r="O210" t="str">
        <f ca="1"/>
        <v>Night</v>
      </c>
      <c r="P210" s="211">
        <f ca="1"/>
        <v>0.92280701754385963</v>
      </c>
      <c r="Q210">
        <f ca="1"/>
        <v>2850</v>
      </c>
      <c r="R210">
        <f ca="1"/>
        <v>0</v>
      </c>
    </row>
    <row r="211" spans="2:18">
      <c r="B211" t="str">
        <f ca="1"/>
        <v>C6 APRIL</v>
      </c>
      <c r="C211" s="209">
        <f ca="1"/>
        <v>46139</v>
      </c>
      <c r="D211" t="str">
        <f ca="1"/>
        <v>Chakki1,2,3</v>
      </c>
      <c r="E211" t="str">
        <f ca="1"/>
        <v>C6</v>
      </c>
      <c r="F211" t="str">
        <f ca="1"/>
        <v>Multigrains</v>
      </c>
      <c r="G211" s="210">
        <f ca="1"/>
        <v>2100</v>
      </c>
      <c r="H211" s="210">
        <f ca="1"/>
        <v>14</v>
      </c>
      <c r="I211" s="210">
        <f ca="1"/>
        <v>24</v>
      </c>
      <c r="J211" s="210">
        <f ca="1"/>
        <v>2</v>
      </c>
      <c r="K211" s="210">
        <f ca="1"/>
        <v>134</v>
      </c>
      <c r="L211" s="210">
        <f ca="1"/>
        <v>160</v>
      </c>
      <c r="M211" s="210">
        <f ca="1"/>
        <v>1940</v>
      </c>
      <c r="N211" s="210">
        <f ca="1"/>
        <v>3</v>
      </c>
      <c r="O211" t="str">
        <f ca="1"/>
        <v>Day</v>
      </c>
      <c r="P211" s="211">
        <f ca="1"/>
        <v>0.92380952380952375</v>
      </c>
      <c r="Q211">
        <f ca="1"/>
        <v>2100</v>
      </c>
      <c r="R211">
        <f ca="1"/>
        <v>0</v>
      </c>
    </row>
    <row r="212" spans="2:18">
      <c r="B212" t="str">
        <f ca="1"/>
        <v>C6 APRIL</v>
      </c>
      <c r="C212" s="209">
        <f ca="1"/>
        <v>46140</v>
      </c>
      <c r="D212" t="str">
        <f ca="1"/>
        <v>Chakki1,2,3</v>
      </c>
      <c r="E212" t="str">
        <f ca="1"/>
        <v>C6</v>
      </c>
      <c r="F212" t="str">
        <f ca="1"/>
        <v xml:space="preserve">Bajra </v>
      </c>
      <c r="G212" s="210">
        <f ca="1"/>
        <v>535</v>
      </c>
      <c r="H212" s="210">
        <f ca="1"/>
        <v>1</v>
      </c>
      <c r="I212" s="210">
        <f ca="1"/>
        <v>3</v>
      </c>
      <c r="J212" s="210">
        <f ca="1"/>
        <v>10</v>
      </c>
      <c r="K212" s="210">
        <f ca="1"/>
        <v>37</v>
      </c>
      <c r="L212" s="210">
        <f ca="1"/>
        <v>50</v>
      </c>
      <c r="M212" s="210">
        <f ca="1"/>
        <v>485</v>
      </c>
      <c r="N212" s="210">
        <f ca="1"/>
        <v>3</v>
      </c>
      <c r="O212" t="str">
        <f ca="1"/>
        <v>Day</v>
      </c>
      <c r="P212" s="211">
        <f ca="1"/>
        <v>0.90654205607476646</v>
      </c>
      <c r="Q212">
        <f ca="1"/>
        <v>535</v>
      </c>
      <c r="R212">
        <f ca="1"/>
        <v>0</v>
      </c>
    </row>
    <row r="213" spans="2:18">
      <c r="B213" t="str">
        <f ca="1"/>
        <v>C6 APRIL</v>
      </c>
      <c r="C213" s="209">
        <f ca="1"/>
        <v>46141</v>
      </c>
      <c r="D213" t="str">
        <f ca="1"/>
        <v>Chakki1,2,3</v>
      </c>
      <c r="E213" t="str">
        <f ca="1"/>
        <v>C6</v>
      </c>
      <c r="F213" t="str">
        <f ca="1"/>
        <v>Jowar</v>
      </c>
      <c r="G213" s="210">
        <f ca="1"/>
        <v>2870</v>
      </c>
      <c r="H213" s="210">
        <f ca="1"/>
        <v>14</v>
      </c>
      <c r="I213" s="210">
        <f ca="1"/>
        <v>39</v>
      </c>
      <c r="J213" s="210">
        <f ca="1"/>
        <v>2</v>
      </c>
      <c r="K213" s="210">
        <f ca="1"/>
        <v>193</v>
      </c>
      <c r="L213" s="210">
        <f ca="1"/>
        <v>234</v>
      </c>
      <c r="M213" s="210">
        <f ca="1"/>
        <v>2636</v>
      </c>
      <c r="N213" s="210">
        <f ca="1"/>
        <v>3</v>
      </c>
      <c r="O213" t="str">
        <f ca="1"/>
        <v>Night</v>
      </c>
      <c r="P213" s="211">
        <f ca="1"/>
        <v>0.91846689895470379</v>
      </c>
      <c r="Q213">
        <f ca="1"/>
        <v>2870</v>
      </c>
      <c r="R213">
        <f ca="1"/>
        <v>0</v>
      </c>
    </row>
    <row r="214" spans="2:18">
      <c r="B214" t="str">
        <f ca="1"/>
        <v>C6 APRIL</v>
      </c>
      <c r="C214" s="209">
        <f ca="1"/>
        <v>46142</v>
      </c>
      <c r="D214" t="str">
        <f ca="1"/>
        <v>Chakki1,2,3</v>
      </c>
      <c r="E214" t="str">
        <f ca="1"/>
        <v>C6</v>
      </c>
      <c r="F214" t="str">
        <f ca="1"/>
        <v xml:space="preserve">Bajra </v>
      </c>
      <c r="G214" s="210">
        <f ca="1"/>
        <v>225</v>
      </c>
      <c r="H214" s="210">
        <f ca="1"/>
        <v>1</v>
      </c>
      <c r="I214" s="210">
        <f ca="1"/>
        <v>8</v>
      </c>
      <c r="J214" s="210">
        <f ca="1"/>
        <v>2</v>
      </c>
      <c r="K214" s="210">
        <f ca="1"/>
        <v>11</v>
      </c>
      <c r="L214" s="210">
        <f ca="1"/>
        <v>21</v>
      </c>
      <c r="M214" s="210">
        <f ca="1"/>
        <v>204</v>
      </c>
      <c r="N214" s="210">
        <f ca="1"/>
        <v>3</v>
      </c>
      <c r="O214" t="str">
        <f ca="1"/>
        <v>Day</v>
      </c>
      <c r="P214" s="211">
        <f ca="1"/>
        <v>0.90666666666666662</v>
      </c>
      <c r="Q214">
        <f ca="1"/>
        <v>225</v>
      </c>
      <c r="R214">
        <f ca="1"/>
        <v>0</v>
      </c>
    </row>
    <row r="215" spans="2:18">
      <c r="B215" t="str">
        <f ca="1"/>
        <v>C6 APRIL</v>
      </c>
      <c r="C215" s="209">
        <f ca="1"/>
        <v>46142</v>
      </c>
      <c r="D215" t="str">
        <f ca="1"/>
        <v>Chakki1,2,3</v>
      </c>
      <c r="E215" t="str">
        <f ca="1"/>
        <v>C6</v>
      </c>
      <c r="F215" t="str">
        <f ca="1"/>
        <v>Jowar</v>
      </c>
      <c r="G215" s="210">
        <f ca="1"/>
        <v>340</v>
      </c>
      <c r="H215" s="210">
        <f ca="1"/>
        <v>1</v>
      </c>
      <c r="I215" s="210">
        <f ca="1"/>
        <v>15</v>
      </c>
      <c r="J215" s="210">
        <f ca="1"/>
        <v>2</v>
      </c>
      <c r="K215" s="210">
        <f ca="1"/>
        <v>18</v>
      </c>
      <c r="L215" s="210">
        <f ca="1"/>
        <v>36</v>
      </c>
      <c r="M215" s="210">
        <f ca="1"/>
        <v>305</v>
      </c>
      <c r="N215" s="210">
        <f ca="1"/>
        <v>3</v>
      </c>
      <c r="O215" t="str">
        <f ca="1"/>
        <v>Day</v>
      </c>
      <c r="P215" s="211">
        <f ca="1"/>
        <v>0.89705882352941169</v>
      </c>
      <c r="Q215">
        <f ca="1"/>
        <v>341</v>
      </c>
      <c r="R215">
        <f ca="1"/>
        <v>-1</v>
      </c>
    </row>
    <row r="216" spans="2:18">
      <c r="B216" t="str">
        <f ca="1"/>
        <v>C6 APRIL</v>
      </c>
      <c r="C216" s="209">
        <f ca="1"/>
        <v>46142</v>
      </c>
      <c r="D216" t="str">
        <f ca="1"/>
        <v>Chakki1,2,3</v>
      </c>
      <c r="E216" t="str">
        <f ca="1"/>
        <v>C6</v>
      </c>
      <c r="F216" t="str">
        <f ca="1"/>
        <v>Jowar</v>
      </c>
      <c r="G216" s="210">
        <f ca="1"/>
        <v>2940</v>
      </c>
      <c r="H216" s="210">
        <f ca="1"/>
        <v>9</v>
      </c>
      <c r="I216" s="210">
        <f ca="1"/>
        <v>31</v>
      </c>
      <c r="J216" s="210">
        <f ca="1"/>
        <v>2</v>
      </c>
      <c r="K216" s="210">
        <f ca="1"/>
        <v>173</v>
      </c>
      <c r="L216" s="210">
        <f ca="1"/>
        <v>215</v>
      </c>
      <c r="M216" s="210">
        <f ca="1"/>
        <v>2725</v>
      </c>
      <c r="N216" s="210">
        <f ca="1"/>
        <v>3</v>
      </c>
      <c r="O216" t="str">
        <f ca="1"/>
        <v>NIGHT</v>
      </c>
      <c r="P216" s="211">
        <f ca="1"/>
        <v>0.9268707482993197</v>
      </c>
      <c r="Q216">
        <f ca="1"/>
        <v>2940</v>
      </c>
      <c r="R216">
        <f ca="1"/>
        <v>0</v>
      </c>
    </row>
    <row r="217" spans="2:18">
      <c r="B217" t="str">
        <f ca="1"/>
        <v>C39 APRIL</v>
      </c>
      <c r="C217" s="209">
        <f ca="1"/>
        <v>46113</v>
      </c>
      <c r="D217" t="str">
        <f ca="1"/>
        <v>1,2,3&amp;4</v>
      </c>
      <c r="E217" t="str">
        <f ca="1"/>
        <v>C39</v>
      </c>
      <c r="F217" t="str">
        <f ca="1"/>
        <v>multigrain</v>
      </c>
      <c r="G217" s="210">
        <f ca="1"/>
        <v>7600</v>
      </c>
      <c r="H217" s="210">
        <f ca="1"/>
        <v>7</v>
      </c>
      <c r="I217" s="210">
        <f ca="1"/>
        <v>463</v>
      </c>
      <c r="J217" s="210">
        <f ca="1"/>
        <v>12</v>
      </c>
      <c r="K217" s="210">
        <f ca="1"/>
        <v>272</v>
      </c>
      <c r="L217" s="210">
        <f ca="1"/>
        <v>754</v>
      </c>
      <c r="M217" s="210">
        <f ca="1"/>
        <v>6846</v>
      </c>
      <c r="N217" s="210">
        <f ca="1"/>
        <v>5</v>
      </c>
      <c r="O217" t="str">
        <f ca="1"/>
        <v>Day</v>
      </c>
      <c r="P217" s="211">
        <f ca="1"/>
        <v>0.90078947368421036</v>
      </c>
      <c r="Q217">
        <f ca="1"/>
        <v>7600</v>
      </c>
      <c r="R217">
        <f ca="1"/>
        <v>0</v>
      </c>
    </row>
    <row r="218" spans="2:18">
      <c r="B218" t="str">
        <f ca="1"/>
        <v>C39 APRIL</v>
      </c>
      <c r="C218" s="209">
        <f ca="1"/>
        <v>46114</v>
      </c>
      <c r="D218" t="str">
        <f ca="1"/>
        <v>1,2,3&amp;4</v>
      </c>
      <c r="E218" t="str">
        <f ca="1"/>
        <v>C39</v>
      </c>
      <c r="F218" t="str">
        <f ca="1"/>
        <v>multigrain</v>
      </c>
      <c r="G218" s="210">
        <f ca="1"/>
        <v>6500</v>
      </c>
      <c r="H218" s="210">
        <f ca="1"/>
        <v>8</v>
      </c>
      <c r="I218" s="210">
        <f ca="1"/>
        <v>420</v>
      </c>
      <c r="J218" s="210">
        <f ca="1"/>
        <v>16</v>
      </c>
      <c r="K218" s="210">
        <f ca="1"/>
        <v>189</v>
      </c>
      <c r="L218" s="210">
        <f ca="1"/>
        <v>633</v>
      </c>
      <c r="M218" s="210">
        <f ca="1"/>
        <v>5867</v>
      </c>
      <c r="N218" s="210">
        <f ca="1"/>
        <v>5</v>
      </c>
      <c r="O218" t="str">
        <f ca="1"/>
        <v>Day</v>
      </c>
      <c r="P218" s="211">
        <f ca="1"/>
        <v>0.9026153846153846</v>
      </c>
      <c r="Q218">
        <f ca="1"/>
        <v>6500</v>
      </c>
      <c r="R218">
        <f ca="1"/>
        <v>0</v>
      </c>
    </row>
    <row r="219" spans="2:18">
      <c r="B219" t="str">
        <f ca="1"/>
        <v>C39 APRIL</v>
      </c>
      <c r="C219" s="209">
        <f ca="1"/>
        <v>46115</v>
      </c>
      <c r="D219" t="str">
        <f ca="1"/>
        <v>123&amp;4</v>
      </c>
      <c r="E219" t="str">
        <f ca="1"/>
        <v>C39</v>
      </c>
      <c r="F219" t="str">
        <f ca="1"/>
        <v>multigrain</v>
      </c>
      <c r="G219" s="210">
        <f ca="1"/>
        <v>6800</v>
      </c>
      <c r="H219" s="210">
        <f ca="1"/>
        <v>9</v>
      </c>
      <c r="I219" s="210">
        <f ca="1"/>
        <v>310</v>
      </c>
      <c r="J219" s="210">
        <f ca="1"/>
        <v>22</v>
      </c>
      <c r="K219" s="210">
        <f ca="1"/>
        <v>119</v>
      </c>
      <c r="L219" s="210">
        <f ca="1"/>
        <v>560</v>
      </c>
      <c r="M219" s="210">
        <f ca="1"/>
        <v>6340</v>
      </c>
      <c r="N219" s="210">
        <f ca="1"/>
        <v>5</v>
      </c>
      <c r="O219" t="str">
        <f ca="1"/>
        <v>Day</v>
      </c>
      <c r="P219" s="211">
        <f ca="1"/>
        <v>0.93235294117647061</v>
      </c>
      <c r="Q219">
        <f ca="1"/>
        <v>6800</v>
      </c>
      <c r="R219">
        <f ca="1"/>
        <v>0</v>
      </c>
    </row>
    <row r="220" spans="2:18">
      <c r="B220" t="str">
        <f ca="1"/>
        <v>C39 APRIL</v>
      </c>
      <c r="C220" s="209">
        <f ca="1"/>
        <v>46116</v>
      </c>
      <c r="D220" t="str">
        <f ca="1"/>
        <v>123&amp;4</v>
      </c>
      <c r="E220" t="str">
        <f ca="1"/>
        <v>C39</v>
      </c>
      <c r="F220" t="str">
        <f ca="1"/>
        <v>multigrain</v>
      </c>
      <c r="G220" s="210">
        <f ca="1"/>
        <v>4750</v>
      </c>
      <c r="H220" s="210">
        <f ca="1"/>
        <v>6</v>
      </c>
      <c r="I220" s="210">
        <f ca="1"/>
        <v>300</v>
      </c>
      <c r="J220" s="210">
        <f ca="1"/>
        <v>18</v>
      </c>
      <c r="K220" s="210">
        <f ca="1"/>
        <v>91</v>
      </c>
      <c r="L220" s="210">
        <f ca="1"/>
        <v>415</v>
      </c>
      <c r="M220" s="210">
        <f ca="1"/>
        <v>4335</v>
      </c>
      <c r="N220" s="210">
        <f ca="1"/>
        <v>5</v>
      </c>
      <c r="O220" t="str">
        <f ca="1"/>
        <v>Day</v>
      </c>
      <c r="P220" s="211">
        <f ca="1"/>
        <v>0.91263157894736846</v>
      </c>
      <c r="Q220">
        <f ca="1"/>
        <v>4750</v>
      </c>
      <c r="R220">
        <f ca="1"/>
        <v>0</v>
      </c>
    </row>
    <row r="221" spans="2:18">
      <c r="B221" t="str">
        <f ca="1"/>
        <v>C39 APRIL</v>
      </c>
      <c r="C221" s="209">
        <f ca="1"/>
        <v>46117</v>
      </c>
      <c r="D221" t="str">
        <f ca="1"/>
        <v>123&amp;4</v>
      </c>
      <c r="E221" t="str">
        <f ca="1"/>
        <v>C39</v>
      </c>
      <c r="F221" t="str">
        <f ca="1"/>
        <v>multigrain</v>
      </c>
      <c r="G221" s="210">
        <f ca="1"/>
        <v>5500</v>
      </c>
      <c r="H221" s="210">
        <f ca="1"/>
        <v>6</v>
      </c>
      <c r="I221" s="210">
        <f ca="1"/>
        <v>280</v>
      </c>
      <c r="J221" s="210">
        <f ca="1"/>
        <v>18</v>
      </c>
      <c r="K221" s="210">
        <f ca="1"/>
        <v>96</v>
      </c>
      <c r="L221" s="210">
        <f ca="1"/>
        <v>400</v>
      </c>
      <c r="M221" s="210">
        <f ca="1"/>
        <v>5100</v>
      </c>
      <c r="N221" s="210">
        <f ca="1"/>
        <v>5</v>
      </c>
      <c r="O221" t="str">
        <f ca="1"/>
        <v>Day</v>
      </c>
      <c r="P221" s="211">
        <f ca="1"/>
        <v>0.92727272727272725</v>
      </c>
      <c r="Q221">
        <f ca="1"/>
        <v>5500</v>
      </c>
      <c r="R221">
        <f ca="1"/>
        <v>0</v>
      </c>
    </row>
    <row r="222" spans="2:18">
      <c r="B222" t="str">
        <f ca="1"/>
        <v>C39 APRIL</v>
      </c>
      <c r="C222" s="209">
        <f ca="1"/>
        <v>46118</v>
      </c>
      <c r="D222" t="str">
        <f ca="1"/>
        <v>123&amp;4</v>
      </c>
      <c r="E222" t="str">
        <f ca="1"/>
        <v>C39</v>
      </c>
      <c r="F222" t="str">
        <f ca="1"/>
        <v>multigrain</v>
      </c>
      <c r="G222" s="210">
        <f ca="1"/>
        <v>5000</v>
      </c>
      <c r="H222" s="210">
        <f ca="1"/>
        <v>6</v>
      </c>
      <c r="I222" s="210">
        <f ca="1"/>
        <v>240</v>
      </c>
      <c r="J222" s="210">
        <f ca="1"/>
        <v>22</v>
      </c>
      <c r="K222" s="210">
        <f ca="1"/>
        <v>82</v>
      </c>
      <c r="L222" s="210">
        <f ca="1"/>
        <v>350</v>
      </c>
      <c r="M222" s="210">
        <f ca="1"/>
        <v>4650</v>
      </c>
      <c r="N222" s="210">
        <f ca="1"/>
        <v>6</v>
      </c>
      <c r="O222" t="str">
        <f ca="1"/>
        <v>Day</v>
      </c>
      <c r="P222" s="211">
        <f ca="1"/>
        <v>0.93</v>
      </c>
      <c r="Q222">
        <f ca="1"/>
        <v>5000</v>
      </c>
      <c r="R222">
        <f ca="1"/>
        <v>0</v>
      </c>
    </row>
    <row r="223" spans="2:18">
      <c r="B223" t="str">
        <f ca="1"/>
        <v>C39 APRIL</v>
      </c>
      <c r="C223" s="209">
        <f ca="1"/>
        <v>46119</v>
      </c>
      <c r="D223" t="str">
        <f ca="1"/>
        <v>123&amp;4</v>
      </c>
      <c r="E223" t="str">
        <f ca="1"/>
        <v>C39</v>
      </c>
      <c r="F223" t="str">
        <f ca="1"/>
        <v>multigrain</v>
      </c>
      <c r="G223" s="210">
        <f ca="1"/>
        <v>4650</v>
      </c>
      <c r="H223" s="210">
        <f ca="1"/>
        <v>9</v>
      </c>
      <c r="I223" s="210">
        <f ca="1"/>
        <v>160</v>
      </c>
      <c r="J223" s="210">
        <f ca="1"/>
        <v>10</v>
      </c>
      <c r="K223" s="210">
        <f ca="1"/>
        <v>141</v>
      </c>
      <c r="L223" s="210">
        <f ca="1"/>
        <v>320</v>
      </c>
      <c r="M223" s="210">
        <f ca="1"/>
        <v>4330</v>
      </c>
      <c r="N223" s="210">
        <f ca="1"/>
        <v>7</v>
      </c>
      <c r="O223" t="str">
        <f ca="1"/>
        <v>Day</v>
      </c>
      <c r="P223" s="211">
        <f ca="1"/>
        <v>0.9311827956989247</v>
      </c>
      <c r="Q223">
        <f ca="1"/>
        <v>4650</v>
      </c>
      <c r="R223">
        <f ca="1"/>
        <v>0</v>
      </c>
    </row>
    <row r="224" spans="2:18">
      <c r="B224" t="str">
        <f ca="1"/>
        <v>C39 APRIL</v>
      </c>
      <c r="C224" s="209">
        <f ca="1"/>
        <v>46120</v>
      </c>
      <c r="D224" t="str">
        <f ca="1"/>
        <v>123&amp;4</v>
      </c>
      <c r="E224" t="str">
        <f ca="1"/>
        <v>C39</v>
      </c>
      <c r="F224" t="str">
        <f ca="1"/>
        <v>multigrain</v>
      </c>
      <c r="G224" s="210">
        <f ca="1"/>
        <v>5400</v>
      </c>
      <c r="H224" s="210">
        <f ca="1"/>
        <v>8</v>
      </c>
      <c r="I224" s="210">
        <f ca="1"/>
        <v>240</v>
      </c>
      <c r="J224" s="210">
        <f ca="1"/>
        <v>12</v>
      </c>
      <c r="K224" s="210">
        <f ca="1"/>
        <v>165</v>
      </c>
      <c r="L224" s="210">
        <f ca="1"/>
        <v>425</v>
      </c>
      <c r="M224" s="210">
        <f ca="1"/>
        <v>4975</v>
      </c>
      <c r="N224" s="210">
        <f ca="1"/>
        <v>6</v>
      </c>
      <c r="O224" t="str">
        <f ca="1"/>
        <v>Day</v>
      </c>
      <c r="P224" s="211">
        <f ca="1"/>
        <v>0.92129629629629628</v>
      </c>
      <c r="Q224">
        <f ca="1"/>
        <v>5400</v>
      </c>
      <c r="R224">
        <f ca="1"/>
        <v>0</v>
      </c>
    </row>
    <row r="225" spans="2:18">
      <c r="B225" t="str">
        <f ca="1"/>
        <v>C39 APRIL</v>
      </c>
      <c r="C225" s="209">
        <f ca="1"/>
        <v>46121</v>
      </c>
      <c r="D225" t="str">
        <f ca="1"/>
        <v>123&amp;4</v>
      </c>
      <c r="E225" t="str">
        <f ca="1"/>
        <v>C39</v>
      </c>
      <c r="F225" t="str">
        <f ca="1"/>
        <v>multigrain</v>
      </c>
      <c r="G225" s="210">
        <f ca="1"/>
        <v>7600</v>
      </c>
      <c r="H225" s="210">
        <f ca="1"/>
        <v>12</v>
      </c>
      <c r="I225" s="210">
        <f ca="1"/>
        <v>230</v>
      </c>
      <c r="J225" s="210">
        <f ca="1"/>
        <v>18</v>
      </c>
      <c r="K225" s="210">
        <f ca="1"/>
        <v>290</v>
      </c>
      <c r="L225" s="210">
        <f ca="1"/>
        <v>550</v>
      </c>
      <c r="M225" s="210">
        <f ca="1"/>
        <v>7050</v>
      </c>
      <c r="N225" s="210">
        <f ca="1"/>
        <v>6</v>
      </c>
      <c r="O225" t="str">
        <f ca="1"/>
        <v>Day</v>
      </c>
      <c r="P225" s="211">
        <f ca="1"/>
        <v>0.92763157894736847</v>
      </c>
      <c r="Q225">
        <f ca="1"/>
        <v>7600</v>
      </c>
      <c r="R225">
        <f ca="1"/>
        <v>0</v>
      </c>
    </row>
    <row r="226" spans="2:18">
      <c r="B226" t="str">
        <f ca="1"/>
        <v>C39 APRIL</v>
      </c>
      <c r="C226" s="209">
        <f ca="1"/>
        <v>46122</v>
      </c>
      <c r="D226" t="str">
        <f ca="1"/>
        <v>123&amp;4</v>
      </c>
      <c r="E226" t="str">
        <f ca="1"/>
        <v>C39</v>
      </c>
      <c r="F226" t="str">
        <f ca="1"/>
        <v>multigrain</v>
      </c>
      <c r="G226" s="210">
        <f ca="1"/>
        <v>7000</v>
      </c>
      <c r="H226" s="210">
        <f ca="1"/>
        <v>9</v>
      </c>
      <c r="I226" s="210">
        <f ca="1"/>
        <v>210</v>
      </c>
      <c r="J226" s="210">
        <f ca="1"/>
        <v>12</v>
      </c>
      <c r="K226" s="210">
        <f ca="1"/>
        <v>254</v>
      </c>
      <c r="L226" s="210">
        <f ca="1"/>
        <v>485</v>
      </c>
      <c r="M226" s="210">
        <f ca="1"/>
        <v>6515</v>
      </c>
      <c r="N226" s="210">
        <f ca="1"/>
        <v>6</v>
      </c>
      <c r="O226" t="str">
        <f ca="1"/>
        <v>Day</v>
      </c>
      <c r="P226" s="211">
        <f ca="1"/>
        <v>0.93071428571428572</v>
      </c>
      <c r="Q226">
        <f ca="1"/>
        <v>7000</v>
      </c>
      <c r="R226">
        <f ca="1"/>
        <v>0</v>
      </c>
    </row>
    <row r="227" spans="2:18">
      <c r="B227" t="str">
        <f ca="1"/>
        <v>C39 APRIL</v>
      </c>
      <c r="C227" s="209">
        <f ca="1"/>
        <v>46123</v>
      </c>
      <c r="D227" t="str">
        <f ca="1"/>
        <v>123&amp;4</v>
      </c>
      <c r="E227" t="str">
        <f ca="1"/>
        <v>C39</v>
      </c>
      <c r="F227" t="str">
        <f ca="1"/>
        <v>multigrain</v>
      </c>
      <c r="G227" s="210">
        <f ca="1"/>
        <v>7400</v>
      </c>
      <c r="H227" s="210">
        <f ca="1"/>
        <v>12</v>
      </c>
      <c r="I227" s="210">
        <f ca="1"/>
        <v>175</v>
      </c>
      <c r="J227" s="210">
        <f ca="1"/>
        <v>18</v>
      </c>
      <c r="K227" s="210">
        <f ca="1"/>
        <v>175</v>
      </c>
      <c r="L227" s="210">
        <f ca="1"/>
        <v>380</v>
      </c>
      <c r="M227" s="210">
        <f ca="1"/>
        <v>7020</v>
      </c>
      <c r="N227" s="210">
        <f ca="1"/>
        <v>6</v>
      </c>
      <c r="O227" t="str">
        <f ca="1"/>
        <v>Day</v>
      </c>
      <c r="P227" s="211">
        <f ca="1"/>
        <v>0.94864864864864851</v>
      </c>
      <c r="Q227">
        <f ca="1"/>
        <v>7400</v>
      </c>
      <c r="R227">
        <f ca="1"/>
        <v>0</v>
      </c>
    </row>
    <row r="228" spans="2:18">
      <c r="B228" t="str">
        <f ca="1"/>
        <v>C39 APRIL</v>
      </c>
      <c r="C228" s="209">
        <f ca="1"/>
        <v>46124</v>
      </c>
      <c r="D228" t="str">
        <f ca="1"/>
        <v>123&amp;4</v>
      </c>
      <c r="E228" t="str">
        <f ca="1"/>
        <v>C39</v>
      </c>
      <c r="F228" t="str">
        <f ca="1"/>
        <v>multigrain</v>
      </c>
      <c r="G228" s="210">
        <f ca="1"/>
        <v>5900</v>
      </c>
      <c r="H228" s="210">
        <f ca="1"/>
        <v>10</v>
      </c>
      <c r="I228" s="210">
        <f ca="1"/>
        <v>160</v>
      </c>
      <c r="J228" s="210">
        <f ca="1"/>
        <v>19</v>
      </c>
      <c r="K228" s="210">
        <f ca="1"/>
        <v>181</v>
      </c>
      <c r="L228" s="210">
        <f ca="1"/>
        <v>370</v>
      </c>
      <c r="M228" s="210">
        <f ca="1"/>
        <v>5530</v>
      </c>
      <c r="N228" s="210">
        <f ca="1"/>
        <v>6</v>
      </c>
      <c r="O228" t="str">
        <f ca="1"/>
        <v>Day</v>
      </c>
      <c r="P228" s="211">
        <f ca="1"/>
        <v>0.93728813559322033</v>
      </c>
      <c r="Q228">
        <f ca="1"/>
        <v>5900</v>
      </c>
      <c r="R228">
        <f ca="1"/>
        <v>0</v>
      </c>
    </row>
    <row r="229" spans="2:18">
      <c r="B229" t="str">
        <f ca="1"/>
        <v>C39 APRIL</v>
      </c>
      <c r="C229" s="209">
        <f ca="1"/>
        <v>46125</v>
      </c>
      <c r="D229" t="str">
        <f ca="1"/>
        <v>123&amp;4</v>
      </c>
      <c r="E229" t="str">
        <f ca="1"/>
        <v>C39</v>
      </c>
      <c r="F229" t="str">
        <f ca="1"/>
        <v>multigrain</v>
      </c>
      <c r="G229" s="210">
        <f ca="1"/>
        <v>3000</v>
      </c>
      <c r="H229" s="210">
        <f ca="1"/>
        <v>8</v>
      </c>
      <c r="I229" s="210">
        <f ca="1"/>
        <v>98</v>
      </c>
      <c r="J229" s="210">
        <f ca="1"/>
        <v>28</v>
      </c>
      <c r="K229" s="210">
        <f ca="1"/>
        <v>66</v>
      </c>
      <c r="L229" s="210">
        <f ca="1"/>
        <v>200</v>
      </c>
      <c r="M229" s="210">
        <f ca="1"/>
        <v>2800</v>
      </c>
      <c r="N229" s="210">
        <f ca="1"/>
        <v>6</v>
      </c>
      <c r="O229" t="str">
        <f ca="1"/>
        <v>day</v>
      </c>
      <c r="P229" s="211">
        <f ca="1"/>
        <v>0.93333333333333324</v>
      </c>
      <c r="Q229">
        <f ca="1"/>
        <v>3000</v>
      </c>
      <c r="R229">
        <f ca="1"/>
        <v>0</v>
      </c>
    </row>
    <row r="230" spans="2:18">
      <c r="B230" t="str">
        <f ca="1"/>
        <v>C39 APRIL</v>
      </c>
      <c r="C230" s="209">
        <f ca="1"/>
        <v>46126</v>
      </c>
      <c r="D230" t="str">
        <f ca="1"/>
        <v>123&amp;4</v>
      </c>
      <c r="E230" t="str">
        <f ca="1"/>
        <v>C39</v>
      </c>
      <c r="F230" t="str">
        <f ca="1"/>
        <v>multigrain</v>
      </c>
      <c r="G230" s="210">
        <f ca="1"/>
        <v>7000</v>
      </c>
      <c r="H230" s="210">
        <f ca="1"/>
        <v>10</v>
      </c>
      <c r="I230" s="210">
        <f ca="1"/>
        <v>198</v>
      </c>
      <c r="J230" s="210">
        <f ca="1"/>
        <v>16</v>
      </c>
      <c r="K230" s="210">
        <f ca="1"/>
        <v>236</v>
      </c>
      <c r="L230" s="210">
        <f ca="1"/>
        <v>460</v>
      </c>
      <c r="M230" s="210">
        <f ca="1"/>
        <v>6540</v>
      </c>
      <c r="N230" s="210">
        <f ca="1"/>
        <v>6</v>
      </c>
      <c r="O230" t="str">
        <f ca="1"/>
        <v>day</v>
      </c>
      <c r="P230" s="211">
        <f ca="1"/>
        <v>0.93428571428571427</v>
      </c>
      <c r="Q230">
        <f ca="1"/>
        <v>7000</v>
      </c>
      <c r="R230">
        <f ca="1"/>
        <v>0</v>
      </c>
    </row>
    <row r="231" spans="2:18">
      <c r="B231" t="str">
        <f ca="1"/>
        <v>C39 APRIL</v>
      </c>
      <c r="C231" s="209">
        <f ca="1"/>
        <v>46127</v>
      </c>
      <c r="D231" t="str">
        <f ca="1"/>
        <v>123&amp;4</v>
      </c>
      <c r="E231" t="str">
        <f ca="1"/>
        <v>C39</v>
      </c>
      <c r="F231" t="str">
        <f ca="1"/>
        <v>multigrain</v>
      </c>
      <c r="G231" s="210">
        <f ca="1"/>
        <v>2150</v>
      </c>
      <c r="H231" s="210">
        <f ca="1"/>
        <v>16</v>
      </c>
      <c r="I231" s="210">
        <f ca="1"/>
        <v>55</v>
      </c>
      <c r="J231" s="210">
        <f ca="1"/>
        <v>15</v>
      </c>
      <c r="K231" s="210">
        <f ca="1"/>
        <v>64</v>
      </c>
      <c r="L231" s="210">
        <f ca="1"/>
        <v>150</v>
      </c>
      <c r="M231" s="210">
        <f ca="1"/>
        <v>2000</v>
      </c>
      <c r="N231" s="210">
        <f ca="1"/>
        <v>6</v>
      </c>
      <c r="O231" t="str">
        <f ca="1"/>
        <v>Day</v>
      </c>
      <c r="P231" s="211">
        <f ca="1"/>
        <v>0.93023255813953487</v>
      </c>
      <c r="Q231">
        <f ca="1"/>
        <v>2150</v>
      </c>
      <c r="R231">
        <f ca="1"/>
        <v>0</v>
      </c>
    </row>
    <row r="232" spans="2:18">
      <c r="B232" t="str">
        <f ca="1"/>
        <v>C39 APRIL</v>
      </c>
      <c r="C232" s="209">
        <f ca="1"/>
        <v>46129</v>
      </c>
      <c r="D232" t="str">
        <f ca="1"/>
        <v>123&amp;4</v>
      </c>
      <c r="E232" t="str">
        <f ca="1"/>
        <v>C39</v>
      </c>
      <c r="F232" t="str">
        <f ca="1"/>
        <v>multigrain</v>
      </c>
      <c r="G232" s="210">
        <f ca="1"/>
        <v>5000</v>
      </c>
      <c r="H232" s="210">
        <f ca="1"/>
        <v>5</v>
      </c>
      <c r="I232" s="210">
        <f ca="1"/>
        <v>137</v>
      </c>
      <c r="J232" s="210">
        <f ca="1"/>
        <v>18</v>
      </c>
      <c r="K232" s="210">
        <f ca="1"/>
        <v>140</v>
      </c>
      <c r="L232" s="210">
        <f ca="1"/>
        <v>300</v>
      </c>
      <c r="M232" s="210">
        <f ca="1"/>
        <v>4700</v>
      </c>
      <c r="N232" s="210">
        <f ca="1"/>
        <v>5</v>
      </c>
      <c r="O232" t="str">
        <f ca="1"/>
        <v>day</v>
      </c>
      <c r="P232" s="211">
        <f ca="1"/>
        <v>0.94</v>
      </c>
      <c r="Q232">
        <f ca="1"/>
        <v>5000</v>
      </c>
      <c r="R232">
        <f ca="1"/>
        <v>0</v>
      </c>
    </row>
    <row r="233" spans="2:18">
      <c r="B233" t="str">
        <f ca="1"/>
        <v>C39 APRIL</v>
      </c>
      <c r="C233" s="209">
        <f ca="1"/>
        <v>46132</v>
      </c>
      <c r="D233" t="str">
        <f ca="1"/>
        <v>123&amp;4</v>
      </c>
      <c r="E233" t="str">
        <f ca="1"/>
        <v>C39</v>
      </c>
      <c r="F233" t="str">
        <f ca="1"/>
        <v>khapli Grains</v>
      </c>
      <c r="G233" s="210">
        <f ca="1"/>
        <v>950</v>
      </c>
      <c r="H233" s="210">
        <f ca="1"/>
        <v>12</v>
      </c>
      <c r="I233" s="210">
        <f ca="1"/>
        <v>40</v>
      </c>
      <c r="J233" s="210">
        <f ca="1"/>
        <v>15</v>
      </c>
      <c r="K233" s="210">
        <f ca="1"/>
        <v>33</v>
      </c>
      <c r="L233" s="210">
        <f ca="1"/>
        <v>100</v>
      </c>
      <c r="M233" s="210">
        <f ca="1"/>
        <v>850</v>
      </c>
      <c r="N233" s="210">
        <f ca="1"/>
        <v>4</v>
      </c>
      <c r="O233" t="str">
        <f ca="1"/>
        <v>Day</v>
      </c>
      <c r="P233" s="211">
        <f ca="1"/>
        <v>0.89473684210526316</v>
      </c>
      <c r="Q233">
        <f ca="1"/>
        <v>950</v>
      </c>
      <c r="R233">
        <f ca="1"/>
        <v>0</v>
      </c>
    </row>
    <row r="234" spans="2:18">
      <c r="B234" t="str">
        <f ca="1"/>
        <v>C39 APRIL</v>
      </c>
      <c r="C234" s="209">
        <f ca="1"/>
        <v>46133</v>
      </c>
      <c r="D234" t="str">
        <f ca="1"/>
        <v>123&amp;4</v>
      </c>
      <c r="E234" t="str">
        <f ca="1"/>
        <v>C39</v>
      </c>
      <c r="F234" t="str">
        <f ca="1"/>
        <v>khapli Grains</v>
      </c>
      <c r="G234" s="210">
        <f ca="1"/>
        <v>8600</v>
      </c>
      <c r="H234" s="210">
        <f ca="1"/>
        <v>90</v>
      </c>
      <c r="I234" s="210">
        <f ca="1"/>
        <v>142</v>
      </c>
      <c r="J234" s="210">
        <f ca="1"/>
        <v>38</v>
      </c>
      <c r="K234" s="210">
        <f ca="1"/>
        <v>330</v>
      </c>
      <c r="L234" s="210">
        <f ca="1"/>
        <v>600</v>
      </c>
      <c r="M234" s="210">
        <f ca="1"/>
        <v>8000</v>
      </c>
      <c r="N234" s="210">
        <f ca="1"/>
        <v>4</v>
      </c>
      <c r="O234" t="str">
        <f ca="1"/>
        <v>Day</v>
      </c>
      <c r="P234" s="211">
        <f ca="1"/>
        <v>0.93023255813953487</v>
      </c>
      <c r="Q234">
        <f ca="1"/>
        <v>8600</v>
      </c>
      <c r="R234">
        <f ca="1"/>
        <v>0</v>
      </c>
    </row>
    <row r="235" spans="2:18">
      <c r="B235" t="str">
        <f ca="1"/>
        <v>C39 APRIL</v>
      </c>
      <c r="C235" s="209">
        <f ca="1"/>
        <v>46134</v>
      </c>
      <c r="D235" t="str">
        <f ca="1"/>
        <v>123&amp;4</v>
      </c>
      <c r="E235" t="str">
        <f ca="1"/>
        <v>C39</v>
      </c>
      <c r="F235" t="str">
        <f ca="1"/>
        <v>khapli Grains</v>
      </c>
      <c r="G235" s="210">
        <f ca="1"/>
        <v>6512</v>
      </c>
      <c r="H235" s="210">
        <f ca="1"/>
        <v>84</v>
      </c>
      <c r="I235" s="210">
        <f ca="1"/>
        <v>106</v>
      </c>
      <c r="J235" s="210">
        <f ca="1"/>
        <v>25</v>
      </c>
      <c r="K235" s="210">
        <f ca="1"/>
        <v>297</v>
      </c>
      <c r="L235" s="210">
        <f ca="1"/>
        <v>512</v>
      </c>
      <c r="M235" s="210">
        <f ca="1"/>
        <v>6000</v>
      </c>
      <c r="N235" s="210">
        <f ca="1"/>
        <v>4</v>
      </c>
      <c r="O235" t="str">
        <f ca="1"/>
        <v>Day</v>
      </c>
      <c r="P235" s="211">
        <f ca="1"/>
        <v>0.92137592137592139</v>
      </c>
      <c r="Q235">
        <f ca="1"/>
        <v>6512</v>
      </c>
      <c r="R235">
        <f ca="1"/>
        <v>0</v>
      </c>
    </row>
    <row r="236" spans="2:18">
      <c r="B236" t="str">
        <f ca="1"/>
        <v>C39 APRIL</v>
      </c>
      <c r="C236" s="209">
        <f ca="1"/>
        <v>46135</v>
      </c>
      <c r="D236" t="str">
        <f ca="1"/>
        <v>123&amp;4</v>
      </c>
      <c r="E236" t="str">
        <f ca="1"/>
        <v>C39</v>
      </c>
      <c r="F236" t="str">
        <f ca="1"/>
        <v>khapli Grains</v>
      </c>
      <c r="G236" s="210">
        <f ca="1"/>
        <v>7000</v>
      </c>
      <c r="H236" s="210">
        <f ca="1"/>
        <v>70</v>
      </c>
      <c r="I236" s="210">
        <f ca="1"/>
        <v>128</v>
      </c>
      <c r="J236" s="210">
        <f ca="1"/>
        <v>22</v>
      </c>
      <c r="K236" s="210">
        <f ca="1"/>
        <v>280</v>
      </c>
      <c r="L236" s="210">
        <f ca="1"/>
        <v>500</v>
      </c>
      <c r="M236" s="210">
        <f ca="1"/>
        <v>6500</v>
      </c>
      <c r="N236" s="210">
        <f ca="1"/>
        <v>4</v>
      </c>
      <c r="O236" t="str">
        <f ca="1"/>
        <v>Day</v>
      </c>
      <c r="P236" s="211">
        <f ca="1"/>
        <v>0.9285714285714286</v>
      </c>
      <c r="Q236">
        <f ca="1"/>
        <v>7000</v>
      </c>
      <c r="R236">
        <f ca="1"/>
        <v>0</v>
      </c>
    </row>
    <row r="237" spans="2:18">
      <c r="B237" t="str">
        <f ca="1"/>
        <v>C39 APRIL</v>
      </c>
      <c r="C237" s="209">
        <f ca="1"/>
        <v>46136</v>
      </c>
      <c r="D237" t="str">
        <f ca="1"/>
        <v>123&amp;4</v>
      </c>
      <c r="E237" t="str">
        <f ca="1"/>
        <v>C39</v>
      </c>
      <c r="F237" t="str">
        <f ca="1"/>
        <v>khapli Grains</v>
      </c>
      <c r="G237" s="210">
        <f ca="1"/>
        <v>8600</v>
      </c>
      <c r="H237" s="210">
        <f ca="1"/>
        <v>95</v>
      </c>
      <c r="I237" s="210">
        <f ca="1"/>
        <v>160</v>
      </c>
      <c r="J237" s="210">
        <f ca="1"/>
        <v>28</v>
      </c>
      <c r="K237" s="210">
        <f ca="1"/>
        <v>355</v>
      </c>
      <c r="L237" s="210">
        <f ca="1"/>
        <v>638</v>
      </c>
      <c r="M237" s="210">
        <f ca="1"/>
        <v>7962</v>
      </c>
      <c r="N237" s="210">
        <f ca="1"/>
        <v>4</v>
      </c>
      <c r="O237" t="str">
        <f ca="1"/>
        <v>Day</v>
      </c>
      <c r="P237" s="211">
        <f ca="1"/>
        <v>0.92581395348837214</v>
      </c>
      <c r="Q237">
        <f ca="1"/>
        <v>8600</v>
      </c>
      <c r="R237">
        <f ca="1"/>
        <v>0</v>
      </c>
    </row>
    <row r="238" spans="2:18">
      <c r="B238" t="str">
        <f ca="1"/>
        <v>C39 APRIL</v>
      </c>
      <c r="C238" s="209">
        <f ca="1"/>
        <v>46137</v>
      </c>
      <c r="D238" t="str">
        <f ca="1"/>
        <v>123&amp;4</v>
      </c>
      <c r="E238" t="str">
        <f ca="1"/>
        <v>C39</v>
      </c>
      <c r="F238" t="str">
        <f ca="1"/>
        <v>khapli Grains</v>
      </c>
      <c r="G238" s="210">
        <f ca="1"/>
        <v>4900</v>
      </c>
      <c r="H238" s="210">
        <f ca="1"/>
        <v>51</v>
      </c>
      <c r="I238" s="210">
        <f ca="1"/>
        <v>98</v>
      </c>
      <c r="J238" s="210">
        <f ca="1"/>
        <v>25</v>
      </c>
      <c r="K238" s="210">
        <f ca="1"/>
        <v>190</v>
      </c>
      <c r="L238" s="210">
        <f ca="1"/>
        <v>364</v>
      </c>
      <c r="M238" s="210">
        <f ca="1"/>
        <v>4536</v>
      </c>
      <c r="N238" s="210">
        <f ca="1"/>
        <v>4</v>
      </c>
      <c r="O238" t="str">
        <f ca="1"/>
        <v>Day</v>
      </c>
      <c r="P238" s="211">
        <f ca="1"/>
        <v>0.92571428571428571</v>
      </c>
      <c r="Q238">
        <f ca="1"/>
        <v>4900</v>
      </c>
      <c r="R238">
        <f ca="1"/>
        <v>0</v>
      </c>
    </row>
    <row r="239" spans="2:18">
      <c r="B239" t="str">
        <f ca="1"/>
        <v>C39 APRIL</v>
      </c>
      <c r="C239" s="209">
        <f ca="1"/>
        <v>46139</v>
      </c>
      <c r="D239" t="str">
        <f ca="1"/>
        <v>123&amp;4</v>
      </c>
      <c r="E239" t="str">
        <f ca="1"/>
        <v>C39</v>
      </c>
      <c r="F239" t="str">
        <f ca="1"/>
        <v>MULTIGRAIN</v>
      </c>
      <c r="G239" s="210">
        <f ca="1"/>
        <v>7000</v>
      </c>
      <c r="H239" s="210">
        <f ca="1"/>
        <v>45</v>
      </c>
      <c r="I239" s="210">
        <f ca="1"/>
        <v>265</v>
      </c>
      <c r="J239" s="210">
        <f ca="1"/>
        <v>30</v>
      </c>
      <c r="K239" s="210">
        <f ca="1"/>
        <v>195</v>
      </c>
      <c r="L239" s="210">
        <f ca="1"/>
        <v>530</v>
      </c>
      <c r="M239" s="210">
        <f ca="1"/>
        <v>6470</v>
      </c>
      <c r="N239" s="210">
        <f ca="1"/>
        <v>4</v>
      </c>
      <c r="O239" t="str">
        <f ca="1"/>
        <v>Day</v>
      </c>
      <c r="P239" s="211">
        <f ca="1"/>
        <v>0.92428571428571427</v>
      </c>
      <c r="Q239">
        <f ca="1"/>
        <v>7000</v>
      </c>
      <c r="R239">
        <f ca="1"/>
        <v>0</v>
      </c>
    </row>
    <row r="240" spans="2:18">
      <c r="B240" t="str">
        <f ca="1"/>
        <v>C39 APRIL</v>
      </c>
      <c r="C240" s="209">
        <f ca="1"/>
        <v>46140</v>
      </c>
      <c r="D240" t="str">
        <f ca="1"/>
        <v>123&amp;4</v>
      </c>
      <c r="E240" t="str">
        <f ca="1"/>
        <v>C39</v>
      </c>
      <c r="F240" t="str">
        <f ca="1"/>
        <v>MULTIGRAIN</v>
      </c>
      <c r="G240" s="210">
        <f ca="1"/>
        <v>7449</v>
      </c>
      <c r="H240" s="210">
        <f ca="1"/>
        <v>52</v>
      </c>
      <c r="I240" s="210">
        <f ca="1"/>
        <v>270</v>
      </c>
      <c r="J240" s="210">
        <f ca="1"/>
        <v>20</v>
      </c>
      <c r="K240" s="210">
        <f ca="1"/>
        <v>215</v>
      </c>
      <c r="L240" s="210">
        <f ca="1"/>
        <v>557</v>
      </c>
      <c r="M240" s="210">
        <f ca="1"/>
        <v>6892</v>
      </c>
      <c r="N240" s="210">
        <f ca="1"/>
        <v>4</v>
      </c>
      <c r="O240" t="str">
        <f ca="1"/>
        <v>day</v>
      </c>
      <c r="P240" s="211">
        <f ca="1"/>
        <v>0.92400000000000004</v>
      </c>
      <c r="Q240">
        <f ca="1"/>
        <v>7449</v>
      </c>
      <c r="R240">
        <f ca="1"/>
        <v>0</v>
      </c>
    </row>
    <row r="241" spans="2:18">
      <c r="B241" t="str">
        <f ca="1"/>
        <v>C39 APRIL</v>
      </c>
      <c r="C241" s="209">
        <f ca="1"/>
        <v>46141</v>
      </c>
      <c r="D241" t="str">
        <f ca="1"/>
        <v>123&amp;4</v>
      </c>
      <c r="E241" t="str">
        <f ca="1"/>
        <v>C39</v>
      </c>
      <c r="F241" t="str">
        <f ca="1"/>
        <v>MULTIGRAIN</v>
      </c>
      <c r="G241" s="210">
        <f ca="1"/>
        <v>7900</v>
      </c>
      <c r="H241" s="210">
        <f ca="1"/>
        <v>85</v>
      </c>
      <c r="I241" s="210">
        <f ca="1"/>
        <v>235</v>
      </c>
      <c r="J241" s="210">
        <f ca="1"/>
        <v>25</v>
      </c>
      <c r="K241" s="210">
        <f ca="1"/>
        <v>222</v>
      </c>
      <c r="L241" s="210">
        <f ca="1"/>
        <v>567</v>
      </c>
      <c r="M241" s="210">
        <f ca="1"/>
        <v>7333</v>
      </c>
      <c r="N241" s="210">
        <f ca="1"/>
        <v>4</v>
      </c>
      <c r="O241" t="str">
        <f ca="1"/>
        <v>DAY</v>
      </c>
      <c r="P241" s="211">
        <f ca="1"/>
        <v>0.92819999999999991</v>
      </c>
      <c r="Q241">
        <f ca="1"/>
        <v>7900</v>
      </c>
      <c r="R241">
        <f ca="1"/>
        <v>0</v>
      </c>
    </row>
    <row r="242" spans="2:18">
      <c r="B242" t="str">
        <f ca="1"/>
        <v>C39 APRIL</v>
      </c>
      <c r="C242" s="209">
        <f ca="1"/>
        <v>46142</v>
      </c>
      <c r="D242" t="str">
        <f ca="1"/>
        <v>123&amp;4</v>
      </c>
      <c r="E242" t="str">
        <f ca="1"/>
        <v>C39</v>
      </c>
      <c r="F242" t="str">
        <f ca="1"/>
        <v>MULTIGRAIN</v>
      </c>
      <c r="G242" s="210">
        <f ca="1"/>
        <v>2000</v>
      </c>
      <c r="H242" s="210">
        <f ca="1"/>
        <v>15</v>
      </c>
      <c r="I242" s="210">
        <f ca="1"/>
        <v>75</v>
      </c>
      <c r="J242" s="210">
        <f ca="1"/>
        <v>15</v>
      </c>
      <c r="K242" s="210">
        <f ca="1"/>
        <v>83</v>
      </c>
      <c r="L242" s="210">
        <f ca="1"/>
        <v>125</v>
      </c>
      <c r="M242" s="210">
        <f ca="1"/>
        <v>1875</v>
      </c>
      <c r="N242" s="210">
        <f ca="1"/>
        <v>4</v>
      </c>
      <c r="O242" t="str">
        <f ca="1"/>
        <v>DAY</v>
      </c>
      <c r="P242" s="211">
        <f ca="1"/>
        <v>0.9375</v>
      </c>
      <c r="Q242">
        <f ca="1"/>
        <v>2000</v>
      </c>
      <c r="R242">
        <f ca="1"/>
        <v>0</v>
      </c>
    </row>
    <row r="243" spans="2:18">
      <c r="B243" t="str">
        <f ca="1"/>
        <v>C6-MAY</v>
      </c>
      <c r="C243" s="209">
        <f ca="1"/>
        <v>46144</v>
      </c>
      <c r="D243" t="str">
        <f ca="1"/>
        <v>chakki1,2,3</v>
      </c>
      <c r="E243" t="str">
        <f ca="1"/>
        <v>C6</v>
      </c>
      <c r="F243" t="str">
        <f ca="1"/>
        <v>jowar</v>
      </c>
      <c r="G243" s="210">
        <f ca="1"/>
        <v>1850</v>
      </c>
      <c r="H243" s="210">
        <f ca="1"/>
        <v>0</v>
      </c>
      <c r="I243" s="210">
        <f ca="1"/>
        <v>41</v>
      </c>
      <c r="J243" s="210">
        <f ca="1"/>
        <v>4</v>
      </c>
      <c r="K243" s="210">
        <f ca="1"/>
        <v>82.1</v>
      </c>
      <c r="L243" s="210">
        <f ca="1"/>
        <v>127.1</v>
      </c>
      <c r="M243" s="210">
        <f ca="1"/>
        <v>1722.9</v>
      </c>
      <c r="N243" s="210">
        <f ca="1"/>
        <v>3</v>
      </c>
      <c r="O243" t="str">
        <f ca="1"/>
        <v>DAY</v>
      </c>
      <c r="P243" s="211">
        <f ca="1"/>
        <v>0.93129729729729727</v>
      </c>
      <c r="Q243">
        <f ca="1"/>
        <v>1850</v>
      </c>
      <c r="R243">
        <f ca="1"/>
        <v>0</v>
      </c>
    </row>
    <row r="244" spans="2:18">
      <c r="B244" t="str">
        <f ca="1"/>
        <v>C6-MAY</v>
      </c>
      <c r="C244" s="209">
        <f ca="1"/>
        <v>46144</v>
      </c>
      <c r="D244" t="str">
        <f ca="1"/>
        <v>chakki1,2,3</v>
      </c>
      <c r="E244" t="str">
        <f ca="1"/>
        <v>C6</v>
      </c>
      <c r="F244" t="str">
        <f ca="1"/>
        <v xml:space="preserve">khapli </v>
      </c>
      <c r="G244" s="210">
        <f ca="1"/>
        <v>1200</v>
      </c>
      <c r="H244" s="210">
        <f ca="1"/>
        <v>0</v>
      </c>
      <c r="I244" s="210">
        <f ca="1"/>
        <v>48</v>
      </c>
      <c r="J244" s="210">
        <f ca="1"/>
        <v>5</v>
      </c>
      <c r="K244" s="210">
        <f ca="1"/>
        <v>59</v>
      </c>
      <c r="L244" s="210">
        <f ca="1"/>
        <v>112</v>
      </c>
      <c r="M244" s="210">
        <f ca="1"/>
        <v>1088</v>
      </c>
      <c r="N244" s="210">
        <f ca="1"/>
        <v>3</v>
      </c>
      <c r="O244" t="str">
        <f ca="1"/>
        <v>DAY</v>
      </c>
      <c r="P244" s="211">
        <f ca="1"/>
        <v>0.90666666666666662</v>
      </c>
      <c r="Q244">
        <f ca="1"/>
        <v>1200</v>
      </c>
      <c r="R244">
        <f ca="1"/>
        <v>0</v>
      </c>
    </row>
    <row r="245" spans="2:18">
      <c r="B245" t="str">
        <f ca="1"/>
        <v>C6-MAY</v>
      </c>
      <c r="C245" s="209">
        <f ca="1"/>
        <v>46146</v>
      </c>
      <c r="D245" t="str">
        <f ca="1"/>
        <v>chakki1,2,3</v>
      </c>
      <c r="E245" t="str">
        <f ca="1"/>
        <v>C6</v>
      </c>
      <c r="F245" t="str">
        <f ca="1"/>
        <v xml:space="preserve">khapli </v>
      </c>
      <c r="G245" s="210">
        <f ca="1"/>
        <v>3100</v>
      </c>
      <c r="H245" s="210">
        <f ca="1"/>
        <v>25</v>
      </c>
      <c r="I245" s="210">
        <f ca="1"/>
        <v>70</v>
      </c>
      <c r="J245" s="210">
        <f ca="1"/>
        <v>5</v>
      </c>
      <c r="K245" s="210">
        <f ca="1"/>
        <v>100</v>
      </c>
      <c r="L245" s="210">
        <f ca="1"/>
        <v>200</v>
      </c>
      <c r="M245" s="210">
        <f ca="1"/>
        <v>2900</v>
      </c>
      <c r="N245" s="210">
        <f ca="1"/>
        <v>4</v>
      </c>
      <c r="O245" t="str">
        <f ca="1"/>
        <v>DAY</v>
      </c>
      <c r="P245" s="211">
        <f ca="1"/>
        <v>0.93548387096774188</v>
      </c>
      <c r="Q245">
        <f ca="1"/>
        <v>3100</v>
      </c>
      <c r="R245">
        <f ca="1"/>
        <v>0</v>
      </c>
    </row>
    <row r="246" spans="2:18">
      <c r="B246" t="str">
        <f ca="1"/>
        <v>C6-MAY</v>
      </c>
      <c r="C246" s="209">
        <f ca="1"/>
        <v>46147</v>
      </c>
      <c r="D246" t="str">
        <f ca="1"/>
        <v>chakki1,2,3</v>
      </c>
      <c r="E246" t="str">
        <f ca="1"/>
        <v>C6</v>
      </c>
      <c r="F246" t="str">
        <f ca="1"/>
        <v xml:space="preserve">khapli </v>
      </c>
      <c r="G246" s="210">
        <f ca="1"/>
        <v>2450</v>
      </c>
      <c r="H246" s="210">
        <f ca="1"/>
        <v>10</v>
      </c>
      <c r="I246" s="210">
        <f ca="1"/>
        <v>105</v>
      </c>
      <c r="J246" s="210">
        <f ca="1"/>
        <v>16</v>
      </c>
      <c r="K246" s="210">
        <f ca="1"/>
        <v>99</v>
      </c>
      <c r="L246" s="210">
        <f ca="1"/>
        <v>230</v>
      </c>
      <c r="M246" s="210">
        <f ca="1"/>
        <v>2220</v>
      </c>
      <c r="N246" s="210">
        <f ca="1"/>
        <v>3</v>
      </c>
      <c r="O246" t="str">
        <f ca="1"/>
        <v>DAY</v>
      </c>
      <c r="P246" s="211">
        <f ca="1"/>
        <v>0.90612244897959182</v>
      </c>
      <c r="Q246">
        <f ca="1"/>
        <v>2450</v>
      </c>
      <c r="R246">
        <f ca="1"/>
        <v>0</v>
      </c>
    </row>
    <row r="247" spans="2:18">
      <c r="B247" t="str">
        <f ca="1"/>
        <v>C6-MAY</v>
      </c>
      <c r="C247" s="209">
        <f ca="1"/>
        <v>46148</v>
      </c>
      <c r="D247" t="str">
        <f ca="1"/>
        <v>chakki1,2,3</v>
      </c>
      <c r="E247" t="str">
        <f ca="1"/>
        <v>C6</v>
      </c>
      <c r="F247" t="str">
        <f ca="1"/>
        <v xml:space="preserve">khapli </v>
      </c>
      <c r="G247" s="210">
        <f ca="1"/>
        <v>2650</v>
      </c>
      <c r="H247" s="210">
        <f ca="1"/>
        <v>12</v>
      </c>
      <c r="I247" s="210">
        <f ca="1"/>
        <v>35</v>
      </c>
      <c r="J247" s="210">
        <f ca="1"/>
        <v>6</v>
      </c>
      <c r="K247" s="210">
        <f ca="1"/>
        <v>89</v>
      </c>
      <c r="L247" s="210">
        <f ca="1"/>
        <v>142</v>
      </c>
      <c r="M247" s="210">
        <f ca="1"/>
        <v>2508</v>
      </c>
      <c r="N247" s="210">
        <f ca="1"/>
        <v>3</v>
      </c>
      <c r="O247" t="str">
        <f ca="1"/>
        <v>DAY</v>
      </c>
      <c r="P247" s="211">
        <f ca="1"/>
        <v>0.94641509433962268</v>
      </c>
      <c r="Q247">
        <f ca="1"/>
        <v>2650</v>
      </c>
      <c r="R247">
        <f ca="1"/>
        <v>0</v>
      </c>
    </row>
    <row r="248" spans="2:18">
      <c r="B248" t="str">
        <f ca="1"/>
        <v>C6-MAY</v>
      </c>
      <c r="C248" s="209">
        <f ca="1"/>
        <v>46149</v>
      </c>
      <c r="D248" t="str">
        <f ca="1"/>
        <v>chakki1,2,3</v>
      </c>
      <c r="E248" t="str">
        <f ca="1"/>
        <v>C6</v>
      </c>
      <c r="F248" t="str">
        <f ca="1"/>
        <v xml:space="preserve">khapli </v>
      </c>
      <c r="G248" s="210">
        <f ca="1"/>
        <v>750</v>
      </c>
      <c r="H248" s="210">
        <f ca="1"/>
        <v>7</v>
      </c>
      <c r="I248" s="210">
        <f ca="1"/>
        <v>10</v>
      </c>
      <c r="J248" s="210">
        <f ca="1"/>
        <v>3</v>
      </c>
      <c r="K248" s="210">
        <f ca="1"/>
        <v>30</v>
      </c>
      <c r="L248" s="210">
        <f ca="1"/>
        <v>50</v>
      </c>
      <c r="M248" s="210">
        <f ca="1"/>
        <v>700</v>
      </c>
      <c r="N248" s="210">
        <f ca="1"/>
        <v>4</v>
      </c>
      <c r="O248" t="str">
        <f ca="1"/>
        <v>DAY</v>
      </c>
      <c r="P248" s="211">
        <f ca="1"/>
        <v>0.93333333333333324</v>
      </c>
      <c r="Q248">
        <f ca="1"/>
        <v>750</v>
      </c>
      <c r="R248">
        <f ca="1"/>
        <v>0</v>
      </c>
    </row>
    <row r="249" spans="2:18">
      <c r="B249" t="str">
        <f ca="1"/>
        <v>C6-MAY</v>
      </c>
      <c r="C249" s="209">
        <f ca="1"/>
        <v>46150</v>
      </c>
      <c r="D249" t="str">
        <f ca="1"/>
        <v>chakki1,2,3</v>
      </c>
      <c r="E249" t="str">
        <f ca="1"/>
        <v>C6</v>
      </c>
      <c r="F249" t="str">
        <f ca="1"/>
        <v>khapli Multigrain</v>
      </c>
      <c r="G249" s="210">
        <f ca="1"/>
        <v>2700</v>
      </c>
      <c r="H249" s="210">
        <f ca="1"/>
        <v>20</v>
      </c>
      <c r="I249" s="210">
        <f ca="1"/>
        <v>35</v>
      </c>
      <c r="J249" s="210">
        <f ca="1"/>
        <v>5</v>
      </c>
      <c r="K249" s="210">
        <f ca="1"/>
        <v>110</v>
      </c>
      <c r="L249" s="210">
        <f ca="1"/>
        <v>170</v>
      </c>
      <c r="M249" s="210">
        <f ca="1"/>
        <v>2530</v>
      </c>
      <c r="N249" s="210">
        <f ca="1"/>
        <v>3</v>
      </c>
      <c r="O249" t="str">
        <f ca="1"/>
        <v>DAY</v>
      </c>
      <c r="P249" s="211">
        <f ca="1"/>
        <v>0.937037037037037</v>
      </c>
      <c r="Q249">
        <f ca="1"/>
        <v>2700</v>
      </c>
      <c r="R249">
        <f ca="1"/>
        <v>0</v>
      </c>
    </row>
    <row r="250" spans="2:18">
      <c r="B250" t="str">
        <f ca="1"/>
        <v>C6-MAY</v>
      </c>
      <c r="C250" s="209">
        <f ca="1"/>
        <v>46151</v>
      </c>
      <c r="D250" t="str">
        <f ca="1"/>
        <v>chakki1,2,3</v>
      </c>
      <c r="E250" t="str">
        <f ca="1"/>
        <v>C6</v>
      </c>
      <c r="F250" t="str">
        <f ca="1"/>
        <v>khapli Multigrain</v>
      </c>
      <c r="G250" s="210">
        <f ca="1"/>
        <v>300</v>
      </c>
      <c r="H250" s="210">
        <f ca="1"/>
        <v>5</v>
      </c>
      <c r="I250" s="210">
        <f ca="1"/>
        <v>4</v>
      </c>
      <c r="J250" s="210">
        <f ca="1"/>
        <v>1</v>
      </c>
      <c r="K250" s="210">
        <f ca="1"/>
        <v>10</v>
      </c>
      <c r="L250" s="210">
        <f ca="1"/>
        <v>20</v>
      </c>
      <c r="M250" s="210">
        <f ca="1"/>
        <v>280</v>
      </c>
      <c r="N250" s="210">
        <f ca="1"/>
        <v>4</v>
      </c>
      <c r="O250" t="str">
        <f ca="1"/>
        <v>DAY</v>
      </c>
      <c r="P250" s="211">
        <f ca="1"/>
        <v>0.93333333333333324</v>
      </c>
      <c r="Q250">
        <f ca="1"/>
        <v>300</v>
      </c>
      <c r="R250">
        <f ca="1"/>
        <v>0</v>
      </c>
    </row>
    <row r="251" spans="2:18">
      <c r="B251" t="str">
        <f ca="1"/>
        <v>C6-MAY</v>
      </c>
      <c r="C251" s="209">
        <f ca="1"/>
        <v>46151</v>
      </c>
      <c r="D251" t="str">
        <f ca="1"/>
        <v>chakki1,2,3</v>
      </c>
      <c r="E251" t="str">
        <f ca="1"/>
        <v>NEW PLANT</v>
      </c>
      <c r="F251" t="str">
        <f ca="1"/>
        <v>HIGH PROTEIN ATTA</v>
      </c>
      <c r="G251" s="210">
        <f ca="1"/>
        <v>1455</v>
      </c>
      <c r="H251" s="210">
        <f ca="1"/>
        <v>2</v>
      </c>
      <c r="I251" s="210">
        <f ca="1"/>
        <v>30</v>
      </c>
      <c r="J251" s="210">
        <f ca="1"/>
        <v>7</v>
      </c>
      <c r="K251" s="210">
        <f ca="1"/>
        <v>70</v>
      </c>
      <c r="L251" s="210">
        <f ca="1"/>
        <v>109</v>
      </c>
      <c r="M251" s="210">
        <f ca="1"/>
        <v>1346</v>
      </c>
      <c r="N251" s="210">
        <f ca="1"/>
        <v>4</v>
      </c>
      <c r="O251" t="str">
        <f ca="1"/>
        <v>DAY</v>
      </c>
      <c r="P251" s="211">
        <f ca="1"/>
        <v>0.9250859106529209</v>
      </c>
      <c r="Q251">
        <f ca="1"/>
        <v>1455</v>
      </c>
      <c r="R251">
        <f ca="1"/>
        <v>0</v>
      </c>
    </row>
    <row r="252" spans="2:18">
      <c r="B252" t="str">
        <f ca="1"/>
        <v>C6-MAY</v>
      </c>
      <c r="C252" s="209">
        <f ca="1"/>
        <v>46153</v>
      </c>
      <c r="D252" t="str">
        <f ca="1"/>
        <v>chakki1,2,3</v>
      </c>
      <c r="E252" t="str">
        <f ca="1"/>
        <v>NEW PLANT</v>
      </c>
      <c r="F252" t="str">
        <f ca="1"/>
        <v>HIGH PROTEIN ATTA</v>
      </c>
      <c r="G252" s="210">
        <f ca="1"/>
        <v>1649</v>
      </c>
      <c r="H252" s="210">
        <f ca="1"/>
        <v>0</v>
      </c>
      <c r="I252" s="210">
        <f ca="1"/>
        <v>43</v>
      </c>
      <c r="J252" s="210">
        <f ca="1"/>
        <v>3</v>
      </c>
      <c r="K252" s="210">
        <f ca="1"/>
        <v>75</v>
      </c>
      <c r="L252" s="210">
        <f ca="1"/>
        <v>121</v>
      </c>
      <c r="M252" s="210">
        <f ca="1"/>
        <v>1528</v>
      </c>
      <c r="N252" s="210">
        <f ca="1"/>
        <v>3</v>
      </c>
      <c r="O252" t="str">
        <f ca="1"/>
        <v>DAY</v>
      </c>
      <c r="P252" s="211">
        <f ca="1"/>
        <v>0.92662219526986045</v>
      </c>
      <c r="Q252">
        <f ca="1"/>
        <v>1649</v>
      </c>
      <c r="R252">
        <f ca="1"/>
        <v>0</v>
      </c>
    </row>
    <row r="253" spans="2:18">
      <c r="B253" t="str">
        <f ca="1"/>
        <v>C6-MAY</v>
      </c>
      <c r="C253" s="209">
        <f ca="1"/>
        <v>46154</v>
      </c>
      <c r="D253" t="str">
        <f ca="1"/>
        <v>chakki1,2,3</v>
      </c>
      <c r="E253" t="str">
        <f ca="1"/>
        <v>NEW PLANT</v>
      </c>
      <c r="F253" t="str">
        <f ca="1"/>
        <v>HIGH PROTEIN ATTA</v>
      </c>
      <c r="G253" s="210">
        <f ca="1"/>
        <v>2122</v>
      </c>
      <c r="H253" s="210">
        <f ca="1"/>
        <v>15</v>
      </c>
      <c r="I253" s="210">
        <f ca="1"/>
        <v>35</v>
      </c>
      <c r="J253" s="210">
        <f ca="1"/>
        <v>5</v>
      </c>
      <c r="K253" s="210">
        <f ca="1"/>
        <v>112</v>
      </c>
      <c r="L253" s="210">
        <f ca="1"/>
        <v>167</v>
      </c>
      <c r="M253" s="210">
        <f ca="1"/>
        <v>1955</v>
      </c>
      <c r="N253" s="210">
        <f ca="1"/>
        <v>3</v>
      </c>
      <c r="O253" t="str">
        <f ca="1"/>
        <v>DAY</v>
      </c>
      <c r="P253" s="211">
        <f ca="1"/>
        <v>0.92130065975494813</v>
      </c>
      <c r="Q253">
        <f ca="1"/>
        <v>2122</v>
      </c>
      <c r="R253">
        <f ca="1"/>
        <v>0</v>
      </c>
    </row>
    <row r="254" spans="2:18">
      <c r="B254" t="str">
        <f ca="1"/>
        <v>C6-MAY</v>
      </c>
      <c r="C254" s="209">
        <f ca="1"/>
        <v>46154</v>
      </c>
      <c r="D254" t="str">
        <f ca="1"/>
        <v>chakki1,2,3</v>
      </c>
      <c r="E254" t="str">
        <f ca="1"/>
        <v>C6</v>
      </c>
      <c r="F254" t="str">
        <f ca="1"/>
        <v>khapli Multigrain</v>
      </c>
      <c r="G254" s="210">
        <f ca="1"/>
        <v>1500</v>
      </c>
      <c r="H254" s="210">
        <f ca="1"/>
        <v>15</v>
      </c>
      <c r="I254" s="210">
        <f ca="1"/>
        <v>25</v>
      </c>
      <c r="J254" s="210">
        <f ca="1"/>
        <v>5</v>
      </c>
      <c r="K254" s="210">
        <f ca="1"/>
        <v>105</v>
      </c>
      <c r="L254" s="210">
        <f ca="1"/>
        <v>150</v>
      </c>
      <c r="M254" s="210">
        <f ca="1"/>
        <v>1350</v>
      </c>
      <c r="N254" s="210">
        <f ca="1"/>
        <v>3</v>
      </c>
      <c r="O254" t="str">
        <f ca="1"/>
        <v>DAY</v>
      </c>
      <c r="P254" s="211">
        <f ca="1"/>
        <v>0.9</v>
      </c>
      <c r="Q254">
        <f ca="1"/>
        <v>1500</v>
      </c>
      <c r="R254">
        <f ca="1"/>
        <v>0</v>
      </c>
    </row>
    <row r="255" spans="2:18">
      <c r="B255" t="str">
        <f ca="1"/>
        <v>C6-MAY</v>
      </c>
      <c r="C255" s="209">
        <f ca="1"/>
        <v>46155</v>
      </c>
      <c r="D255" t="str">
        <f ca="1"/>
        <v>chakki1,2,3</v>
      </c>
      <c r="E255" t="str">
        <f ca="1"/>
        <v>C6</v>
      </c>
      <c r="F255" t="str">
        <f ca="1"/>
        <v>HIGH PROTEIN ATTA</v>
      </c>
      <c r="G255" s="210">
        <f ca="1"/>
        <v>2095</v>
      </c>
      <c r="H255" s="210">
        <f ca="1"/>
        <v>5</v>
      </c>
      <c r="I255" s="210">
        <f ca="1"/>
        <v>34</v>
      </c>
      <c r="J255" s="210">
        <f ca="1"/>
        <v>5</v>
      </c>
      <c r="K255" s="210">
        <f ca="1"/>
        <v>90</v>
      </c>
      <c r="L255" s="210">
        <f ca="1"/>
        <v>135</v>
      </c>
      <c r="M255" s="210">
        <f ca="1"/>
        <v>1960</v>
      </c>
      <c r="N255" s="210">
        <f ca="1"/>
        <v>4</v>
      </c>
      <c r="O255" t="str">
        <f ca="1"/>
        <v>DAY</v>
      </c>
      <c r="P255" s="211">
        <f ca="1"/>
        <v>0.93556085918854426</v>
      </c>
      <c r="Q255">
        <f ca="1"/>
        <v>2095</v>
      </c>
      <c r="R255">
        <f ca="1"/>
        <v>0</v>
      </c>
    </row>
    <row r="256" spans="2:18">
      <c r="B256" t="str">
        <f ca="1"/>
        <v>C6-MAY</v>
      </c>
      <c r="C256" s="209">
        <f ca="1"/>
        <v>46156</v>
      </c>
      <c r="D256" t="str">
        <f ca="1"/>
        <v>chakki1,2,3</v>
      </c>
      <c r="E256" t="str">
        <f ca="1"/>
        <v>C6</v>
      </c>
      <c r="F256" t="str">
        <f ca="1"/>
        <v xml:space="preserve">khapli </v>
      </c>
      <c r="G256" s="210">
        <f ca="1"/>
        <v>2400</v>
      </c>
      <c r="H256" s="210">
        <f ca="1"/>
        <v>10</v>
      </c>
      <c r="I256" s="210">
        <f ca="1"/>
        <v>40</v>
      </c>
      <c r="J256" s="210">
        <f ca="1"/>
        <v>2</v>
      </c>
      <c r="K256" s="210">
        <f ca="1"/>
        <v>85</v>
      </c>
      <c r="L256" s="210">
        <f ca="1"/>
        <v>137</v>
      </c>
      <c r="M256" s="210">
        <f ca="1"/>
        <v>2263</v>
      </c>
      <c r="N256" s="210">
        <f ca="1"/>
        <v>3</v>
      </c>
      <c r="O256" t="str">
        <f ca="1"/>
        <v>DAY</v>
      </c>
      <c r="P256" s="211">
        <f ca="1"/>
        <v>0.94291666666666663</v>
      </c>
      <c r="Q256">
        <f ca="1"/>
        <v>2400</v>
      </c>
      <c r="R256">
        <f ca="1"/>
        <v>0</v>
      </c>
    </row>
    <row r="257" spans="2:18">
      <c r="B257" t="str">
        <f ca="1"/>
        <v>C6-MAY</v>
      </c>
      <c r="C257" s="209">
        <f ca="1"/>
        <v>46157</v>
      </c>
      <c r="D257" t="str">
        <f ca="1"/>
        <v>chakki1,2,3</v>
      </c>
      <c r="E257" t="str">
        <f ca="1"/>
        <v>C6</v>
      </c>
      <c r="F257" t="str">
        <f ca="1"/>
        <v xml:space="preserve">khapli </v>
      </c>
      <c r="G257" s="210">
        <f ca="1"/>
        <v>2400</v>
      </c>
      <c r="H257" s="210">
        <f ca="1"/>
        <v>4</v>
      </c>
      <c r="I257" s="210">
        <f ca="1"/>
        <v>40</v>
      </c>
      <c r="J257" s="210">
        <f ca="1"/>
        <v>2</v>
      </c>
      <c r="K257" s="210">
        <f ca="1"/>
        <v>79</v>
      </c>
      <c r="L257" s="210">
        <f ca="1"/>
        <v>125</v>
      </c>
      <c r="M257" s="210">
        <f ca="1"/>
        <v>2275</v>
      </c>
      <c r="N257" s="210">
        <f ca="1"/>
        <v>3</v>
      </c>
      <c r="O257" t="str">
        <f ca="1"/>
        <v>DAY</v>
      </c>
      <c r="P257" s="211">
        <f ca="1"/>
        <v>0.94791666666666652</v>
      </c>
      <c r="Q257">
        <f ca="1"/>
        <v>2400</v>
      </c>
      <c r="R257">
        <f ca="1"/>
        <v>0</v>
      </c>
    </row>
    <row r="258" spans="2:18">
      <c r="B258" t="str">
        <f ca="1"/>
        <v>C6-MAY</v>
      </c>
      <c r="C258" s="209">
        <f ca="1"/>
        <v>46158</v>
      </c>
      <c r="D258" t="str">
        <f ca="1"/>
        <v>chakki1,2,3</v>
      </c>
      <c r="E258" t="str">
        <f ca="1"/>
        <v>C6</v>
      </c>
      <c r="F258" t="str">
        <f ca="1"/>
        <v>jowar grains</v>
      </c>
      <c r="G258" s="210">
        <f ca="1"/>
        <v>1030</v>
      </c>
      <c r="H258" s="210">
        <f ca="1"/>
        <v>10</v>
      </c>
      <c r="I258" s="210">
        <f ca="1"/>
        <v>14</v>
      </c>
      <c r="J258" s="210">
        <f ca="1"/>
        <v>1</v>
      </c>
      <c r="K258" s="210">
        <f ca="1"/>
        <v>50</v>
      </c>
      <c r="L258" s="210">
        <f ca="1"/>
        <v>76</v>
      </c>
      <c r="M258" s="210">
        <f ca="1"/>
        <v>954</v>
      </c>
      <c r="N258" s="210">
        <f ca="1"/>
        <v>6</v>
      </c>
      <c r="O258" t="str">
        <f ca="1"/>
        <v>DAY</v>
      </c>
      <c r="P258" s="211">
        <f ca="1"/>
        <v>0.9262135922330097</v>
      </c>
      <c r="Q258">
        <f ca="1"/>
        <v>1030</v>
      </c>
      <c r="R258">
        <f ca="1"/>
        <v>0</v>
      </c>
    </row>
    <row r="259" spans="2:18">
      <c r="B259" t="str">
        <f ca="1"/>
        <v>C6-MAY</v>
      </c>
      <c r="C259" s="209">
        <f ca="1"/>
        <v>46158</v>
      </c>
      <c r="D259" t="str">
        <f ca="1"/>
        <v>chakki1,2,3</v>
      </c>
      <c r="E259" t="str">
        <f ca="1"/>
        <v>NEW PLANT</v>
      </c>
      <c r="F259" t="str">
        <f ca="1"/>
        <v>khapli Multigrain</v>
      </c>
      <c r="G259" s="210">
        <f ca="1"/>
        <v>2350</v>
      </c>
      <c r="H259" s="210">
        <f ca="1"/>
        <v>0</v>
      </c>
      <c r="I259" s="210">
        <f ca="1"/>
        <v>60</v>
      </c>
      <c r="J259" s="210">
        <f ca="1"/>
        <v>2</v>
      </c>
      <c r="K259" s="210">
        <f ca="1"/>
        <v>86</v>
      </c>
      <c r="L259" s="210">
        <f ca="1"/>
        <v>148</v>
      </c>
      <c r="M259" s="210">
        <f ca="1"/>
        <v>2202</v>
      </c>
      <c r="N259" s="210">
        <f ca="1"/>
        <v>6</v>
      </c>
      <c r="O259" t="str">
        <f ca="1"/>
        <v>DAY</v>
      </c>
      <c r="P259" s="211">
        <f ca="1"/>
        <v>0.93702127659574463</v>
      </c>
      <c r="Q259">
        <f ca="1"/>
        <v>2350</v>
      </c>
      <c r="R259">
        <f ca="1"/>
        <v>0</v>
      </c>
    </row>
    <row r="260" spans="2:18">
      <c r="B260" t="str">
        <f ca="1"/>
        <v>C6-MAY</v>
      </c>
      <c r="C260" s="209">
        <f ca="1"/>
        <v>46160</v>
      </c>
      <c r="D260" t="str">
        <f ca="1"/>
        <v>chakki1,2,3</v>
      </c>
      <c r="E260" t="str">
        <f ca="1"/>
        <v>NEW PLANT</v>
      </c>
      <c r="F260" t="str">
        <f ca="1"/>
        <v>khapli Multigrain</v>
      </c>
      <c r="G260" s="210">
        <f ca="1"/>
        <v>3450</v>
      </c>
      <c r="H260" s="210">
        <f ca="1"/>
        <v>0</v>
      </c>
      <c r="I260" s="210">
        <f ca="1"/>
        <v>77</v>
      </c>
      <c r="J260" s="210">
        <f ca="1"/>
        <v>3</v>
      </c>
      <c r="K260" s="210">
        <f ca="1"/>
        <v>150</v>
      </c>
      <c r="L260" s="210">
        <f ca="1"/>
        <v>230</v>
      </c>
      <c r="M260" s="210">
        <f ca="1"/>
        <v>3220</v>
      </c>
      <c r="N260" s="210">
        <f ca="1"/>
        <v>3</v>
      </c>
      <c r="O260" t="str">
        <f ca="1"/>
        <v>DAY</v>
      </c>
      <c r="P260" s="211">
        <f ca="1"/>
        <v>0.93333333333333324</v>
      </c>
      <c r="Q260">
        <f ca="1"/>
        <v>3450</v>
      </c>
      <c r="R260">
        <f ca="1"/>
        <v>0</v>
      </c>
    </row>
    <row r="261" spans="2:18">
      <c r="B261" t="str">
        <f ca="1"/>
        <v>C6-MAY</v>
      </c>
      <c r="C261" s="209">
        <f ca="1"/>
        <v>46160</v>
      </c>
      <c r="D261" t="str">
        <f ca="1"/>
        <v>chakki1,2,3</v>
      </c>
      <c r="E261" t="str">
        <f ca="1"/>
        <v>NEW PLANT</v>
      </c>
      <c r="F261" t="str">
        <f ca="1"/>
        <v>HIGH PROTEIN ATTA</v>
      </c>
      <c r="G261" s="210">
        <f ca="1"/>
        <v>1450</v>
      </c>
      <c r="H261" s="210">
        <f ca="1"/>
        <v>0</v>
      </c>
      <c r="I261" s="210">
        <f ca="1"/>
        <v>19</v>
      </c>
      <c r="J261" s="210">
        <f ca="1"/>
        <v>2</v>
      </c>
      <c r="K261" s="210">
        <f ca="1"/>
        <v>55.5</v>
      </c>
      <c r="L261" s="210">
        <f ca="1"/>
        <v>76.5</v>
      </c>
      <c r="M261" s="210">
        <f ca="1"/>
        <v>1373.5</v>
      </c>
      <c r="N261" s="210">
        <f ca="1"/>
        <v>0</v>
      </c>
      <c r="O261">
        <f ca="1"/>
        <v>0</v>
      </c>
      <c r="P261" s="211">
        <f ca="1"/>
        <v>0.9472413793103448</v>
      </c>
      <c r="Q261">
        <f ca="1"/>
        <v>1450</v>
      </c>
      <c r="R261">
        <f ca="1"/>
        <v>0</v>
      </c>
    </row>
    <row r="262" spans="2:18">
      <c r="B262" t="str">
        <f ca="1"/>
        <v>C6-MAY</v>
      </c>
      <c r="C262" s="209">
        <f ca="1"/>
        <v>46161</v>
      </c>
      <c r="D262" t="str">
        <f ca="1"/>
        <v>chakki1,2,3</v>
      </c>
      <c r="E262" t="str">
        <f ca="1"/>
        <v>NEW PLANT</v>
      </c>
      <c r="F262" t="str">
        <f ca="1"/>
        <v>khapli Multigrain</v>
      </c>
      <c r="G262" s="210">
        <f ca="1"/>
        <v>1800</v>
      </c>
      <c r="H262" s="210">
        <f ca="1"/>
        <v>0</v>
      </c>
      <c r="I262" s="210">
        <f ca="1"/>
        <v>45</v>
      </c>
      <c r="J262" s="210">
        <f ca="1"/>
        <v>2</v>
      </c>
      <c r="K262" s="210">
        <f ca="1"/>
        <v>79</v>
      </c>
      <c r="L262" s="210">
        <f ca="1"/>
        <v>126</v>
      </c>
      <c r="M262" s="210">
        <f ca="1"/>
        <v>1674</v>
      </c>
      <c r="N262" s="210">
        <f ca="1"/>
        <v>4</v>
      </c>
      <c r="O262" t="str">
        <f ca="1"/>
        <v>DAY</v>
      </c>
      <c r="P262" s="211">
        <f ca="1"/>
        <v>0.93</v>
      </c>
      <c r="Q262">
        <f ca="1"/>
        <v>1800</v>
      </c>
      <c r="R262">
        <f ca="1"/>
        <v>0</v>
      </c>
    </row>
    <row r="263" spans="2:18">
      <c r="B263" t="str">
        <f ca="1"/>
        <v>C6-MAY</v>
      </c>
      <c r="C263" s="209">
        <f ca="1"/>
        <v>46161</v>
      </c>
      <c r="D263" t="str">
        <f ca="1"/>
        <v>chakki1,2,3</v>
      </c>
      <c r="E263" t="str">
        <f ca="1"/>
        <v>OLD PLANT</v>
      </c>
      <c r="F263" t="str">
        <f ca="1"/>
        <v xml:space="preserve">KHAPLI </v>
      </c>
      <c r="G263" s="210">
        <f ca="1"/>
        <v>1050</v>
      </c>
      <c r="H263" s="210">
        <f ca="1"/>
        <v>6</v>
      </c>
      <c r="I263" s="210">
        <f ca="1"/>
        <v>15</v>
      </c>
      <c r="J263" s="210">
        <f ca="1"/>
        <v>1</v>
      </c>
      <c r="K263" s="210">
        <f ca="1"/>
        <v>68</v>
      </c>
      <c r="L263" s="210">
        <f ca="1"/>
        <v>90</v>
      </c>
      <c r="M263" s="210">
        <f ca="1"/>
        <v>960</v>
      </c>
      <c r="N263" s="210">
        <f ca="1"/>
        <v>4</v>
      </c>
      <c r="O263" t="str">
        <f ca="1"/>
        <v>DAY</v>
      </c>
      <c r="P263" s="211">
        <f ca="1"/>
        <v>0.91428571428571426</v>
      </c>
      <c r="Q263">
        <f ca="1"/>
        <v>1050</v>
      </c>
      <c r="R263">
        <f ca="1"/>
        <v>0</v>
      </c>
    </row>
    <row r="264" spans="2:18">
      <c r="B264" t="str">
        <f ca="1"/>
        <v>C6-MAY</v>
      </c>
      <c r="C264" s="209">
        <f ca="1"/>
        <v>46162</v>
      </c>
      <c r="D264" t="str">
        <f ca="1"/>
        <v>chakki1,2,3</v>
      </c>
      <c r="E264" t="str">
        <f ca="1"/>
        <v>OLD PLANT</v>
      </c>
      <c r="F264" t="str">
        <f ca="1"/>
        <v>KHAPLI</v>
      </c>
      <c r="G264" s="210">
        <f ca="1"/>
        <v>820</v>
      </c>
      <c r="H264" s="210">
        <f ca="1"/>
        <v>5</v>
      </c>
      <c r="I264" s="210">
        <f ca="1"/>
        <v>15</v>
      </c>
      <c r="J264" s="210">
        <f ca="1"/>
        <v>1</v>
      </c>
      <c r="K264" s="210">
        <f ca="1"/>
        <v>45</v>
      </c>
      <c r="L264" s="210">
        <f ca="1"/>
        <v>66</v>
      </c>
      <c r="M264" s="210">
        <f ca="1"/>
        <v>754</v>
      </c>
      <c r="N264" s="210">
        <f ca="1"/>
        <v>3</v>
      </c>
      <c r="O264" t="str">
        <f ca="1"/>
        <v>DAY</v>
      </c>
      <c r="P264" s="211">
        <f ca="1"/>
        <v>0.91951219512195126</v>
      </c>
      <c r="Q264">
        <f ca="1"/>
        <v>820</v>
      </c>
      <c r="R264">
        <f ca="1"/>
        <v>0</v>
      </c>
    </row>
    <row r="265" spans="2:18">
      <c r="B265" t="str">
        <f ca="1"/>
        <v>C6-MAY</v>
      </c>
      <c r="C265" s="209">
        <f ca="1"/>
        <v>46162</v>
      </c>
      <c r="D265" t="str">
        <f ca="1"/>
        <v>chakki1,2,3</v>
      </c>
      <c r="E265" t="str">
        <f ca="1"/>
        <v>OLD PLANT</v>
      </c>
      <c r="F265" t="str">
        <f ca="1"/>
        <v>JOWAR</v>
      </c>
      <c r="G265" s="210">
        <f ca="1"/>
        <v>1650</v>
      </c>
      <c r="H265" s="210">
        <f ca="1"/>
        <v>0</v>
      </c>
      <c r="I265" s="210">
        <f ca="1"/>
        <v>39</v>
      </c>
      <c r="J265" s="210">
        <f ca="1"/>
        <v>1</v>
      </c>
      <c r="K265" s="210">
        <f ca="1"/>
        <v>90</v>
      </c>
      <c r="L265" s="210">
        <f ca="1"/>
        <v>130</v>
      </c>
      <c r="M265" s="210">
        <f ca="1"/>
        <v>1520</v>
      </c>
      <c r="N265" s="210">
        <f ca="1"/>
        <v>3</v>
      </c>
      <c r="O265" t="str">
        <f ca="1"/>
        <v>DAY</v>
      </c>
      <c r="P265" s="211">
        <f ca="1"/>
        <v>0.92121212121212126</v>
      </c>
      <c r="Q265">
        <f ca="1"/>
        <v>1650</v>
      </c>
      <c r="R265">
        <f ca="1"/>
        <v>0</v>
      </c>
    </row>
    <row r="266" spans="2:18">
      <c r="B266" t="str">
        <f ca="1"/>
        <v>C6-MAY</v>
      </c>
      <c r="C266" s="209">
        <f ca="1"/>
        <v>46163</v>
      </c>
      <c r="D266" t="str">
        <f ca="1"/>
        <v>chakki1,2,3</v>
      </c>
      <c r="E266" t="str">
        <f ca="1"/>
        <v>OLD PLANT</v>
      </c>
      <c r="F266" t="str">
        <f ca="1"/>
        <v>jowar</v>
      </c>
      <c r="G266" s="210">
        <f ca="1"/>
        <v>350</v>
      </c>
      <c r="H266" s="210">
        <f ca="1"/>
        <v>5</v>
      </c>
      <c r="I266" s="210">
        <f ca="1"/>
        <v>7</v>
      </c>
      <c r="J266" s="210">
        <f ca="1"/>
        <v>1</v>
      </c>
      <c r="K266" s="210">
        <f ca="1"/>
        <v>67</v>
      </c>
      <c r="L266" s="210">
        <f ca="1"/>
        <v>80</v>
      </c>
      <c r="M266" s="210">
        <f ca="1"/>
        <v>270</v>
      </c>
      <c r="N266" s="210">
        <f ca="1"/>
        <v>2</v>
      </c>
      <c r="O266" t="str">
        <f ca="1"/>
        <v>DAY</v>
      </c>
      <c r="P266" s="211">
        <f ca="1"/>
        <v>0.77142857142857157</v>
      </c>
      <c r="Q266">
        <f ca="1"/>
        <v>350</v>
      </c>
      <c r="R266">
        <f ca="1"/>
        <v>0</v>
      </c>
    </row>
    <row r="267" spans="2:18">
      <c r="B267" t="str">
        <f ca="1"/>
        <v>C6-MAY</v>
      </c>
      <c r="C267" s="209">
        <f ca="1"/>
        <v>46163</v>
      </c>
      <c r="D267" t="str">
        <f ca="1"/>
        <v>chakki1,2,3</v>
      </c>
      <c r="E267" t="str">
        <f ca="1"/>
        <v>OLD PLANT</v>
      </c>
      <c r="F267" t="str">
        <f ca="1"/>
        <v>HIGH PROTEIN ATTA</v>
      </c>
      <c r="G267" s="210">
        <f ca="1"/>
        <v>339.5</v>
      </c>
      <c r="H267" s="210">
        <f ca="1"/>
        <v>0</v>
      </c>
      <c r="I267" s="210">
        <f ca="1"/>
        <v>9</v>
      </c>
      <c r="J267" s="210">
        <f ca="1"/>
        <v>0.5</v>
      </c>
      <c r="K267" s="210">
        <f ca="1"/>
        <v>21</v>
      </c>
      <c r="L267" s="210">
        <f ca="1"/>
        <v>30.5</v>
      </c>
      <c r="M267" s="210">
        <f ca="1"/>
        <v>309</v>
      </c>
      <c r="N267" s="210">
        <f ca="1"/>
        <v>2</v>
      </c>
      <c r="O267" t="str">
        <f ca="1"/>
        <v>DAY</v>
      </c>
      <c r="P267" s="211">
        <f ca="1"/>
        <v>0.91016200294550809</v>
      </c>
      <c r="Q267">
        <f ca="1"/>
        <v>339.5</v>
      </c>
      <c r="R267">
        <f ca="1"/>
        <v>0</v>
      </c>
    </row>
    <row r="268" spans="2:18">
      <c r="B268" t="str">
        <f ca="1"/>
        <v>C6-MAY</v>
      </c>
      <c r="C268" s="209">
        <f ca="1"/>
        <v>46164</v>
      </c>
      <c r="D268" t="str">
        <f ca="1"/>
        <v>chakki1,2,3</v>
      </c>
      <c r="E268" t="str">
        <f ca="1"/>
        <v>NEW PLANT</v>
      </c>
      <c r="F268" t="str">
        <f ca="1"/>
        <v>HIGH PROTEIN ATTA</v>
      </c>
      <c r="G268" s="210">
        <f ca="1"/>
        <v>3346.5</v>
      </c>
      <c r="H268" s="210">
        <f ca="1"/>
        <v>0</v>
      </c>
      <c r="I268" s="210">
        <f ca="1"/>
        <v>54</v>
      </c>
      <c r="J268" s="210">
        <f ca="1"/>
        <v>2</v>
      </c>
      <c r="K268" s="210">
        <f ca="1"/>
        <v>140.5</v>
      </c>
      <c r="L268" s="210">
        <f ca="1"/>
        <v>196.5</v>
      </c>
      <c r="M268" s="210">
        <f ca="1"/>
        <v>3150</v>
      </c>
      <c r="N268" s="210">
        <f ca="1"/>
        <v>4</v>
      </c>
      <c r="O268" t="str">
        <f ca="1"/>
        <v>DAY</v>
      </c>
      <c r="P268" s="211">
        <f ca="1"/>
        <v>0.94128193635141189</v>
      </c>
      <c r="Q268">
        <f ca="1"/>
        <v>3346.5</v>
      </c>
      <c r="R268">
        <f ca="1"/>
        <v>0</v>
      </c>
    </row>
    <row r="269" spans="2:18">
      <c r="B269" t="str">
        <f ca="1"/>
        <v>C6-MAY</v>
      </c>
      <c r="C269" s="209">
        <f ca="1"/>
        <v>46165</v>
      </c>
      <c r="D269" t="str">
        <f ca="1"/>
        <v>chakki1,2,3</v>
      </c>
      <c r="E269" t="str">
        <f ca="1"/>
        <v>OLD PLANT</v>
      </c>
      <c r="F269" t="str">
        <f ca="1"/>
        <v>HIGH PROTEIN ATTA</v>
      </c>
      <c r="G269" s="210">
        <f ca="1"/>
        <v>2279.5</v>
      </c>
      <c r="H269" s="210">
        <f ca="1"/>
        <v>10</v>
      </c>
      <c r="I269" s="210">
        <f ca="1"/>
        <v>54</v>
      </c>
      <c r="J269" s="210">
        <f ca="1"/>
        <v>1</v>
      </c>
      <c r="K269" s="210">
        <f ca="1"/>
        <v>89.5</v>
      </c>
      <c r="L269" s="210">
        <f ca="1"/>
        <v>144.5</v>
      </c>
      <c r="M269" s="210">
        <f ca="1"/>
        <v>2135</v>
      </c>
      <c r="N269" s="210">
        <f ca="1"/>
        <v>3</v>
      </c>
      <c r="O269" t="str">
        <f ca="1"/>
        <v>DAY</v>
      </c>
      <c r="P269" s="211">
        <f ca="1"/>
        <v>0.93660890546172415</v>
      </c>
      <c r="Q269">
        <f ca="1"/>
        <v>2279.5</v>
      </c>
      <c r="R269">
        <f ca="1"/>
        <v>0</v>
      </c>
    </row>
    <row r="270" spans="2:18">
      <c r="B270" t="str">
        <f ca="1"/>
        <v>C6-MAY</v>
      </c>
      <c r="C270" s="209">
        <f ca="1"/>
        <v>46167</v>
      </c>
      <c r="D270" t="str">
        <f ca="1"/>
        <v>chakki1,2,3</v>
      </c>
      <c r="E270" t="str">
        <f ca="1"/>
        <v>NEW PLANT</v>
      </c>
      <c r="F270" t="str">
        <f ca="1"/>
        <v>HIGH PROTEIN ATTA</v>
      </c>
      <c r="G270" s="210">
        <f ca="1"/>
        <v>2958.5</v>
      </c>
      <c r="H270" s="210">
        <f ca="1"/>
        <v>0</v>
      </c>
      <c r="I270" s="210">
        <f ca="1"/>
        <v>75</v>
      </c>
      <c r="J270" s="210">
        <f ca="1"/>
        <v>2</v>
      </c>
      <c r="K270" s="210">
        <f ca="1"/>
        <v>161.5</v>
      </c>
      <c r="L270" s="210">
        <f ca="1"/>
        <v>238.5</v>
      </c>
      <c r="M270" s="210">
        <f ca="1"/>
        <v>2720</v>
      </c>
      <c r="N270" s="210">
        <f ca="1"/>
        <v>3</v>
      </c>
      <c r="O270" t="str">
        <f ca="1"/>
        <v>DAY</v>
      </c>
      <c r="P270" s="211">
        <f ca="1"/>
        <v>0.91938482339023153</v>
      </c>
      <c r="Q270">
        <f ca="1"/>
        <v>2958.5</v>
      </c>
      <c r="R270">
        <f ca="1"/>
        <v>0</v>
      </c>
    </row>
    <row r="271" spans="2:18">
      <c r="B271" t="str">
        <f ca="1"/>
        <v>C6-MAY</v>
      </c>
      <c r="C271" s="209">
        <f ca="1"/>
        <v>46168</v>
      </c>
      <c r="D271" t="str">
        <f ca="1"/>
        <v>chakki1,2,3</v>
      </c>
      <c r="E271" t="str">
        <f ca="1"/>
        <v>NEW PLANT</v>
      </c>
      <c r="F271" t="str">
        <f ca="1"/>
        <v>HIGH PROTEIN ATTA</v>
      </c>
      <c r="G271" s="210">
        <f ca="1"/>
        <v>990</v>
      </c>
      <c r="H271" s="210">
        <f ca="1"/>
        <v>0</v>
      </c>
      <c r="I271" s="210">
        <f ca="1"/>
        <v>15</v>
      </c>
      <c r="J271" s="210">
        <f ca="1"/>
        <v>1</v>
      </c>
      <c r="K271" s="210">
        <f ca="1"/>
        <v>59</v>
      </c>
      <c r="L271" s="210">
        <f ca="1"/>
        <v>75</v>
      </c>
      <c r="M271" s="210">
        <f ca="1"/>
        <v>915</v>
      </c>
      <c r="N271" s="210">
        <f ca="1"/>
        <v>3</v>
      </c>
      <c r="O271" t="str">
        <f ca="1"/>
        <v>DAY</v>
      </c>
      <c r="P271" s="211">
        <f ca="1"/>
        <v>0.9242424242424242</v>
      </c>
      <c r="Q271">
        <f ca="1"/>
        <v>990</v>
      </c>
      <c r="R271">
        <f ca="1"/>
        <v>0</v>
      </c>
    </row>
    <row r="272" spans="2:18">
      <c r="B272" t="str">
        <f ca="1"/>
        <v>C6-MAY</v>
      </c>
      <c r="C272" s="209">
        <f ca="1"/>
        <v>46169</v>
      </c>
      <c r="D272" t="str">
        <f ca="1"/>
        <v>chakki1,2,3</v>
      </c>
      <c r="E272" t="str">
        <f ca="1"/>
        <v>OLD PLANT</v>
      </c>
      <c r="F272" t="str">
        <f ca="1"/>
        <v>jowar grains</v>
      </c>
      <c r="G272" s="210">
        <f ca="1"/>
        <v>400</v>
      </c>
      <c r="H272" s="210">
        <f ca="1"/>
        <v>4</v>
      </c>
      <c r="I272" s="210">
        <f ca="1"/>
        <v>9</v>
      </c>
      <c r="J272" s="210">
        <f ca="1"/>
        <v>2</v>
      </c>
      <c r="K272" s="210">
        <f ca="1"/>
        <v>15</v>
      </c>
      <c r="L272" s="210">
        <f ca="1"/>
        <v>30</v>
      </c>
      <c r="M272" s="210">
        <f ca="1"/>
        <v>370</v>
      </c>
      <c r="N272" s="210">
        <f ca="1"/>
        <v>3</v>
      </c>
      <c r="O272" t="str">
        <f ca="1"/>
        <v>DAY</v>
      </c>
      <c r="P272" s="211">
        <f ca="1"/>
        <v>0.92500000000000004</v>
      </c>
      <c r="Q272">
        <f ca="1"/>
        <v>400</v>
      </c>
      <c r="R272">
        <f ca="1"/>
        <v>0</v>
      </c>
    </row>
    <row r="273" spans="2:18">
      <c r="B273" t="str">
        <f ca="1"/>
        <v>C6-MAY</v>
      </c>
      <c r="C273" s="209">
        <f ca="1"/>
        <v>46169</v>
      </c>
      <c r="D273" t="str">
        <f ca="1"/>
        <v>chakki1,2,3</v>
      </c>
      <c r="E273" t="str">
        <f ca="1"/>
        <v>NEW PLANT</v>
      </c>
      <c r="F273" t="str">
        <f ca="1"/>
        <v>HIGH PROTEIN ATTA</v>
      </c>
      <c r="G273" s="210">
        <f ca="1"/>
        <v>1649</v>
      </c>
      <c r="H273" s="210">
        <f ca="1"/>
        <v>0</v>
      </c>
      <c r="I273" s="210">
        <f ca="1"/>
        <v>40</v>
      </c>
      <c r="J273" s="210">
        <f ca="1"/>
        <v>2</v>
      </c>
      <c r="K273" s="210">
        <f ca="1"/>
        <v>67</v>
      </c>
      <c r="L273" s="210">
        <f ca="1"/>
        <v>109</v>
      </c>
      <c r="M273" s="210">
        <f ca="1"/>
        <v>1540</v>
      </c>
      <c r="N273" s="210">
        <f ca="1"/>
        <v>3</v>
      </c>
      <c r="O273" t="str">
        <f ca="1"/>
        <v>DAY</v>
      </c>
      <c r="P273" s="211">
        <f ca="1"/>
        <v>0.93389933292904781</v>
      </c>
      <c r="Q273">
        <f ca="1"/>
        <v>1649</v>
      </c>
      <c r="R273">
        <f ca="1"/>
        <v>0</v>
      </c>
    </row>
    <row r="274" spans="2:18">
      <c r="B274" t="str">
        <f ca="1"/>
        <v>C6-MAY</v>
      </c>
      <c r="C274" s="209">
        <f ca="1"/>
        <v>46170</v>
      </c>
      <c r="D274" t="str">
        <f ca="1"/>
        <v>chakki1,2,3</v>
      </c>
      <c r="E274" t="str">
        <f ca="1"/>
        <v>OLD PLANT</v>
      </c>
      <c r="F274" t="str">
        <f ca="1"/>
        <v>jowar grains</v>
      </c>
      <c r="G274" s="210">
        <f ca="1"/>
        <v>3100</v>
      </c>
      <c r="H274" s="210">
        <f ca="1"/>
        <v>0</v>
      </c>
      <c r="I274" s="210">
        <f ca="1"/>
        <v>63</v>
      </c>
      <c r="J274" s="210">
        <f ca="1"/>
        <v>2</v>
      </c>
      <c r="K274" s="210">
        <f ca="1"/>
        <v>101</v>
      </c>
      <c r="L274" s="210">
        <f ca="1"/>
        <v>166</v>
      </c>
      <c r="M274" s="210">
        <f ca="1"/>
        <v>2934</v>
      </c>
      <c r="N274" s="210">
        <f ca="1"/>
        <v>3</v>
      </c>
      <c r="O274" t="str">
        <f ca="1"/>
        <v>DAY</v>
      </c>
      <c r="P274" s="211">
        <f ca="1"/>
        <v>0.94645161290322577</v>
      </c>
      <c r="Q274">
        <f ca="1"/>
        <v>3100</v>
      </c>
      <c r="R274">
        <f ca="1"/>
        <v>0</v>
      </c>
    </row>
    <row r="275" spans="2:18">
      <c r="B275" t="str">
        <f ca="1"/>
        <v>C6-MAY</v>
      </c>
      <c r="C275" s="209">
        <f ca="1"/>
        <v>46171</v>
      </c>
      <c r="D275" t="str">
        <f ca="1"/>
        <v>chakki1,2,3</v>
      </c>
      <c r="E275" t="str">
        <f ca="1"/>
        <v>NEW PLANT</v>
      </c>
      <c r="F275" t="str">
        <f ca="1"/>
        <v>HIGH PROTEIN ATTA</v>
      </c>
      <c r="G275" s="210">
        <f ca="1"/>
        <v>2813</v>
      </c>
      <c r="H275" s="210">
        <f ca="1"/>
        <v>10</v>
      </c>
      <c r="I275" s="210">
        <f ca="1"/>
        <v>46</v>
      </c>
      <c r="J275" s="210">
        <f ca="1"/>
        <v>2</v>
      </c>
      <c r="K275" s="210">
        <f ca="1"/>
        <v>142</v>
      </c>
      <c r="L275" s="210">
        <f ca="1"/>
        <v>200</v>
      </c>
      <c r="M275" s="210">
        <f ca="1"/>
        <v>2613</v>
      </c>
      <c r="N275" s="210">
        <f ca="1"/>
        <v>3</v>
      </c>
      <c r="O275" t="str">
        <f ca="1"/>
        <v>DAY</v>
      </c>
      <c r="P275" s="211">
        <f ca="1"/>
        <v>0.92890152861713471</v>
      </c>
      <c r="Q275">
        <f ca="1"/>
        <v>2813</v>
      </c>
      <c r="R275">
        <f ca="1"/>
        <v>0</v>
      </c>
    </row>
    <row r="276" spans="2:18">
      <c r="B276" t="str">
        <f ca="1"/>
        <v>C6-MAY</v>
      </c>
      <c r="C276" s="209">
        <f ca="1"/>
        <v>46171</v>
      </c>
      <c r="D276" t="str">
        <f ca="1"/>
        <v>chakki1,2,3</v>
      </c>
      <c r="E276" t="str">
        <f ca="1"/>
        <v>NEW PLANT</v>
      </c>
      <c r="F276" t="str">
        <f ca="1"/>
        <v>jowar grains</v>
      </c>
      <c r="G276" s="210">
        <f ca="1"/>
        <v>500</v>
      </c>
      <c r="H276" s="210">
        <f ca="1"/>
        <v>0</v>
      </c>
      <c r="I276" s="210">
        <f ca="1"/>
        <v>12</v>
      </c>
      <c r="J276" s="210">
        <f ca="1"/>
        <v>1</v>
      </c>
      <c r="K276" s="210">
        <f ca="1"/>
        <v>27</v>
      </c>
      <c r="L276" s="210">
        <f ca="1"/>
        <v>40</v>
      </c>
      <c r="M276" s="210">
        <f ca="1"/>
        <v>460</v>
      </c>
      <c r="N276" s="210">
        <f ca="1"/>
        <v>3</v>
      </c>
      <c r="O276" t="str">
        <f ca="1"/>
        <v>DAY</v>
      </c>
      <c r="P276" s="211">
        <f ca="1"/>
        <v>0.92</v>
      </c>
      <c r="Q276">
        <f ca="1"/>
        <v>500</v>
      </c>
      <c r="R276">
        <f ca="1"/>
        <v>0</v>
      </c>
    </row>
    <row r="277" spans="2:18">
      <c r="B277" t="str">
        <f ca="1"/>
        <v>C6-MAY</v>
      </c>
      <c r="C277" s="209">
        <f ca="1"/>
        <v>46172</v>
      </c>
      <c r="D277" t="str">
        <f ca="1"/>
        <v>chakki1,2,3</v>
      </c>
      <c r="E277" t="str">
        <f ca="1"/>
        <v>OLD PLANT</v>
      </c>
      <c r="F277" t="str">
        <f ca="1"/>
        <v>jowar grains</v>
      </c>
      <c r="G277" s="210">
        <f ca="1"/>
        <v>2550</v>
      </c>
      <c r="H277" s="210">
        <f ca="1"/>
        <v>5</v>
      </c>
      <c r="I277" s="210">
        <f ca="1"/>
        <v>58</v>
      </c>
      <c r="J277" s="210">
        <f ca="1"/>
        <v>2</v>
      </c>
      <c r="K277" s="210">
        <f ca="1"/>
        <v>105</v>
      </c>
      <c r="L277" s="210">
        <f ca="1"/>
        <v>170</v>
      </c>
      <c r="M277" s="210">
        <f ca="1"/>
        <v>2380</v>
      </c>
      <c r="N277" s="210">
        <f ca="1"/>
        <v>3</v>
      </c>
      <c r="O277" t="str">
        <f ca="1"/>
        <v>DAY</v>
      </c>
      <c r="P277" s="211">
        <f ca="1"/>
        <v>0.93333333333333324</v>
      </c>
      <c r="Q277">
        <f ca="1"/>
        <v>2550</v>
      </c>
      <c r="R277">
        <f ca="1"/>
        <v>0</v>
      </c>
    </row>
    <row r="278" spans="2:18">
      <c r="B278" t="str">
        <f ca="1"/>
        <v>C39-MAY</v>
      </c>
      <c r="C278" s="209">
        <f ca="1"/>
        <v>46144</v>
      </c>
      <c r="D278" t="str">
        <f ca="1"/>
        <v>123&amp;4</v>
      </c>
      <c r="E278" t="str">
        <f ca="1"/>
        <v>C39</v>
      </c>
      <c r="F278" t="str">
        <f ca="1"/>
        <v xml:space="preserve">khapli </v>
      </c>
      <c r="G278" s="210">
        <f ca="1"/>
        <v>7500</v>
      </c>
      <c r="H278" s="210">
        <f ca="1"/>
        <v>80</v>
      </c>
      <c r="I278" s="210">
        <f ca="1"/>
        <v>190</v>
      </c>
      <c r="J278" s="210">
        <f ca="1"/>
        <v>35</v>
      </c>
      <c r="K278" s="210">
        <f ca="1"/>
        <v>235</v>
      </c>
      <c r="L278" s="210">
        <f ca="1"/>
        <v>540</v>
      </c>
      <c r="M278" s="210">
        <f ca="1"/>
        <v>6960</v>
      </c>
      <c r="N278" s="210">
        <f ca="1"/>
        <v>4</v>
      </c>
      <c r="O278" t="str">
        <f ca="1"/>
        <v>Day</v>
      </c>
      <c r="P278" s="211">
        <f ca="1"/>
        <v>0.92800000000000016</v>
      </c>
      <c r="Q278">
        <f ca="1"/>
        <v>7500</v>
      </c>
      <c r="R278">
        <f ca="1"/>
        <v>0</v>
      </c>
    </row>
    <row r="279" spans="2:18">
      <c r="B279" t="str">
        <f ca="1"/>
        <v>C39-MAY</v>
      </c>
      <c r="C279" s="209">
        <f ca="1"/>
        <v>46144</v>
      </c>
      <c r="D279" t="str">
        <f ca="1"/>
        <v>Blender</v>
      </c>
      <c r="E279" t="str">
        <f ca="1"/>
        <v>C39</v>
      </c>
      <c r="F279" t="str">
        <f ca="1"/>
        <v>chana dal</v>
      </c>
      <c r="G279" s="210">
        <f ca="1"/>
        <v>330</v>
      </c>
      <c r="H279" s="210">
        <f ca="1"/>
        <v>0</v>
      </c>
      <c r="I279" s="210">
        <f ca="1"/>
        <v>0</v>
      </c>
      <c r="J279" s="210">
        <f ca="1"/>
        <v>3</v>
      </c>
      <c r="K279" s="210">
        <f ca="1"/>
        <v>7</v>
      </c>
      <c r="L279" s="210">
        <f ca="1"/>
        <v>10</v>
      </c>
      <c r="M279" s="210">
        <f ca="1"/>
        <v>320</v>
      </c>
      <c r="N279" s="210">
        <f ca="1"/>
        <v>1</v>
      </c>
      <c r="O279" t="str">
        <f ca="1"/>
        <v>NIGH</v>
      </c>
      <c r="P279" s="211">
        <f ca="1"/>
        <v>0.96969696969696972</v>
      </c>
      <c r="Q279">
        <f ca="1"/>
        <v>330</v>
      </c>
      <c r="R279">
        <f ca="1"/>
        <v>0</v>
      </c>
    </row>
    <row r="280" spans="2:18">
      <c r="B280" t="str">
        <f ca="1"/>
        <v>C39-MAY</v>
      </c>
      <c r="C280" s="209">
        <f ca="1"/>
        <v>46146</v>
      </c>
      <c r="D280" t="str">
        <f ca="1"/>
        <v>123&amp;4</v>
      </c>
      <c r="E280" t="str">
        <f ca="1"/>
        <v>C39</v>
      </c>
      <c r="F280" t="str">
        <f ca="1"/>
        <v xml:space="preserve">khapli </v>
      </c>
      <c r="G280" s="210">
        <f ca="1"/>
        <v>8300</v>
      </c>
      <c r="H280" s="210">
        <f ca="1"/>
        <v>85</v>
      </c>
      <c r="I280" s="210">
        <f ca="1"/>
        <v>187</v>
      </c>
      <c r="J280" s="210">
        <f ca="1"/>
        <v>25</v>
      </c>
      <c r="K280" s="210">
        <f ca="1"/>
        <v>283</v>
      </c>
      <c r="L280" s="210">
        <f ca="1"/>
        <v>580</v>
      </c>
      <c r="M280" s="210">
        <f ca="1"/>
        <v>7720</v>
      </c>
      <c r="N280" s="210">
        <f ca="1"/>
        <v>5</v>
      </c>
      <c r="O280" t="str">
        <f ca="1"/>
        <v>DAY</v>
      </c>
      <c r="P280" s="211">
        <f ca="1"/>
        <v>0.9301204819277108</v>
      </c>
      <c r="Q280">
        <f ca="1"/>
        <v>8300</v>
      </c>
      <c r="R280">
        <f ca="1"/>
        <v>0</v>
      </c>
    </row>
    <row r="281" spans="2:18">
      <c r="B281" t="str">
        <f ca="1"/>
        <v>C39-MAY</v>
      </c>
      <c r="C281" s="209">
        <f ca="1"/>
        <v>46146</v>
      </c>
      <c r="D281" t="str">
        <f ca="1"/>
        <v>123&amp;4</v>
      </c>
      <c r="E281" t="str">
        <f ca="1"/>
        <v>C39</v>
      </c>
      <c r="F281" t="str">
        <f ca="1"/>
        <v xml:space="preserve">Khapli </v>
      </c>
      <c r="G281" s="210">
        <f ca="1"/>
        <v>3534</v>
      </c>
      <c r="H281" s="210">
        <f ca="1"/>
        <v>20</v>
      </c>
      <c r="I281" s="210">
        <f ca="1"/>
        <v>43</v>
      </c>
      <c r="J281" s="210">
        <f ca="1"/>
        <v>14</v>
      </c>
      <c r="K281" s="210">
        <f ca="1"/>
        <v>190</v>
      </c>
      <c r="L281" s="210">
        <f ca="1"/>
        <v>267</v>
      </c>
      <c r="M281" s="210">
        <f ca="1"/>
        <v>3267</v>
      </c>
      <c r="N281" s="210">
        <f ca="1"/>
        <v>4</v>
      </c>
      <c r="O281" t="str">
        <f ca="1"/>
        <v>day</v>
      </c>
      <c r="P281" s="211">
        <f ca="1"/>
        <v>0.93342857142857139</v>
      </c>
      <c r="Q281">
        <f ca="1"/>
        <v>3534</v>
      </c>
      <c r="R281">
        <f ca="1"/>
        <v>0</v>
      </c>
    </row>
    <row r="282" spans="2:18">
      <c r="B282" t="str">
        <f ca="1"/>
        <v>C39-MAY</v>
      </c>
      <c r="C282" s="209">
        <f ca="1"/>
        <v>46146</v>
      </c>
      <c r="D282" t="str">
        <f ca="1"/>
        <v>Blender</v>
      </c>
      <c r="E282" t="str">
        <f ca="1"/>
        <v>C39</v>
      </c>
      <c r="F282" t="str">
        <f ca="1"/>
        <v>chana dal</v>
      </c>
      <c r="G282" s="210">
        <f ca="1"/>
        <v>200</v>
      </c>
      <c r="H282" s="210">
        <f ca="1"/>
        <v>0</v>
      </c>
      <c r="I282" s="210">
        <f ca="1"/>
        <v>0</v>
      </c>
      <c r="J282" s="210">
        <f ca="1"/>
        <v>3</v>
      </c>
      <c r="K282" s="210">
        <f ca="1"/>
        <v>7</v>
      </c>
      <c r="L282" s="210">
        <f ca="1"/>
        <v>10</v>
      </c>
      <c r="M282" s="210">
        <f ca="1"/>
        <v>190</v>
      </c>
      <c r="N282" s="210">
        <f ca="1"/>
        <v>1</v>
      </c>
      <c r="O282" t="str">
        <f ca="1"/>
        <v>night</v>
      </c>
      <c r="P282" s="211">
        <f ca="1"/>
        <v>0.95</v>
      </c>
      <c r="Q282">
        <f ca="1"/>
        <v>200</v>
      </c>
      <c r="R282">
        <f ca="1"/>
        <v>0</v>
      </c>
    </row>
    <row r="283" spans="2:18">
      <c r="B283" t="str">
        <f ca="1"/>
        <v>C39-MAY</v>
      </c>
      <c r="C283" s="209">
        <f ca="1"/>
        <v>46148</v>
      </c>
      <c r="D283" t="str">
        <f ca="1"/>
        <v>123&amp;4</v>
      </c>
      <c r="E283" t="str">
        <f ca="1"/>
        <v>C39</v>
      </c>
      <c r="F283" t="str">
        <f ca="1"/>
        <v xml:space="preserve">Khapli </v>
      </c>
      <c r="G283" s="210">
        <f ca="1"/>
        <v>8200</v>
      </c>
      <c r="H283" s="210">
        <f ca="1"/>
        <v>95</v>
      </c>
      <c r="I283" s="210">
        <f ca="1"/>
        <v>140</v>
      </c>
      <c r="J283" s="210">
        <f ca="1"/>
        <v>25</v>
      </c>
      <c r="K283" s="210">
        <f ca="1"/>
        <v>260</v>
      </c>
      <c r="L283" s="210">
        <f ca="1"/>
        <v>520</v>
      </c>
      <c r="M283" s="210">
        <f ca="1"/>
        <v>7680</v>
      </c>
      <c r="N283" s="210">
        <f ca="1"/>
        <v>4</v>
      </c>
      <c r="O283" t="str">
        <f ca="1"/>
        <v>Day</v>
      </c>
      <c r="P283" s="211">
        <f ca="1"/>
        <v>0.93500000000000005</v>
      </c>
      <c r="Q283">
        <f ca="1"/>
        <v>8200</v>
      </c>
      <c r="R283">
        <f ca="1"/>
        <v>0</v>
      </c>
    </row>
    <row r="284" spans="2:18">
      <c r="B284" t="str">
        <f ca="1"/>
        <v>C39-MAY</v>
      </c>
      <c r="C284" s="209">
        <f ca="1"/>
        <v>46148</v>
      </c>
      <c r="D284" t="str">
        <f ca="1"/>
        <v>bender</v>
      </c>
      <c r="E284" t="str">
        <f ca="1"/>
        <v>C39</v>
      </c>
      <c r="F284" t="str">
        <f ca="1"/>
        <v>chana dal</v>
      </c>
      <c r="G284" s="210">
        <f ca="1"/>
        <v>550</v>
      </c>
      <c r="H284" s="210">
        <f ca="1"/>
        <v>0</v>
      </c>
      <c r="I284" s="210">
        <f ca="1"/>
        <v>0</v>
      </c>
      <c r="J284" s="210">
        <f ca="1"/>
        <v>10</v>
      </c>
      <c r="K284" s="210">
        <f ca="1"/>
        <v>17</v>
      </c>
      <c r="L284" s="210">
        <f ca="1"/>
        <v>27</v>
      </c>
      <c r="M284" s="210">
        <f ca="1"/>
        <v>523</v>
      </c>
      <c r="N284" s="210">
        <f ca="1"/>
        <v>1</v>
      </c>
      <c r="O284" t="str">
        <f ca="1"/>
        <v>Night</v>
      </c>
      <c r="P284" s="211">
        <f ca="1"/>
        <v>0.95090000000000008</v>
      </c>
      <c r="Q284">
        <f ca="1"/>
        <v>550</v>
      </c>
      <c r="R284">
        <f ca="1"/>
        <v>0</v>
      </c>
    </row>
    <row r="285" spans="2:18">
      <c r="B285" t="str">
        <f ca="1"/>
        <v>C39-MAY</v>
      </c>
      <c r="C285" s="209">
        <f ca="1"/>
        <v>46149</v>
      </c>
      <c r="D285" t="str">
        <f ca="1"/>
        <v>1,2,3,4</v>
      </c>
      <c r="E285" t="str">
        <f ca="1"/>
        <v>C39</v>
      </c>
      <c r="F285" t="str">
        <f ca="1"/>
        <v xml:space="preserve">Khapli </v>
      </c>
      <c r="G285" s="210">
        <f ca="1"/>
        <v>8600</v>
      </c>
      <c r="H285" s="210">
        <f ca="1"/>
        <v>110</v>
      </c>
      <c r="I285" s="210">
        <f ca="1"/>
        <v>190</v>
      </c>
      <c r="J285" s="210">
        <f ca="1"/>
        <v>20</v>
      </c>
      <c r="K285" s="210">
        <f ca="1"/>
        <v>260</v>
      </c>
      <c r="L285" s="210">
        <f ca="1"/>
        <v>580</v>
      </c>
      <c r="M285" s="210">
        <f ca="1"/>
        <v>8020</v>
      </c>
      <c r="N285" s="210">
        <f ca="1"/>
        <v>4</v>
      </c>
      <c r="O285" t="str">
        <f ca="1"/>
        <v>Day</v>
      </c>
      <c r="P285" s="211">
        <f ca="1"/>
        <v>0.93255813953488376</v>
      </c>
      <c r="Q285">
        <f ca="1"/>
        <v>8600</v>
      </c>
      <c r="R285">
        <f ca="1"/>
        <v>0</v>
      </c>
    </row>
    <row r="286" spans="2:18">
      <c r="B286" t="str">
        <f ca="1"/>
        <v>C39-MAY</v>
      </c>
      <c r="C286" s="209">
        <f ca="1"/>
        <v>46150</v>
      </c>
      <c r="D286">
        <f ca="1"/>
        <v>1234</v>
      </c>
      <c r="E286" t="str">
        <f ca="1"/>
        <v>C39</v>
      </c>
      <c r="F286" t="str">
        <f ca="1"/>
        <v>Multigrain</v>
      </c>
      <c r="G286" s="210">
        <f ca="1"/>
        <v>7000</v>
      </c>
      <c r="H286" s="210">
        <f ca="1"/>
        <v>12</v>
      </c>
      <c r="I286" s="210">
        <f ca="1"/>
        <v>188</v>
      </c>
      <c r="J286" s="210">
        <f ca="1"/>
        <v>25</v>
      </c>
      <c r="K286" s="210">
        <f ca="1"/>
        <v>235</v>
      </c>
      <c r="L286" s="210">
        <f ca="1"/>
        <v>460</v>
      </c>
      <c r="M286" s="210">
        <f ca="1"/>
        <v>6540</v>
      </c>
      <c r="N286" s="210">
        <f ca="1"/>
        <v>4</v>
      </c>
      <c r="O286" t="str">
        <f ca="1"/>
        <v>Day</v>
      </c>
      <c r="P286" s="211">
        <f ca="1"/>
        <v>0.93400000000000005</v>
      </c>
      <c r="Q286">
        <f ca="1"/>
        <v>7000</v>
      </c>
      <c r="R286">
        <f ca="1"/>
        <v>0</v>
      </c>
    </row>
    <row r="287" spans="2:18">
      <c r="B287" t="str">
        <f ca="1"/>
        <v>C39-MAY</v>
      </c>
      <c r="C287" s="209">
        <f ca="1"/>
        <v>46151</v>
      </c>
      <c r="D287" t="str">
        <f ca="1"/>
        <v>1,2,3&amp;4</v>
      </c>
      <c r="E287" t="str">
        <f ca="1"/>
        <v>C39</v>
      </c>
      <c r="F287" t="str">
        <f ca="1"/>
        <v>Multigrain</v>
      </c>
      <c r="G287" s="210">
        <f ca="1"/>
        <v>6700</v>
      </c>
      <c r="H287" s="210">
        <f ca="1"/>
        <v>42</v>
      </c>
      <c r="I287" s="210">
        <f ca="1"/>
        <v>183</v>
      </c>
      <c r="J287" s="210">
        <f ca="1"/>
        <v>20</v>
      </c>
      <c r="K287" s="210">
        <f ca="1"/>
        <v>198</v>
      </c>
      <c r="L287" s="210">
        <f ca="1"/>
        <v>443</v>
      </c>
      <c r="M287" s="210">
        <f ca="1"/>
        <v>6257</v>
      </c>
      <c r="N287" s="210">
        <f ca="1"/>
        <v>4</v>
      </c>
      <c r="O287" t="str">
        <f ca="1"/>
        <v>Day</v>
      </c>
      <c r="P287" s="211">
        <f ca="1"/>
        <v>0.93299999999999994</v>
      </c>
      <c r="Q287">
        <f ca="1"/>
        <v>6700</v>
      </c>
      <c r="R287">
        <f ca="1"/>
        <v>0</v>
      </c>
    </row>
    <row r="288" spans="2:18">
      <c r="B288" t="str">
        <f ca="1"/>
        <v>C39-MAY</v>
      </c>
      <c r="C288" s="209">
        <f ca="1"/>
        <v>46154</v>
      </c>
      <c r="D288" t="str">
        <f ca="1"/>
        <v>1,2,3&amp;4</v>
      </c>
      <c r="E288" t="str">
        <f ca="1"/>
        <v>C39</v>
      </c>
      <c r="F288" t="str">
        <f ca="1"/>
        <v>Multigrain</v>
      </c>
      <c r="G288" s="210">
        <f ca="1"/>
        <v>7000</v>
      </c>
      <c r="H288" s="210">
        <f ca="1"/>
        <v>40</v>
      </c>
      <c r="I288" s="210">
        <f ca="1"/>
        <v>197</v>
      </c>
      <c r="J288" s="210">
        <f ca="1"/>
        <v>25</v>
      </c>
      <c r="K288" s="210">
        <f ca="1"/>
        <v>168</v>
      </c>
      <c r="L288" s="210">
        <f ca="1"/>
        <v>430</v>
      </c>
      <c r="M288" s="210">
        <f ca="1"/>
        <v>6570</v>
      </c>
      <c r="N288" s="210">
        <f ca="1"/>
        <v>7</v>
      </c>
      <c r="O288" t="str">
        <f ca="1"/>
        <v>day</v>
      </c>
      <c r="P288" s="211">
        <f ca="1"/>
        <v>0.93857142857142861</v>
      </c>
      <c r="Q288">
        <f ca="1"/>
        <v>7000</v>
      </c>
      <c r="R288">
        <f ca="1"/>
        <v>0</v>
      </c>
    </row>
    <row r="289" spans="2:18">
      <c r="B289" t="str">
        <f ca="1"/>
        <v>C39-MAY</v>
      </c>
      <c r="C289" s="209">
        <f ca="1"/>
        <v>46155</v>
      </c>
      <c r="D289" t="str">
        <f ca="1"/>
        <v>1,2,3,4</v>
      </c>
      <c r="E289" t="str">
        <f ca="1"/>
        <v>C39</v>
      </c>
      <c r="F289" t="str">
        <f ca="1"/>
        <v>Multigrain</v>
      </c>
      <c r="G289" s="210">
        <f ca="1"/>
        <v>7000</v>
      </c>
      <c r="H289" s="210">
        <f ca="1"/>
        <v>43</v>
      </c>
      <c r="I289" s="210">
        <f ca="1"/>
        <v>332</v>
      </c>
      <c r="J289" s="210">
        <f ca="1"/>
        <v>35</v>
      </c>
      <c r="K289" s="210">
        <f ca="1"/>
        <v>120</v>
      </c>
      <c r="L289" s="210">
        <f ca="1"/>
        <v>530</v>
      </c>
      <c r="M289" s="210">
        <f ca="1"/>
        <v>6470</v>
      </c>
      <c r="N289" s="210">
        <f ca="1"/>
        <v>6</v>
      </c>
      <c r="O289" t="str">
        <f ca="1"/>
        <v>Day</v>
      </c>
      <c r="P289" s="211">
        <f ca="1"/>
        <v>0.92400000000000004</v>
      </c>
      <c r="Q289">
        <f ca="1"/>
        <v>7000</v>
      </c>
      <c r="R289">
        <f ca="1"/>
        <v>0</v>
      </c>
    </row>
    <row r="290" spans="2:18">
      <c r="B290" t="str">
        <f ca="1"/>
        <v>C39-MAY</v>
      </c>
      <c r="C290" s="209">
        <f ca="1"/>
        <v>46156</v>
      </c>
      <c r="D290">
        <f ca="1"/>
        <v>1234</v>
      </c>
      <c r="E290" t="str">
        <f ca="1"/>
        <v>C39</v>
      </c>
      <c r="F290" t="str">
        <f ca="1"/>
        <v>Multigrain</v>
      </c>
      <c r="G290" s="210">
        <f ca="1"/>
        <v>2250</v>
      </c>
      <c r="H290" s="210">
        <f ca="1"/>
        <v>45</v>
      </c>
      <c r="I290" s="210">
        <f ca="1"/>
        <v>94</v>
      </c>
      <c r="J290" s="210">
        <f ca="1"/>
        <v>11</v>
      </c>
      <c r="K290" s="210">
        <f ca="1"/>
        <v>74</v>
      </c>
      <c r="L290" s="210">
        <f ca="1"/>
        <v>224</v>
      </c>
      <c r="M290" s="210">
        <f ca="1"/>
        <v>2026</v>
      </c>
      <c r="N290" s="210">
        <f ca="1"/>
        <v>6</v>
      </c>
      <c r="O290" t="str">
        <f ca="1"/>
        <v>dAY</v>
      </c>
      <c r="P290" s="211">
        <f ca="1"/>
        <v>0.90044444444444449</v>
      </c>
      <c r="Q290">
        <f ca="1"/>
        <v>2250</v>
      </c>
      <c r="R290">
        <f ca="1"/>
        <v>0</v>
      </c>
    </row>
    <row r="291" spans="2:18">
      <c r="B291" t="str">
        <f ca="1"/>
        <v>C39-MAY</v>
      </c>
      <c r="C291" s="209">
        <f ca="1"/>
        <v>46157</v>
      </c>
      <c r="D291" t="str">
        <f ca="1"/>
        <v>1,2,3,4</v>
      </c>
      <c r="E291" t="str">
        <f ca="1"/>
        <v>C39</v>
      </c>
      <c r="F291" t="str">
        <f ca="1"/>
        <v xml:space="preserve">Khapli </v>
      </c>
      <c r="G291" s="210">
        <f ca="1"/>
        <v>2000</v>
      </c>
      <c r="H291" s="210">
        <f ca="1"/>
        <v>0</v>
      </c>
      <c r="I291" s="210">
        <f ca="1"/>
        <v>89</v>
      </c>
      <c r="J291" s="210">
        <f ca="1"/>
        <v>40</v>
      </c>
      <c r="K291" s="210">
        <f ca="1"/>
        <v>41</v>
      </c>
      <c r="L291" s="210">
        <f ca="1"/>
        <v>170</v>
      </c>
      <c r="M291" s="210">
        <f ca="1"/>
        <v>1830</v>
      </c>
      <c r="N291" s="210">
        <f ca="1"/>
        <v>6</v>
      </c>
      <c r="O291" t="str">
        <f ca="1"/>
        <v>Day</v>
      </c>
      <c r="P291" s="211">
        <f ca="1"/>
        <v>0.91500000000000004</v>
      </c>
      <c r="Q291">
        <f ca="1"/>
        <v>2000</v>
      </c>
      <c r="R291">
        <f ca="1"/>
        <v>0</v>
      </c>
    </row>
    <row r="292" spans="2:18">
      <c r="B292" t="str">
        <f ca="1"/>
        <v>C39-MAY</v>
      </c>
      <c r="C292" s="209">
        <f ca="1"/>
        <v>46158</v>
      </c>
      <c r="D292" t="str">
        <f ca="1"/>
        <v>1,2,3,4</v>
      </c>
      <c r="E292" t="str">
        <f ca="1"/>
        <v>C39</v>
      </c>
      <c r="F292" t="str">
        <f ca="1"/>
        <v xml:space="preserve">Khapli </v>
      </c>
      <c r="G292" s="210">
        <f ca="1"/>
        <v>7000</v>
      </c>
      <c r="H292" s="210">
        <f ca="1"/>
        <v>40</v>
      </c>
      <c r="I292" s="210">
        <f ca="1"/>
        <v>288</v>
      </c>
      <c r="J292" s="210">
        <f ca="1"/>
        <v>30</v>
      </c>
      <c r="K292" s="210">
        <f ca="1"/>
        <v>146</v>
      </c>
      <c r="L292" s="210">
        <f ca="1"/>
        <v>504</v>
      </c>
      <c r="M292" s="210">
        <f ca="1"/>
        <v>6500</v>
      </c>
      <c r="N292" s="210">
        <f ca="1"/>
        <v>6</v>
      </c>
      <c r="O292" t="str">
        <f ca="1"/>
        <v>day</v>
      </c>
      <c r="P292" s="211">
        <f ca="1"/>
        <v>0.9285714285714286</v>
      </c>
      <c r="Q292">
        <f ca="1"/>
        <v>7004</v>
      </c>
      <c r="R292">
        <f ca="1"/>
        <v>4</v>
      </c>
    </row>
    <row r="293" spans="2:18">
      <c r="B293" t="str">
        <f ca="1"/>
        <v>C39-MAY</v>
      </c>
      <c r="C293" s="209">
        <f ca="1"/>
        <v>46160</v>
      </c>
      <c r="D293" t="str">
        <f ca="1"/>
        <v>1,2,3,4</v>
      </c>
      <c r="E293" t="str">
        <f ca="1"/>
        <v>C39</v>
      </c>
      <c r="F293" t="str">
        <f ca="1"/>
        <v xml:space="preserve">Khapli </v>
      </c>
      <c r="G293" s="210">
        <f ca="1"/>
        <v>8790</v>
      </c>
      <c r="H293" s="210">
        <f ca="1"/>
        <v>47</v>
      </c>
      <c r="I293" s="210">
        <f ca="1"/>
        <v>320</v>
      </c>
      <c r="J293" s="210">
        <f ca="1"/>
        <v>35</v>
      </c>
      <c r="K293" s="210">
        <f ca="1"/>
        <v>132</v>
      </c>
      <c r="L293" s="210">
        <f ca="1"/>
        <v>534</v>
      </c>
      <c r="M293" s="210">
        <f ca="1"/>
        <v>8250</v>
      </c>
      <c r="N293" s="210">
        <f ca="1"/>
        <v>6</v>
      </c>
      <c r="O293" t="str">
        <f ca="1"/>
        <v>DAy</v>
      </c>
      <c r="P293" s="211">
        <f ca="1"/>
        <v>0.93856655290102387</v>
      </c>
      <c r="Q293">
        <f ca="1"/>
        <v>8784</v>
      </c>
      <c r="R293">
        <f ca="1"/>
        <v>-6</v>
      </c>
    </row>
    <row r="294" spans="2:18">
      <c r="B294" t="str">
        <f ca="1"/>
        <v>C39-MAY</v>
      </c>
      <c r="C294" s="209">
        <f ca="1"/>
        <v>46161</v>
      </c>
      <c r="D294" t="str">
        <f ca="1"/>
        <v>1,23,4</v>
      </c>
      <c r="E294" t="str">
        <f ca="1"/>
        <v>C39</v>
      </c>
      <c r="F294" t="str">
        <f ca="1"/>
        <v>Multigrain</v>
      </c>
      <c r="G294" s="210">
        <f ca="1"/>
        <v>2300</v>
      </c>
      <c r="H294" s="210">
        <f ca="1"/>
        <v>23</v>
      </c>
      <c r="I294" s="210">
        <f ca="1"/>
        <v>70</v>
      </c>
      <c r="J294" s="210">
        <f ca="1"/>
        <v>17</v>
      </c>
      <c r="K294" s="210">
        <f ca="1"/>
        <v>40</v>
      </c>
      <c r="L294" s="210">
        <f ca="1"/>
        <v>150</v>
      </c>
      <c r="M294" s="210">
        <f ca="1"/>
        <v>2150</v>
      </c>
      <c r="N294" s="210">
        <f ca="1"/>
        <v>6</v>
      </c>
      <c r="O294" t="str">
        <f ca="1"/>
        <v>dAY</v>
      </c>
      <c r="P294" s="211">
        <f ca="1"/>
        <v>0.93478260869565222</v>
      </c>
      <c r="Q294">
        <f ca="1"/>
        <v>2300</v>
      </c>
      <c r="R294">
        <f ca="1"/>
        <v>0</v>
      </c>
    </row>
    <row r="295" spans="2:18">
      <c r="B295" t="str">
        <f ca="1"/>
        <v>C39-MAY</v>
      </c>
      <c r="C295" s="209">
        <f ca="1"/>
        <v>46162</v>
      </c>
      <c r="D295" t="str">
        <f ca="1"/>
        <v>1,2,3,4</v>
      </c>
      <c r="E295" t="str">
        <f ca="1"/>
        <v>C39</v>
      </c>
      <c r="F295" t="str">
        <f ca="1"/>
        <v>Multigrain</v>
      </c>
      <c r="G295" s="210">
        <f ca="1"/>
        <v>5800</v>
      </c>
      <c r="H295" s="210">
        <f ca="1"/>
        <v>69</v>
      </c>
      <c r="I295" s="210">
        <f ca="1"/>
        <v>210</v>
      </c>
      <c r="J295" s="210">
        <f ca="1"/>
        <v>31</v>
      </c>
      <c r="K295" s="210">
        <f ca="1"/>
        <v>90</v>
      </c>
      <c r="L295" s="210">
        <f ca="1"/>
        <v>400</v>
      </c>
      <c r="M295" s="210">
        <f ca="1"/>
        <v>5400</v>
      </c>
      <c r="N295" s="210">
        <f ca="1"/>
        <v>6</v>
      </c>
      <c r="O295" t="str">
        <f ca="1"/>
        <v>Day</v>
      </c>
      <c r="P295" s="211">
        <f ca="1"/>
        <v>0.93103448275862066</v>
      </c>
      <c r="Q295">
        <f ca="1"/>
        <v>5800</v>
      </c>
      <c r="R295">
        <f ca="1"/>
        <v>0</v>
      </c>
    </row>
    <row r="296" spans="2:18">
      <c r="B296" t="str">
        <f ca="1"/>
        <v>C39-MAY</v>
      </c>
      <c r="C296" s="209">
        <f ca="1"/>
        <v>46164</v>
      </c>
      <c r="D296">
        <f ca="1"/>
        <v>1234</v>
      </c>
      <c r="E296" t="str">
        <f ca="1"/>
        <v>C39</v>
      </c>
      <c r="F296" t="str">
        <f ca="1"/>
        <v>Multigrain</v>
      </c>
      <c r="G296" s="210">
        <f ca="1"/>
        <v>6650</v>
      </c>
      <c r="H296" s="210">
        <f ca="1"/>
        <v>70</v>
      </c>
      <c r="I296" s="210">
        <f ca="1"/>
        <v>205</v>
      </c>
      <c r="J296" s="210">
        <f ca="1"/>
        <v>30</v>
      </c>
      <c r="K296" s="210">
        <f ca="1"/>
        <v>145</v>
      </c>
      <c r="L296" s="210">
        <f ca="1"/>
        <v>450</v>
      </c>
      <c r="M296" s="210">
        <f ca="1"/>
        <v>6200</v>
      </c>
      <c r="N296" s="210">
        <f ca="1"/>
        <v>6</v>
      </c>
      <c r="O296" t="str">
        <f ca="1"/>
        <v>Day</v>
      </c>
      <c r="P296" s="211">
        <f ca="1"/>
        <v>0.93233082706766912</v>
      </c>
      <c r="Q296">
        <f ca="1"/>
        <v>6650</v>
      </c>
      <c r="R296">
        <f ca="1"/>
        <v>0</v>
      </c>
    </row>
    <row r="297" spans="2:18">
      <c r="B297" t="str">
        <f ca="1"/>
        <v>C39-MAY</v>
      </c>
      <c r="C297" s="209">
        <f ca="1"/>
        <v>46165</v>
      </c>
      <c r="D297">
        <f ca="1"/>
        <v>1234</v>
      </c>
      <c r="E297" t="str">
        <f ca="1"/>
        <v>C39</v>
      </c>
      <c r="F297" t="str">
        <f ca="1"/>
        <v>Multigrain</v>
      </c>
      <c r="G297" s="210">
        <f ca="1"/>
        <v>6000</v>
      </c>
      <c r="H297" s="210">
        <f ca="1"/>
        <v>75</v>
      </c>
      <c r="I297" s="210">
        <f ca="1"/>
        <v>182</v>
      </c>
      <c r="J297" s="210">
        <f ca="1"/>
        <v>20</v>
      </c>
      <c r="K297" s="210">
        <f ca="1"/>
        <v>108</v>
      </c>
      <c r="L297" s="210">
        <f ca="1"/>
        <v>385</v>
      </c>
      <c r="M297" s="210">
        <f ca="1"/>
        <v>5615</v>
      </c>
      <c r="N297" s="210">
        <f ca="1"/>
        <v>6</v>
      </c>
      <c r="O297" t="str">
        <f ca="1"/>
        <v>Day</v>
      </c>
      <c r="P297" s="211">
        <f ca="1"/>
        <v>0.93583333333333329</v>
      </c>
      <c r="Q297">
        <f ca="1"/>
        <v>6000</v>
      </c>
      <c r="R297">
        <f ca="1"/>
        <v>0</v>
      </c>
    </row>
    <row r="298" spans="2:18">
      <c r="B298" t="str">
        <f ca="1"/>
        <v>C39-MAY</v>
      </c>
      <c r="C298" s="209">
        <f ca="1"/>
        <v>46167</v>
      </c>
      <c r="D298">
        <f ca="1"/>
        <v>1234</v>
      </c>
      <c r="E298" t="str">
        <f ca="1"/>
        <v>C39</v>
      </c>
      <c r="F298" t="str">
        <f ca="1"/>
        <v>Multigrain</v>
      </c>
      <c r="G298" s="210">
        <f ca="1"/>
        <v>2000</v>
      </c>
      <c r="H298" s="210">
        <f ca="1"/>
        <v>2</v>
      </c>
      <c r="I298" s="210">
        <f ca="1"/>
        <v>37</v>
      </c>
      <c r="J298" s="210">
        <f ca="1"/>
        <v>10</v>
      </c>
      <c r="K298" s="210">
        <f ca="1"/>
        <v>69</v>
      </c>
      <c r="L298" s="210">
        <f ca="1"/>
        <v>118</v>
      </c>
      <c r="M298" s="210">
        <f ca="1"/>
        <v>1882</v>
      </c>
      <c r="N298" s="210">
        <f ca="1"/>
        <v>5</v>
      </c>
      <c r="O298" t="str">
        <f ca="1"/>
        <v>Day</v>
      </c>
      <c r="P298" s="211">
        <f ca="1"/>
        <v>0.94099999999999995</v>
      </c>
      <c r="Q298">
        <f ca="1"/>
        <v>2000</v>
      </c>
      <c r="R298">
        <f ca="1"/>
        <v>0</v>
      </c>
    </row>
    <row r="299" spans="2:18">
      <c r="B299" t="str">
        <f ca="1"/>
        <v>C39-MAY</v>
      </c>
      <c r="C299" s="209">
        <f ca="1"/>
        <v>46168</v>
      </c>
      <c r="D299">
        <f ca="1"/>
        <v>1234</v>
      </c>
      <c r="E299" t="str">
        <f ca="1"/>
        <v>C39</v>
      </c>
      <c r="F299" t="str">
        <f ca="1"/>
        <v>Multigrain</v>
      </c>
      <c r="G299" s="210">
        <f ca="1"/>
        <v>4100</v>
      </c>
      <c r="H299" s="210">
        <f ca="1"/>
        <v>40</v>
      </c>
      <c r="I299" s="210">
        <f ca="1"/>
        <v>82</v>
      </c>
      <c r="J299" s="210">
        <f ca="1"/>
        <v>20</v>
      </c>
      <c r="K299" s="210">
        <f ca="1"/>
        <v>108</v>
      </c>
      <c r="L299" s="210">
        <f ca="1"/>
        <v>250</v>
      </c>
      <c r="M299" s="210">
        <f ca="1"/>
        <v>3850</v>
      </c>
      <c r="N299" s="210">
        <f ca="1"/>
        <v>5</v>
      </c>
      <c r="O299" t="str">
        <f ca="1"/>
        <v>dAY</v>
      </c>
      <c r="P299" s="211">
        <f ca="1"/>
        <v>0.93902439024390238</v>
      </c>
      <c r="Q299">
        <f ca="1"/>
        <v>4100</v>
      </c>
      <c r="R299">
        <f ca="1"/>
        <v>0</v>
      </c>
    </row>
    <row r="300" spans="2:18">
      <c r="B300" t="str">
        <f ca="1"/>
        <v>C39-MAY</v>
      </c>
      <c r="C300" s="209">
        <f ca="1"/>
        <v>46169</v>
      </c>
      <c r="D300">
        <f ca="1"/>
        <v>1234</v>
      </c>
      <c r="E300" t="str">
        <f ca="1"/>
        <v>C39</v>
      </c>
      <c r="F300" t="str">
        <f ca="1"/>
        <v>Multigrain</v>
      </c>
      <c r="G300" s="210">
        <f ca="1"/>
        <v>6500</v>
      </c>
      <c r="H300" s="210">
        <f ca="1"/>
        <v>38</v>
      </c>
      <c r="I300" s="210">
        <f ca="1"/>
        <v>186</v>
      </c>
      <c r="J300" s="210">
        <f ca="1"/>
        <v>30</v>
      </c>
      <c r="K300" s="210">
        <f ca="1"/>
        <v>196</v>
      </c>
      <c r="L300" s="210">
        <f ca="1"/>
        <v>450</v>
      </c>
      <c r="M300" s="210">
        <f ca="1"/>
        <v>6050</v>
      </c>
      <c r="N300" s="210">
        <f ca="1"/>
        <v>5</v>
      </c>
      <c r="O300" t="str">
        <f ca="1"/>
        <v>Day</v>
      </c>
      <c r="P300" s="211">
        <f ca="1"/>
        <v>0.93076923076923079</v>
      </c>
      <c r="Q300">
        <f ca="1"/>
        <v>6500</v>
      </c>
      <c r="R300">
        <f ca="1"/>
        <v>0</v>
      </c>
    </row>
    <row r="301" spans="2:18">
      <c r="B301" t="str">
        <f ca="1"/>
        <v>C39-MAY</v>
      </c>
      <c r="C301" s="209">
        <f ca="1"/>
        <v>46170</v>
      </c>
      <c r="D301">
        <f ca="1"/>
        <v>1234</v>
      </c>
      <c r="E301" t="str">
        <f ca="1"/>
        <v>C39</v>
      </c>
      <c r="F301" t="str">
        <f ca="1"/>
        <v>Multigrain</v>
      </c>
      <c r="G301" s="210">
        <f ca="1"/>
        <v>6850</v>
      </c>
      <c r="H301" s="210">
        <f ca="1"/>
        <v>85</v>
      </c>
      <c r="I301" s="210">
        <f ca="1"/>
        <v>109</v>
      </c>
      <c r="J301" s="210">
        <f ca="1"/>
        <v>91</v>
      </c>
      <c r="K301" s="210">
        <f ca="1"/>
        <v>207</v>
      </c>
      <c r="L301" s="210">
        <f ca="1"/>
        <v>492</v>
      </c>
      <c r="M301" s="210">
        <f ca="1"/>
        <v>6358</v>
      </c>
      <c r="N301" s="210">
        <f ca="1"/>
        <v>5</v>
      </c>
      <c r="O301" t="str">
        <f ca="1"/>
        <v>Day</v>
      </c>
      <c r="P301" s="211">
        <f ca="1"/>
        <v>0.92817518248175179</v>
      </c>
      <c r="Q301">
        <f ca="1"/>
        <v>6850</v>
      </c>
      <c r="R301">
        <f ca="1"/>
        <v>0</v>
      </c>
    </row>
    <row r="302" spans="2:18">
      <c r="B302" t="str">
        <f ca="1"/>
        <v>C39-MAY</v>
      </c>
      <c r="C302" s="209">
        <f ca="1"/>
        <v>46171</v>
      </c>
      <c r="D302">
        <f ca="1"/>
        <v>1234</v>
      </c>
      <c r="E302" t="str">
        <f ca="1"/>
        <v>C39</v>
      </c>
      <c r="F302" t="str">
        <f ca="1"/>
        <v>Multigrain</v>
      </c>
      <c r="G302" s="210">
        <f ca="1"/>
        <v>2650</v>
      </c>
      <c r="H302" s="210">
        <f ca="1"/>
        <v>30</v>
      </c>
      <c r="I302" s="210">
        <f ca="1"/>
        <v>35</v>
      </c>
      <c r="J302" s="210">
        <f ca="1"/>
        <v>33</v>
      </c>
      <c r="K302" s="210">
        <f ca="1"/>
        <v>75</v>
      </c>
      <c r="L302" s="210">
        <f ca="1"/>
        <v>173</v>
      </c>
      <c r="M302" s="210">
        <f ca="1"/>
        <v>2477</v>
      </c>
      <c r="N302" s="210">
        <f ca="1"/>
        <v>5</v>
      </c>
      <c r="O302" t="str">
        <f ca="1"/>
        <v>Day</v>
      </c>
      <c r="P302" s="211">
        <f ca="1"/>
        <v>0.93471698113207546</v>
      </c>
      <c r="Q302">
        <f ca="1"/>
        <v>2650</v>
      </c>
      <c r="R302">
        <f ca="1"/>
        <v>0</v>
      </c>
    </row>
    <row r="303" spans="2:18">
      <c r="B303" t="str">
        <f ca="1"/>
        <v>C6-JUNE</v>
      </c>
      <c r="C303" s="209">
        <f ca="1"/>
        <v>46174</v>
      </c>
      <c r="D303" t="str">
        <f ca="1"/>
        <v>Chakki1,2,3</v>
      </c>
      <c r="E303" t="str">
        <f ca="1"/>
        <v>old plant</v>
      </c>
      <c r="F303" t="str">
        <f ca="1"/>
        <v>Jowar Grains</v>
      </c>
      <c r="G303" s="210">
        <f ca="1"/>
        <v>1450</v>
      </c>
      <c r="H303" s="210">
        <f ca="1"/>
        <v>5</v>
      </c>
      <c r="I303" s="210">
        <f ca="1"/>
        <v>18</v>
      </c>
      <c r="J303" s="210">
        <f ca="1"/>
        <v>1</v>
      </c>
      <c r="K303" s="210">
        <f ca="1"/>
        <v>46</v>
      </c>
      <c r="L303" s="210">
        <f ca="1"/>
        <v>70</v>
      </c>
      <c r="M303" s="210">
        <f ca="1"/>
        <v>1380</v>
      </c>
      <c r="N303" s="210">
        <f ca="1"/>
        <v>3</v>
      </c>
      <c r="O303" t="str">
        <f ca="1"/>
        <v>DAY</v>
      </c>
      <c r="P303" s="211">
        <f ca="1"/>
        <v>0.9517241379310345</v>
      </c>
      <c r="Q303">
        <f ca="1"/>
        <v>1450</v>
      </c>
      <c r="R303">
        <f ca="1"/>
        <v>0</v>
      </c>
    </row>
    <row r="304" spans="2:18">
      <c r="B304" t="str">
        <f ca="1"/>
        <v>C6-JUNE</v>
      </c>
      <c r="C304" s="209">
        <f ca="1"/>
        <v>46174</v>
      </c>
      <c r="D304" t="str">
        <f ca="1"/>
        <v>Chakki1,2,3</v>
      </c>
      <c r="E304" t="str">
        <f ca="1"/>
        <v>New Plant</v>
      </c>
      <c r="F304" t="str">
        <f ca="1"/>
        <v>High Protein Atta</v>
      </c>
      <c r="G304" s="210">
        <f ca="1"/>
        <v>727.5</v>
      </c>
      <c r="H304" s="210">
        <f ca="1"/>
        <v>4</v>
      </c>
      <c r="I304" s="210">
        <f ca="1"/>
        <v>12</v>
      </c>
      <c r="J304" s="210">
        <f ca="1"/>
        <v>0.5</v>
      </c>
      <c r="K304" s="210">
        <f ca="1"/>
        <v>31</v>
      </c>
      <c r="L304" s="210">
        <f ca="1"/>
        <v>47.5</v>
      </c>
      <c r="M304" s="210">
        <f ca="1"/>
        <v>680</v>
      </c>
      <c r="N304" s="210">
        <f ca="1"/>
        <v>3</v>
      </c>
      <c r="O304" t="str">
        <f ca="1"/>
        <v>DAY</v>
      </c>
      <c r="P304" s="211">
        <f ca="1"/>
        <v>0.93470790378006874</v>
      </c>
      <c r="Q304">
        <f ca="1"/>
        <v>727.5</v>
      </c>
      <c r="R304">
        <f ca="1"/>
        <v>0</v>
      </c>
    </row>
    <row r="305" spans="2:18">
      <c r="B305" t="str">
        <f ca="1"/>
        <v>C6-JUNE</v>
      </c>
      <c r="C305" s="209">
        <f ca="1"/>
        <v>46144</v>
      </c>
      <c r="D305" t="str">
        <f ca="1"/>
        <v>Chakki1,2,3</v>
      </c>
      <c r="E305" t="str">
        <f ca="1"/>
        <v>New Plant</v>
      </c>
      <c r="F305" t="str">
        <f ca="1"/>
        <v>High Protein Atta</v>
      </c>
      <c r="G305" s="210">
        <f ca="1"/>
        <v>2910</v>
      </c>
      <c r="H305" s="210">
        <f ca="1"/>
        <v>0</v>
      </c>
      <c r="I305" s="210">
        <f ca="1"/>
        <v>47</v>
      </c>
      <c r="J305" s="210">
        <f ca="1"/>
        <v>3</v>
      </c>
      <c r="K305" s="210">
        <f ca="1"/>
        <v>123</v>
      </c>
      <c r="L305" s="210">
        <f ca="1"/>
        <v>173</v>
      </c>
      <c r="M305" s="210">
        <f ca="1"/>
        <v>2737</v>
      </c>
      <c r="N305" s="210">
        <f ca="1"/>
        <v>3</v>
      </c>
      <c r="O305" t="str">
        <f ca="1"/>
        <v>DAY</v>
      </c>
      <c r="P305" s="211">
        <f ca="1"/>
        <v>0.94054982817869415</v>
      </c>
      <c r="Q305">
        <f ca="1"/>
        <v>2910</v>
      </c>
      <c r="R305">
        <f ca="1"/>
        <v>0</v>
      </c>
    </row>
    <row r="306" spans="2:18">
      <c r="B306" t="str">
        <f ca="1"/>
        <v>C6-JUNE</v>
      </c>
      <c r="C306" s="209">
        <f ca="1"/>
        <v>46176</v>
      </c>
      <c r="D306" t="str">
        <f ca="1"/>
        <v>Chakki1,2,3</v>
      </c>
      <c r="E306" t="str">
        <f ca="1"/>
        <v>New Plant</v>
      </c>
      <c r="F306" t="str">
        <f ca="1"/>
        <v>High Protein Atta</v>
      </c>
      <c r="G306" s="210">
        <f ca="1"/>
        <v>2958.5</v>
      </c>
      <c r="H306" s="210">
        <f ca="1"/>
        <v>0</v>
      </c>
      <c r="I306" s="210">
        <f ca="1"/>
        <v>73</v>
      </c>
      <c r="J306" s="210">
        <f ca="1"/>
        <v>2</v>
      </c>
      <c r="K306" s="210">
        <f ca="1"/>
        <v>100.5</v>
      </c>
      <c r="L306" s="210">
        <f ca="1"/>
        <v>175.5</v>
      </c>
      <c r="M306" s="210">
        <f ca="1"/>
        <v>2783</v>
      </c>
      <c r="N306" s="210">
        <f ca="1"/>
        <v>3</v>
      </c>
      <c r="O306" t="str">
        <f ca="1"/>
        <v>DAY</v>
      </c>
      <c r="P306" s="211">
        <f ca="1"/>
        <v>0.94067939834375525</v>
      </c>
      <c r="Q306">
        <f ca="1"/>
        <v>2958.5</v>
      </c>
      <c r="R306">
        <f ca="1"/>
        <v>0</v>
      </c>
    </row>
    <row r="307" spans="2:18">
      <c r="B307" t="str">
        <f ca="1"/>
        <v>C6-JUNE</v>
      </c>
      <c r="C307" s="209">
        <f ca="1"/>
        <v>46176</v>
      </c>
      <c r="D307" t="str">
        <f ca="1"/>
        <v>Chakki1,2,3</v>
      </c>
      <c r="E307" t="str">
        <f ca="1"/>
        <v>old plant</v>
      </c>
      <c r="F307" t="str">
        <f ca="1"/>
        <v>Khapli Grains</v>
      </c>
      <c r="G307" s="210">
        <f ca="1"/>
        <v>500</v>
      </c>
      <c r="H307" s="210">
        <f ca="1"/>
        <v>0</v>
      </c>
      <c r="I307" s="210">
        <f ca="1"/>
        <v>0.5</v>
      </c>
      <c r="J307" s="210">
        <f ca="1"/>
        <v>0.5</v>
      </c>
      <c r="K307" s="210">
        <f ca="1"/>
        <v>31</v>
      </c>
      <c r="L307" s="210">
        <f ca="1"/>
        <v>32</v>
      </c>
      <c r="M307" s="210">
        <f ca="1"/>
        <v>468</v>
      </c>
      <c r="N307" s="210">
        <f ca="1"/>
        <v>3</v>
      </c>
      <c r="O307" t="str">
        <f ca="1"/>
        <v>DAY</v>
      </c>
      <c r="P307" s="211">
        <f ca="1"/>
        <v>0.93600000000000005</v>
      </c>
      <c r="Q307">
        <f ca="1"/>
        <v>500</v>
      </c>
      <c r="R307">
        <f ca="1"/>
        <v>0</v>
      </c>
    </row>
    <row r="308" spans="2:18">
      <c r="B308" t="str">
        <f ca="1"/>
        <v>C6-JUNE</v>
      </c>
      <c r="C308" s="209">
        <f ca="1"/>
        <v>46176</v>
      </c>
      <c r="D308" t="str">
        <f ca="1"/>
        <v>Chakki1,2,3</v>
      </c>
      <c r="E308" t="str">
        <f ca="1"/>
        <v>old plant</v>
      </c>
      <c r="F308" t="str">
        <f ca="1"/>
        <v>Jowar Grains</v>
      </c>
      <c r="G308" s="210">
        <f ca="1"/>
        <v>510</v>
      </c>
      <c r="H308" s="210">
        <f ca="1"/>
        <v>0</v>
      </c>
      <c r="I308" s="210">
        <f ca="1"/>
        <v>15</v>
      </c>
      <c r="J308" s="210">
        <f ca="1"/>
        <v>0.5</v>
      </c>
      <c r="K308" s="210">
        <f ca="1"/>
        <v>18.5</v>
      </c>
      <c r="L308" s="210">
        <f ca="1"/>
        <v>34</v>
      </c>
      <c r="M308" s="210">
        <f ca="1"/>
        <v>476</v>
      </c>
      <c r="N308" s="210">
        <f ca="1"/>
        <v>3</v>
      </c>
      <c r="O308" t="str">
        <f ca="1"/>
        <v>DAY</v>
      </c>
      <c r="P308" s="211">
        <f ca="1"/>
        <v>0.93333333333333335</v>
      </c>
      <c r="Q308">
        <f ca="1"/>
        <v>510</v>
      </c>
      <c r="R308">
        <f ca="1"/>
        <v>0</v>
      </c>
    </row>
    <row r="309" spans="2:18">
      <c r="B309" t="str">
        <f ca="1"/>
        <v>C6-JUNE</v>
      </c>
      <c r="C309" s="209">
        <f ca="1"/>
        <v>46177</v>
      </c>
      <c r="D309" t="str">
        <f ca="1"/>
        <v>Chakki1,2,3</v>
      </c>
      <c r="E309" t="str">
        <f ca="1"/>
        <v>old plant</v>
      </c>
      <c r="F309" t="str">
        <f ca="1"/>
        <v>High Protein Atta</v>
      </c>
      <c r="G309" s="210">
        <f ca="1"/>
        <v>2522</v>
      </c>
      <c r="H309" s="210">
        <f ca="1"/>
        <v>5</v>
      </c>
      <c r="I309" s="210">
        <f ca="1"/>
        <v>30</v>
      </c>
      <c r="J309" s="210">
        <f ca="1"/>
        <v>2</v>
      </c>
      <c r="K309" s="210">
        <f ca="1"/>
        <v>120</v>
      </c>
      <c r="L309" s="210">
        <f ca="1"/>
        <v>157</v>
      </c>
      <c r="M309" s="210">
        <f ca="1"/>
        <v>2365</v>
      </c>
      <c r="N309" s="210">
        <f ca="1"/>
        <v>3</v>
      </c>
      <c r="O309" t="str">
        <f ca="1"/>
        <v>DAY</v>
      </c>
      <c r="P309" s="211">
        <f ca="1"/>
        <v>0.93774781919111816</v>
      </c>
      <c r="Q309">
        <f ca="1"/>
        <v>2522</v>
      </c>
      <c r="R309">
        <f ca="1"/>
        <v>0</v>
      </c>
    </row>
    <row r="310" spans="2:18">
      <c r="B310" t="str">
        <f ca="1"/>
        <v>C6-JUNE</v>
      </c>
      <c r="C310" s="209">
        <f ca="1"/>
        <v>46177</v>
      </c>
      <c r="D310" t="str">
        <f ca="1"/>
        <v>Chakki1,2,3</v>
      </c>
      <c r="E310" t="str">
        <f ca="1"/>
        <v>New Plant</v>
      </c>
      <c r="F310" t="str">
        <f ca="1"/>
        <v>High Protein Atta</v>
      </c>
      <c r="G310" s="210">
        <f ca="1"/>
        <v>2958.5</v>
      </c>
      <c r="H310" s="210">
        <f ca="1"/>
        <v>8</v>
      </c>
      <c r="I310" s="210">
        <f ca="1"/>
        <v>106</v>
      </c>
      <c r="J310" s="210">
        <f ca="1"/>
        <v>2</v>
      </c>
      <c r="K310" s="210">
        <f ca="1"/>
        <v>67.5</v>
      </c>
      <c r="L310" s="210">
        <f ca="1"/>
        <v>183.5</v>
      </c>
      <c r="M310" s="210">
        <f ca="1"/>
        <v>2775</v>
      </c>
      <c r="N310" s="210">
        <f ca="1"/>
        <v>3</v>
      </c>
      <c r="O310" t="str">
        <f ca="1"/>
        <v>DAY</v>
      </c>
      <c r="P310" s="211">
        <f ca="1"/>
        <v>0.93797532533378403</v>
      </c>
      <c r="Q310">
        <f ca="1"/>
        <v>2958.5</v>
      </c>
      <c r="R310">
        <f ca="1"/>
        <v>0</v>
      </c>
    </row>
    <row r="311" spans="2:18">
      <c r="B311" t="str">
        <f ca="1"/>
        <v>C6-JUNE</v>
      </c>
      <c r="C311" s="209">
        <f ca="1"/>
        <v>46178</v>
      </c>
      <c r="D311" t="str">
        <f ca="1"/>
        <v>Chakki1,2,3</v>
      </c>
      <c r="E311" t="str">
        <f ca="1"/>
        <v>New Plant</v>
      </c>
      <c r="F311" t="str">
        <f ca="1"/>
        <v>High Protein Atta</v>
      </c>
      <c r="G311" s="210">
        <f ca="1"/>
        <v>2667.5</v>
      </c>
      <c r="H311" s="210">
        <f ca="1"/>
        <v>0</v>
      </c>
      <c r="I311" s="210">
        <f ca="1"/>
        <v>80</v>
      </c>
      <c r="J311" s="210">
        <f ca="1"/>
        <v>2</v>
      </c>
      <c r="K311" s="210">
        <f ca="1"/>
        <v>122.5</v>
      </c>
      <c r="L311" s="210">
        <f ca="1"/>
        <v>204.5</v>
      </c>
      <c r="M311" s="210">
        <f ca="1"/>
        <v>2463</v>
      </c>
      <c r="N311" s="210">
        <f ca="1"/>
        <v>3</v>
      </c>
      <c r="O311" t="str">
        <f ca="1"/>
        <v>DAY</v>
      </c>
      <c r="P311" s="211">
        <f ca="1"/>
        <v>0.92333645735707592</v>
      </c>
      <c r="Q311">
        <f ca="1"/>
        <v>2667.5</v>
      </c>
      <c r="R311">
        <f ca="1"/>
        <v>0</v>
      </c>
    </row>
    <row r="312" spans="2:18">
      <c r="B312" t="str">
        <f ca="1"/>
        <v>C6-JUNE</v>
      </c>
      <c r="C312" s="209">
        <f ca="1"/>
        <v>46178</v>
      </c>
      <c r="D312" t="str">
        <f ca="1"/>
        <v>Chakki1,2,3</v>
      </c>
      <c r="E312" t="str">
        <f ca="1"/>
        <v>old plant</v>
      </c>
      <c r="F312" t="str">
        <f ca="1"/>
        <v>High Protein Atta</v>
      </c>
      <c r="G312" s="210">
        <f ca="1"/>
        <v>1309.5</v>
      </c>
      <c r="H312" s="210">
        <f ca="1"/>
        <v>0</v>
      </c>
      <c r="I312" s="210">
        <f ca="1"/>
        <v>10</v>
      </c>
      <c r="J312" s="210">
        <f ca="1"/>
        <v>1</v>
      </c>
      <c r="K312" s="210">
        <f ca="1"/>
        <v>79.5</v>
      </c>
      <c r="L312" s="210">
        <f ca="1"/>
        <v>90.5</v>
      </c>
      <c r="M312" s="210">
        <f ca="1"/>
        <v>1219</v>
      </c>
      <c r="N312" s="210">
        <f ca="1"/>
        <v>3</v>
      </c>
      <c r="O312" t="str">
        <f ca="1"/>
        <v>DAY</v>
      </c>
      <c r="P312" s="211">
        <f ca="1"/>
        <v>0.93088965253913702</v>
      </c>
      <c r="Q312">
        <f ca="1"/>
        <v>1309.5</v>
      </c>
      <c r="R312">
        <f ca="1"/>
        <v>0</v>
      </c>
    </row>
    <row r="313" spans="2:18">
      <c r="B313" t="str">
        <f ca="1"/>
        <v>C6-JUNE</v>
      </c>
      <c r="C313" s="209">
        <f ca="1"/>
        <v>46179</v>
      </c>
      <c r="D313" t="str">
        <f ca="1"/>
        <v>Chakki1,2,3</v>
      </c>
      <c r="E313" t="str">
        <f ca="1"/>
        <v>New Plant</v>
      </c>
      <c r="F313" t="str">
        <f ca="1"/>
        <v>High Protein Atta</v>
      </c>
      <c r="G313" s="210">
        <f ca="1"/>
        <v>2764.5</v>
      </c>
      <c r="H313" s="210">
        <f ca="1"/>
        <v>5</v>
      </c>
      <c r="I313" s="210">
        <f ca="1"/>
        <v>64</v>
      </c>
      <c r="J313" s="210">
        <f ca="1"/>
        <v>2</v>
      </c>
      <c r="K313" s="210">
        <f ca="1"/>
        <v>98.5</v>
      </c>
      <c r="L313" s="210">
        <f ca="1"/>
        <v>169.5</v>
      </c>
      <c r="M313" s="210">
        <f ca="1"/>
        <v>2595</v>
      </c>
      <c r="N313" s="210">
        <f ca="1"/>
        <v>3</v>
      </c>
      <c r="O313" t="str">
        <f ca="1"/>
        <v>DAY</v>
      </c>
      <c r="P313" s="211">
        <f ca="1"/>
        <v>0.93868692349430272</v>
      </c>
      <c r="Q313">
        <f ca="1"/>
        <v>2764.5</v>
      </c>
      <c r="R313">
        <f ca="1"/>
        <v>0</v>
      </c>
    </row>
    <row r="314" spans="2:18">
      <c r="B314" t="str">
        <f ca="1"/>
        <v>C6-JUNE</v>
      </c>
      <c r="C314" s="209">
        <f ca="1"/>
        <v>46181</v>
      </c>
      <c r="D314" t="str">
        <f ca="1"/>
        <v>Chakki1,2,3</v>
      </c>
      <c r="E314" t="str">
        <f ca="1"/>
        <v>New Plant</v>
      </c>
      <c r="F314" t="str">
        <f ca="1"/>
        <v>High Protein Atta</v>
      </c>
      <c r="G314" s="210">
        <f ca="1"/>
        <v>2279.5</v>
      </c>
      <c r="H314" s="210">
        <f ca="1"/>
        <v>3</v>
      </c>
      <c r="I314" s="210">
        <f ca="1"/>
        <v>75</v>
      </c>
      <c r="J314" s="210">
        <f ca="1"/>
        <v>2</v>
      </c>
      <c r="K314" s="210">
        <f ca="1"/>
        <v>74.5</v>
      </c>
      <c r="L314" s="210">
        <f ca="1"/>
        <v>154.5</v>
      </c>
      <c r="M314" s="210">
        <f ca="1"/>
        <v>2125</v>
      </c>
      <c r="N314" s="210">
        <f ca="1"/>
        <v>3</v>
      </c>
      <c r="O314" t="str">
        <f ca="1"/>
        <v>DAY</v>
      </c>
      <c r="P314" s="211">
        <f ca="1"/>
        <v>0.92060047024778446</v>
      </c>
      <c r="Q314">
        <f ca="1"/>
        <v>2279.5</v>
      </c>
      <c r="R314">
        <f ca="1"/>
        <v>0</v>
      </c>
    </row>
    <row r="315" spans="2:18">
      <c r="B315" t="str">
        <f ca="1"/>
        <v>C6-JUNE</v>
      </c>
      <c r="C315" s="209">
        <f ca="1"/>
        <v>46181</v>
      </c>
      <c r="D315" t="str">
        <f ca="1"/>
        <v>Chakki1,2,3</v>
      </c>
      <c r="E315" t="str">
        <f ca="1"/>
        <v>New Plant</v>
      </c>
      <c r="F315" t="str">
        <f ca="1"/>
        <v>High Protein Atta</v>
      </c>
      <c r="G315" s="210">
        <f ca="1"/>
        <v>485</v>
      </c>
      <c r="H315" s="210">
        <f ca="1"/>
        <v>0</v>
      </c>
      <c r="I315" s="210">
        <f ca="1"/>
        <v>3</v>
      </c>
      <c r="J315" s="210">
        <f ca="1"/>
        <v>2</v>
      </c>
      <c r="K315" s="210">
        <f ca="1"/>
        <v>60</v>
      </c>
      <c r="L315" s="210">
        <f ca="1"/>
        <v>65</v>
      </c>
      <c r="M315" s="210">
        <f ca="1"/>
        <v>420</v>
      </c>
      <c r="N315" s="210">
        <f ca="1"/>
        <v>3</v>
      </c>
      <c r="O315" t="str">
        <f ca="1"/>
        <v>DAY</v>
      </c>
      <c r="P315" s="211">
        <f ca="1"/>
        <v>0.92060047024778446</v>
      </c>
      <c r="Q315">
        <f ca="1"/>
        <v>485</v>
      </c>
      <c r="R315">
        <f ca="1"/>
        <v>0</v>
      </c>
    </row>
    <row r="316" spans="2:18">
      <c r="B316" t="str">
        <f ca="1"/>
        <v>C6-JUNE</v>
      </c>
      <c r="C316" s="209">
        <f ca="1"/>
        <v>46182</v>
      </c>
      <c r="D316" t="str">
        <f ca="1"/>
        <v>Chakki1,2,3</v>
      </c>
      <c r="E316" t="str">
        <f ca="1"/>
        <v>old plant</v>
      </c>
      <c r="F316" t="str">
        <f ca="1"/>
        <v>High Protein Atta</v>
      </c>
      <c r="G316" s="210">
        <f ca="1"/>
        <v>2619</v>
      </c>
      <c r="H316" s="210">
        <f ca="1"/>
        <v>5</v>
      </c>
      <c r="I316" s="210">
        <f ca="1"/>
        <v>85</v>
      </c>
      <c r="J316" s="210">
        <f ca="1"/>
        <v>2</v>
      </c>
      <c r="K316" s="210">
        <f ca="1"/>
        <v>92</v>
      </c>
      <c r="L316" s="210">
        <f ca="1"/>
        <v>184</v>
      </c>
      <c r="M316" s="210">
        <f ca="1"/>
        <v>2435</v>
      </c>
      <c r="N316" s="210">
        <f ca="1"/>
        <v>5</v>
      </c>
      <c r="O316" t="str">
        <f ca="1"/>
        <v>DAY</v>
      </c>
      <c r="P316" s="211">
        <f ca="1"/>
        <v>0.92974417716685753</v>
      </c>
      <c r="Q316">
        <f ca="1"/>
        <v>2619</v>
      </c>
      <c r="R316">
        <f ca="1"/>
        <v>0</v>
      </c>
    </row>
    <row r="317" spans="2:18">
      <c r="B317" t="str">
        <f ca="1"/>
        <v>C6-JUNE</v>
      </c>
      <c r="C317" s="209">
        <f ca="1"/>
        <v>46182</v>
      </c>
      <c r="D317" t="str">
        <f ca="1"/>
        <v>Chakki1,2,3</v>
      </c>
      <c r="E317" t="str">
        <f ca="1"/>
        <v>New Plant</v>
      </c>
      <c r="F317" t="str">
        <f ca="1"/>
        <v>High Protein Atta</v>
      </c>
      <c r="G317" s="210">
        <f ca="1"/>
        <v>2667.5</v>
      </c>
      <c r="H317" s="210">
        <f ca="1"/>
        <v>5</v>
      </c>
      <c r="I317" s="210">
        <f ca="1"/>
        <v>105</v>
      </c>
      <c r="J317" s="210">
        <f ca="1"/>
        <v>2</v>
      </c>
      <c r="K317" s="210">
        <f ca="1"/>
        <v>84.5</v>
      </c>
      <c r="L317" s="210">
        <f ca="1"/>
        <v>196.5</v>
      </c>
      <c r="M317" s="210">
        <f ca="1"/>
        <v>2471</v>
      </c>
      <c r="N317" s="210">
        <f ca="1"/>
        <v>5</v>
      </c>
      <c r="O317" t="str">
        <f ca="1"/>
        <v>DAY</v>
      </c>
      <c r="P317" s="211">
        <f ca="1"/>
        <v>0.92633552014995313</v>
      </c>
      <c r="Q317">
        <f ca="1"/>
        <v>2667.5</v>
      </c>
      <c r="R317">
        <f ca="1"/>
        <v>0</v>
      </c>
    </row>
    <row r="318" spans="2:18">
      <c r="B318" t="str">
        <f ca="1"/>
        <v>C6-JUNE</v>
      </c>
      <c r="C318" s="209">
        <f ca="1"/>
        <v>46183</v>
      </c>
      <c r="D318" t="str">
        <f ca="1"/>
        <v>Chakki1,2,3</v>
      </c>
      <c r="E318" t="str">
        <f ca="1"/>
        <v>New Plant</v>
      </c>
      <c r="F318" t="str">
        <f ca="1"/>
        <v>High Protein Atta</v>
      </c>
      <c r="G318" s="210">
        <f ca="1"/>
        <v>2570.2800000000002</v>
      </c>
      <c r="H318" s="210">
        <f ca="1"/>
        <v>2</v>
      </c>
      <c r="I318" s="210">
        <f ca="1"/>
        <v>104</v>
      </c>
      <c r="J318" s="210">
        <f ca="1"/>
        <v>1.78</v>
      </c>
      <c r="K318" s="210">
        <f ca="1"/>
        <v>108.5</v>
      </c>
      <c r="L318" s="210">
        <f ca="1"/>
        <v>216.28</v>
      </c>
      <c r="M318" s="210">
        <f ca="1"/>
        <v>2354</v>
      </c>
      <c r="N318" s="210">
        <f ca="1"/>
        <v>3</v>
      </c>
      <c r="O318" t="str">
        <f ca="1"/>
        <v>DAY</v>
      </c>
      <c r="P318" s="211">
        <f ca="1"/>
        <v>0.91585352568591738</v>
      </c>
      <c r="Q318">
        <f ca="1"/>
        <v>2570.2800000000002</v>
      </c>
      <c r="R318">
        <f ca="1"/>
        <v>0</v>
      </c>
    </row>
    <row r="319" spans="2:18">
      <c r="B319" t="str">
        <f ca="1"/>
        <v>C6-JUNE</v>
      </c>
      <c r="C319" s="209">
        <f ca="1"/>
        <v>46183</v>
      </c>
      <c r="D319" t="str">
        <f ca="1"/>
        <v>Chakki1,2,3</v>
      </c>
      <c r="E319" t="str">
        <f ca="1"/>
        <v>old plant</v>
      </c>
      <c r="F319" t="str">
        <f ca="1"/>
        <v>High Protein Atta</v>
      </c>
      <c r="G319" s="210">
        <f ca="1"/>
        <v>2619</v>
      </c>
      <c r="H319" s="210">
        <f ca="1"/>
        <v>5</v>
      </c>
      <c r="I319" s="210">
        <f ca="1"/>
        <v>45</v>
      </c>
      <c r="J319" s="210">
        <f ca="1"/>
        <v>2</v>
      </c>
      <c r="K319" s="210">
        <f ca="1"/>
        <v>107</v>
      </c>
      <c r="L319" s="210">
        <f ca="1"/>
        <v>159</v>
      </c>
      <c r="M319" s="210">
        <f ca="1"/>
        <v>2460</v>
      </c>
      <c r="N319" s="210">
        <f ca="1"/>
        <v>3</v>
      </c>
      <c r="O319" t="str">
        <f ca="1"/>
        <v>DAY</v>
      </c>
      <c r="P319" s="211">
        <f ca="1"/>
        <v>0.93928980526918671</v>
      </c>
      <c r="Q319">
        <f ca="1"/>
        <v>2619</v>
      </c>
      <c r="R319">
        <f ca="1"/>
        <v>0</v>
      </c>
    </row>
    <row r="320" spans="2:18">
      <c r="B320" t="str">
        <f ca="1"/>
        <v>C6-JUNE</v>
      </c>
      <c r="C320" s="209">
        <f ca="1"/>
        <v>46184</v>
      </c>
      <c r="D320" t="str">
        <f ca="1"/>
        <v>Chakki1,2,3</v>
      </c>
      <c r="E320" t="str">
        <f ca="1"/>
        <v>old plant</v>
      </c>
      <c r="F320" t="str">
        <f ca="1"/>
        <v>High Protein Atta</v>
      </c>
      <c r="G320" s="210">
        <f ca="1"/>
        <v>2085.5</v>
      </c>
      <c r="H320" s="210">
        <f ca="1"/>
        <v>2</v>
      </c>
      <c r="I320" s="210">
        <f ca="1"/>
        <v>35</v>
      </c>
      <c r="J320" s="210">
        <f ca="1"/>
        <v>2</v>
      </c>
      <c r="K320" s="210">
        <f ca="1"/>
        <v>96.5</v>
      </c>
      <c r="L320" s="210">
        <f ca="1"/>
        <v>135.5</v>
      </c>
      <c r="M320" s="210">
        <f ca="1"/>
        <v>1950</v>
      </c>
      <c r="N320" s="210">
        <f ca="1"/>
        <v>3</v>
      </c>
      <c r="O320" t="str">
        <f ca="1"/>
        <v>DAY</v>
      </c>
      <c r="P320" s="211">
        <f ca="1"/>
        <v>0.93502757132582115</v>
      </c>
      <c r="Q320">
        <f ca="1"/>
        <v>2085.5</v>
      </c>
      <c r="R320">
        <f ca="1"/>
        <v>0</v>
      </c>
    </row>
    <row r="321" spans="2:18">
      <c r="B321" t="str">
        <f ca="1"/>
        <v>C6-JUNE</v>
      </c>
      <c r="C321" s="209">
        <f ca="1"/>
        <v>46185</v>
      </c>
      <c r="D321" t="str">
        <f ca="1"/>
        <v>Chakki1,2,3</v>
      </c>
      <c r="E321" t="str">
        <f ca="1"/>
        <v>old plant</v>
      </c>
      <c r="F321" t="str">
        <f ca="1"/>
        <v>High Protein Atta</v>
      </c>
      <c r="G321" s="210">
        <f ca="1"/>
        <v>2619</v>
      </c>
      <c r="H321" s="210">
        <f ca="1"/>
        <v>5</v>
      </c>
      <c r="I321" s="210">
        <f ca="1"/>
        <v>40</v>
      </c>
      <c r="J321" s="210">
        <f ca="1"/>
        <v>2</v>
      </c>
      <c r="K321" s="210">
        <f ca="1"/>
        <v>112</v>
      </c>
      <c r="L321" s="210">
        <f ca="1"/>
        <v>159</v>
      </c>
      <c r="M321" s="210">
        <f ca="1"/>
        <v>2460</v>
      </c>
      <c r="N321" s="210">
        <f ca="1"/>
        <v>3</v>
      </c>
      <c r="O321" t="str">
        <f ca="1"/>
        <v>DAY</v>
      </c>
      <c r="P321" s="211">
        <f ca="1"/>
        <v>0.93928980526918671</v>
      </c>
      <c r="Q321">
        <f ca="1"/>
        <v>2619</v>
      </c>
      <c r="R321">
        <f ca="1"/>
        <v>0</v>
      </c>
    </row>
    <row r="322" spans="2:18">
      <c r="B322" t="str">
        <f ca="1"/>
        <v>C6-JUNE</v>
      </c>
      <c r="C322" s="209">
        <f ca="1"/>
        <v>46186</v>
      </c>
      <c r="D322" t="str">
        <f ca="1"/>
        <v>Chakki1,2,3</v>
      </c>
      <c r="E322" t="str">
        <f ca="1"/>
        <v>old plant</v>
      </c>
      <c r="F322" t="str">
        <f ca="1"/>
        <v>High Protein Atta</v>
      </c>
      <c r="G322" s="210">
        <f ca="1"/>
        <v>650</v>
      </c>
      <c r="H322" s="210">
        <f ca="1"/>
        <v>2</v>
      </c>
      <c r="I322" s="210">
        <f ca="1"/>
        <v>15</v>
      </c>
      <c r="J322" s="210">
        <f ca="1"/>
        <v>1</v>
      </c>
      <c r="K322" s="210">
        <f ca="1"/>
        <v>37</v>
      </c>
      <c r="L322" s="210">
        <f ca="1"/>
        <v>55</v>
      </c>
      <c r="M322" s="210">
        <f ca="1"/>
        <v>595</v>
      </c>
      <c r="N322" s="210">
        <f ca="1"/>
        <v>3</v>
      </c>
      <c r="O322" t="str">
        <f ca="1"/>
        <v>DAY</v>
      </c>
      <c r="P322" s="211">
        <f ca="1"/>
        <v>0.91538461538461535</v>
      </c>
      <c r="Q322">
        <f ca="1"/>
        <v>650</v>
      </c>
      <c r="R322">
        <f ca="1"/>
        <v>0</v>
      </c>
    </row>
    <row r="323" spans="2:18">
      <c r="B323" t="str">
        <f ca="1"/>
        <v>C6-JUNE</v>
      </c>
      <c r="C323" s="209">
        <f ca="1"/>
        <v>46186</v>
      </c>
      <c r="D323" t="str">
        <f ca="1"/>
        <v>Chakki1,2,3</v>
      </c>
      <c r="E323" t="str">
        <f ca="1"/>
        <v>New Plant</v>
      </c>
      <c r="F323" t="str">
        <f ca="1"/>
        <v>Khapli Grains</v>
      </c>
      <c r="G323" s="210">
        <f ca="1"/>
        <v>420</v>
      </c>
      <c r="H323" s="210">
        <f ca="1"/>
        <v>3</v>
      </c>
      <c r="I323" s="210">
        <f ca="1"/>
        <v>8</v>
      </c>
      <c r="J323" s="210">
        <f ca="1"/>
        <v>1</v>
      </c>
      <c r="K323" s="210">
        <f ca="1"/>
        <v>25</v>
      </c>
      <c r="L323" s="210">
        <f ca="1"/>
        <v>37</v>
      </c>
      <c r="M323" s="210">
        <f ca="1"/>
        <v>383</v>
      </c>
      <c r="N323" s="210">
        <f ca="1"/>
        <v>3</v>
      </c>
      <c r="O323" t="str">
        <f ca="1"/>
        <v>DAY</v>
      </c>
      <c r="P323" s="211">
        <f ca="1"/>
        <v>0.91190476190476188</v>
      </c>
      <c r="Q323">
        <f ca="1"/>
        <v>420</v>
      </c>
      <c r="R323">
        <f ca="1"/>
        <v>0</v>
      </c>
    </row>
    <row r="324" spans="2:18">
      <c r="B324" t="str">
        <f ca="1"/>
        <v>C6-JUNE</v>
      </c>
      <c r="C324" s="209">
        <f ca="1"/>
        <v>46188</v>
      </c>
      <c r="D324" t="str">
        <f ca="1"/>
        <v>Chakki1,2,3</v>
      </c>
      <c r="E324" t="str">
        <f ca="1"/>
        <v>New Plant</v>
      </c>
      <c r="F324" t="str">
        <f ca="1"/>
        <v>Bajra Grains</v>
      </c>
      <c r="G324" s="210">
        <f ca="1"/>
        <v>580</v>
      </c>
      <c r="H324" s="210">
        <f ca="1"/>
        <v>0</v>
      </c>
      <c r="I324" s="210">
        <f ca="1"/>
        <v>26</v>
      </c>
      <c r="J324" s="210">
        <f ca="1"/>
        <v>1</v>
      </c>
      <c r="K324" s="210">
        <f ca="1"/>
        <v>33</v>
      </c>
      <c r="L324" s="210">
        <f ca="1"/>
        <v>60</v>
      </c>
      <c r="M324" s="210">
        <f ca="1"/>
        <v>520</v>
      </c>
      <c r="N324" s="210">
        <f ca="1"/>
        <v>3</v>
      </c>
      <c r="O324" t="str">
        <f ca="1"/>
        <v>DAY</v>
      </c>
      <c r="P324" s="211">
        <f ca="1"/>
        <v>0.89655172413793105</v>
      </c>
      <c r="Q324">
        <f ca="1"/>
        <v>580</v>
      </c>
      <c r="R324">
        <f ca="1"/>
        <v>0</v>
      </c>
    </row>
    <row r="325" spans="2:18">
      <c r="B325" t="str">
        <f ca="1"/>
        <v>C6-JUNE</v>
      </c>
      <c r="C325" s="209">
        <f ca="1"/>
        <v>46189</v>
      </c>
      <c r="D325" t="str">
        <f ca="1"/>
        <v>Chakki1,2,3</v>
      </c>
      <c r="E325" t="str">
        <f ca="1"/>
        <v>New Plant</v>
      </c>
      <c r="F325" t="str">
        <f ca="1"/>
        <v>Khapli Grains</v>
      </c>
      <c r="G325" s="210">
        <f ca="1"/>
        <v>1550</v>
      </c>
      <c r="H325" s="210">
        <f ca="1"/>
        <v>3</v>
      </c>
      <c r="I325" s="210">
        <f ca="1"/>
        <v>22</v>
      </c>
      <c r="J325" s="210">
        <f ca="1"/>
        <v>2</v>
      </c>
      <c r="K325" s="210">
        <f ca="1"/>
        <v>78</v>
      </c>
      <c r="L325" s="210">
        <f ca="1"/>
        <v>105</v>
      </c>
      <c r="M325" s="210">
        <f ca="1"/>
        <v>1445</v>
      </c>
      <c r="N325" s="210">
        <f ca="1"/>
        <v>5</v>
      </c>
      <c r="O325" t="str">
        <f ca="1"/>
        <v>DAY</v>
      </c>
      <c r="P325" s="211">
        <f ca="1"/>
        <v>0.93225806451612903</v>
      </c>
      <c r="Q325">
        <f ca="1"/>
        <v>1550</v>
      </c>
      <c r="R325">
        <f ca="1"/>
        <v>0</v>
      </c>
    </row>
    <row r="326" spans="2:18">
      <c r="B326" t="str">
        <f ca="1"/>
        <v>C6-JUNE</v>
      </c>
      <c r="C326" s="209">
        <f ca="1"/>
        <v>46189</v>
      </c>
      <c r="D326" t="str">
        <f ca="1"/>
        <v>Chakki1,2,3</v>
      </c>
      <c r="E326" t="str">
        <f ca="1"/>
        <v>old plant</v>
      </c>
      <c r="F326" t="str">
        <f ca="1"/>
        <v>Jowar Grains</v>
      </c>
      <c r="G326" s="210">
        <f ca="1"/>
        <v>1100</v>
      </c>
      <c r="H326" s="210">
        <f ca="1"/>
        <v>2</v>
      </c>
      <c r="I326" s="210">
        <f ca="1"/>
        <v>21</v>
      </c>
      <c r="J326" s="210">
        <f ca="1"/>
        <v>2</v>
      </c>
      <c r="K326" s="210">
        <f ca="1"/>
        <v>78</v>
      </c>
      <c r="L326" s="210">
        <f ca="1"/>
        <v>103</v>
      </c>
      <c r="M326" s="210">
        <f ca="1"/>
        <v>997</v>
      </c>
      <c r="N326" s="210">
        <f ca="1"/>
        <v>5</v>
      </c>
      <c r="O326" t="str">
        <f ca="1"/>
        <v>DAY</v>
      </c>
      <c r="P326" s="211">
        <f ca="1"/>
        <v>0.90636363636363637</v>
      </c>
      <c r="Q326">
        <f ca="1"/>
        <v>1100</v>
      </c>
      <c r="R326">
        <f ca="1"/>
        <v>0</v>
      </c>
    </row>
    <row r="327" spans="2:18">
      <c r="B327" t="str">
        <f ca="1"/>
        <v>C6-JUNE</v>
      </c>
      <c r="C327" s="209">
        <f ca="1"/>
        <v>46190</v>
      </c>
      <c r="D327" t="str">
        <f ca="1"/>
        <v>Chakki1,2,3</v>
      </c>
      <c r="E327" t="str">
        <f ca="1"/>
        <v>New Plant</v>
      </c>
      <c r="F327" t="str">
        <f ca="1"/>
        <v>Khapli Grains</v>
      </c>
      <c r="G327" s="210">
        <f ca="1"/>
        <v>2450</v>
      </c>
      <c r="H327" s="210">
        <f ca="1"/>
        <v>0</v>
      </c>
      <c r="I327" s="210">
        <f ca="1"/>
        <v>43</v>
      </c>
      <c r="J327" s="210">
        <f ca="1"/>
        <v>2</v>
      </c>
      <c r="K327" s="210">
        <f ca="1"/>
        <v>103</v>
      </c>
      <c r="L327" s="210">
        <f ca="1"/>
        <v>148</v>
      </c>
      <c r="M327" s="210">
        <f ca="1"/>
        <v>2302</v>
      </c>
      <c r="N327" s="210">
        <f ca="1"/>
        <v>3</v>
      </c>
      <c r="O327" t="str">
        <f ca="1"/>
        <v>DAY</v>
      </c>
      <c r="P327" s="211">
        <f ca="1"/>
        <v>0.93959183673469393</v>
      </c>
      <c r="Q327">
        <f ca="1"/>
        <v>2450</v>
      </c>
      <c r="R327">
        <f ca="1"/>
        <v>0</v>
      </c>
    </row>
    <row r="328" spans="2:18">
      <c r="B328" t="str">
        <f ca="1"/>
        <v>C6-JUNE</v>
      </c>
      <c r="C328" s="209">
        <f ca="1"/>
        <v>46191</v>
      </c>
      <c r="D328" t="str">
        <f ca="1"/>
        <v>Chakki1,2,3</v>
      </c>
      <c r="E328" t="str">
        <f ca="1"/>
        <v>New Plant</v>
      </c>
      <c r="F328" t="str">
        <f ca="1"/>
        <v>Khapli Grains</v>
      </c>
      <c r="G328" s="210">
        <f ca="1"/>
        <v>3500</v>
      </c>
      <c r="H328" s="210">
        <f ca="1"/>
        <v>4</v>
      </c>
      <c r="I328" s="210">
        <f ca="1"/>
        <v>72</v>
      </c>
      <c r="J328" s="210">
        <f ca="1"/>
        <v>2</v>
      </c>
      <c r="K328" s="210">
        <f ca="1"/>
        <v>142</v>
      </c>
      <c r="L328" s="210">
        <f ca="1"/>
        <v>220</v>
      </c>
      <c r="M328" s="210">
        <f ca="1"/>
        <v>3280</v>
      </c>
      <c r="N328" s="210">
        <f ca="1"/>
        <v>3</v>
      </c>
      <c r="O328" t="str">
        <f ca="1"/>
        <v>Day</v>
      </c>
      <c r="P328" s="211">
        <f ca="1"/>
        <v>0.93714285714285717</v>
      </c>
      <c r="Q328">
        <f ca="1"/>
        <v>3500</v>
      </c>
      <c r="R328">
        <f ca="1"/>
        <v>0</v>
      </c>
    </row>
    <row r="329" spans="2:18">
      <c r="B329" t="str">
        <f ca="1"/>
        <v>C6-JUNE</v>
      </c>
      <c r="C329" s="209">
        <f ca="1"/>
        <v>46192</v>
      </c>
      <c r="D329" t="str">
        <f ca="1"/>
        <v>Chakki1,2,3</v>
      </c>
      <c r="E329" t="str">
        <f ca="1"/>
        <v>New Plant</v>
      </c>
      <c r="F329" t="str">
        <f ca="1"/>
        <v>Khapli Grains</v>
      </c>
      <c r="G329" s="210">
        <f ca="1"/>
        <v>630</v>
      </c>
      <c r="H329" s="210">
        <f ca="1"/>
        <v>0</v>
      </c>
      <c r="I329" s="210">
        <f ca="1"/>
        <v>11</v>
      </c>
      <c r="J329" s="210">
        <f ca="1"/>
        <v>2</v>
      </c>
      <c r="K329" s="210">
        <f ca="1"/>
        <v>29</v>
      </c>
      <c r="L329" s="210">
        <f ca="1"/>
        <v>42</v>
      </c>
      <c r="M329" s="210">
        <f ca="1"/>
        <v>588</v>
      </c>
      <c r="N329" s="210">
        <f ca="1"/>
        <v>3</v>
      </c>
      <c r="O329" t="str">
        <f ca="1"/>
        <v>DAY</v>
      </c>
      <c r="P329" s="211">
        <f ca="1"/>
        <v>0.93333333333333335</v>
      </c>
      <c r="Q329">
        <f ca="1"/>
        <v>630</v>
      </c>
      <c r="R329">
        <f ca="1"/>
        <v>0</v>
      </c>
    </row>
    <row r="330" spans="2:18">
      <c r="B330" t="str">
        <f ca="1"/>
        <v>C6-JUNE</v>
      </c>
      <c r="C330" s="209">
        <f ca="1"/>
        <v>46192</v>
      </c>
      <c r="D330" t="str">
        <f ca="1"/>
        <v>Chakki1,2,3</v>
      </c>
      <c r="E330" t="str">
        <f ca="1"/>
        <v>New Plant</v>
      </c>
      <c r="F330" t="str">
        <f ca="1"/>
        <v>High Protein Atta</v>
      </c>
      <c r="G330" s="210">
        <f ca="1"/>
        <v>3104</v>
      </c>
      <c r="H330" s="210">
        <f ca="1"/>
        <v>0</v>
      </c>
      <c r="I330" s="210">
        <f ca="1"/>
        <v>105</v>
      </c>
      <c r="J330" s="210">
        <f ca="1"/>
        <v>3</v>
      </c>
      <c r="K330" s="210">
        <f ca="1"/>
        <v>121</v>
      </c>
      <c r="L330" s="210">
        <f ca="1"/>
        <v>229</v>
      </c>
      <c r="M330" s="210">
        <f ca="1"/>
        <v>2875</v>
      </c>
      <c r="N330" s="210">
        <f ca="1"/>
        <v>3</v>
      </c>
      <c r="O330" t="str">
        <f ca="1"/>
        <v>DAY</v>
      </c>
      <c r="P330" s="211">
        <f ca="1"/>
        <v>0.92622422680412375</v>
      </c>
      <c r="Q330">
        <f ca="1"/>
        <v>3104</v>
      </c>
      <c r="R330">
        <f ca="1"/>
        <v>0</v>
      </c>
    </row>
    <row r="331" spans="2:18">
      <c r="B331" t="str">
        <f ca="1"/>
        <v>C6-JUNE</v>
      </c>
      <c r="C331" s="209">
        <f ca="1"/>
        <v>46193</v>
      </c>
      <c r="D331" t="str">
        <f ca="1"/>
        <v>Chakki1,2,3</v>
      </c>
      <c r="E331" t="str">
        <f ca="1"/>
        <v>New Plant</v>
      </c>
      <c r="F331" t="str">
        <f ca="1"/>
        <v>High Protein Atta</v>
      </c>
      <c r="G331" s="210">
        <f ca="1"/>
        <v>3492</v>
      </c>
      <c r="H331" s="210">
        <f ca="1"/>
        <v>0</v>
      </c>
      <c r="I331" s="210">
        <f ca="1"/>
        <v>106</v>
      </c>
      <c r="J331" s="210">
        <f ca="1"/>
        <v>4</v>
      </c>
      <c r="K331" s="210">
        <f ca="1"/>
        <v>118</v>
      </c>
      <c r="L331" s="210">
        <f ca="1"/>
        <v>228</v>
      </c>
      <c r="M331" s="210">
        <f ca="1"/>
        <v>3264</v>
      </c>
      <c r="N331" s="210">
        <f ca="1"/>
        <v>4</v>
      </c>
      <c r="O331" t="str">
        <f ca="1"/>
        <v>DAY</v>
      </c>
      <c r="P331" s="211">
        <f ca="1"/>
        <v>0.93470790378006874</v>
      </c>
      <c r="Q331">
        <f ca="1"/>
        <v>3492</v>
      </c>
      <c r="R331">
        <f ca="1"/>
        <v>0</v>
      </c>
    </row>
    <row r="332" spans="2:18">
      <c r="B332" t="str">
        <f ca="1"/>
        <v>C6-JUNE</v>
      </c>
      <c r="C332" s="209">
        <f ca="1"/>
        <v>46195</v>
      </c>
      <c r="D332" t="str">
        <f ca="1"/>
        <v>Chakki1,2,3</v>
      </c>
      <c r="E332" t="str">
        <f ca="1"/>
        <v>New Plant</v>
      </c>
      <c r="F332" t="str">
        <f ca="1"/>
        <v>High Protein Atta</v>
      </c>
      <c r="G332" s="210">
        <f ca="1"/>
        <v>2619</v>
      </c>
      <c r="H332" s="210">
        <f ca="1"/>
        <v>0</v>
      </c>
      <c r="I332" s="210">
        <f ca="1"/>
        <v>48</v>
      </c>
      <c r="J332" s="210">
        <f ca="1"/>
        <v>2</v>
      </c>
      <c r="K332" s="210">
        <f ca="1"/>
        <v>105</v>
      </c>
      <c r="L332" s="210">
        <f ca="1"/>
        <v>155</v>
      </c>
      <c r="M332" s="210">
        <f ca="1"/>
        <v>2464</v>
      </c>
      <c r="N332" s="210">
        <f ca="1"/>
        <v>3</v>
      </c>
      <c r="O332" t="str">
        <f ca="1"/>
        <v>DAY</v>
      </c>
      <c r="P332" s="211">
        <f ca="1"/>
        <v>0.94081710576555933</v>
      </c>
      <c r="Q332">
        <f ca="1"/>
        <v>2619</v>
      </c>
      <c r="R332">
        <f ca="1"/>
        <v>0</v>
      </c>
    </row>
    <row r="333" spans="2:18">
      <c r="B333" t="str">
        <f ca="1"/>
        <v>C6-JUNE</v>
      </c>
      <c r="C333" s="209">
        <f ca="1"/>
        <v>46196</v>
      </c>
      <c r="D333" t="str">
        <f ca="1"/>
        <v>Chakki1,2,3</v>
      </c>
      <c r="E333" t="str">
        <f ca="1"/>
        <v>New Plant</v>
      </c>
      <c r="F333" t="str">
        <f ca="1"/>
        <v>High Protein Atta</v>
      </c>
      <c r="G333" s="210">
        <f ca="1"/>
        <v>582</v>
      </c>
      <c r="H333" s="210">
        <f ca="1"/>
        <v>0</v>
      </c>
      <c r="I333" s="210">
        <f ca="1"/>
        <v>6</v>
      </c>
      <c r="J333" s="210">
        <f ca="1"/>
        <v>1</v>
      </c>
      <c r="K333" s="210">
        <f ca="1"/>
        <v>37</v>
      </c>
      <c r="L333" s="210">
        <f ca="1"/>
        <v>44</v>
      </c>
      <c r="M333" s="210">
        <f ca="1"/>
        <v>538</v>
      </c>
      <c r="N333" s="210">
        <f ca="1"/>
        <v>2</v>
      </c>
      <c r="O333" t="str">
        <f ca="1"/>
        <v>DAY</v>
      </c>
      <c r="P333" s="211">
        <f ca="1"/>
        <v>0.92439862542955331</v>
      </c>
      <c r="Q333">
        <f ca="1"/>
        <v>582</v>
      </c>
      <c r="R333">
        <f ca="1"/>
        <v>0</v>
      </c>
    </row>
    <row r="334" spans="2:18">
      <c r="B334" t="str">
        <f ca="1"/>
        <v>C6-JUNE</v>
      </c>
      <c r="C334" s="209">
        <f ca="1"/>
        <v>46199</v>
      </c>
      <c r="D334" t="str">
        <f ca="1"/>
        <v>Chakki1,2,3</v>
      </c>
      <c r="E334" t="str">
        <f ca="1"/>
        <v>New Plant</v>
      </c>
      <c r="F334" t="str">
        <f ca="1"/>
        <v>High Protein Atta</v>
      </c>
      <c r="G334" s="210">
        <f ca="1"/>
        <v>1092</v>
      </c>
      <c r="H334" s="210">
        <f ca="1"/>
        <v>0</v>
      </c>
      <c r="I334" s="210">
        <f ca="1"/>
        <v>25</v>
      </c>
      <c r="J334" s="210">
        <f ca="1"/>
        <v>4</v>
      </c>
      <c r="K334" s="210">
        <f ca="1"/>
        <v>48</v>
      </c>
      <c r="L334" s="210">
        <f ca="1"/>
        <v>77</v>
      </c>
      <c r="M334" s="210">
        <f ca="1"/>
        <v>1015</v>
      </c>
      <c r="N334" s="210">
        <f ca="1"/>
        <v>2</v>
      </c>
      <c r="O334" t="str">
        <f ca="1"/>
        <v>DAY</v>
      </c>
      <c r="P334" s="211">
        <f ca="1"/>
        <v>0.92948717948717952</v>
      </c>
      <c r="Q334">
        <f ca="1"/>
        <v>1092</v>
      </c>
      <c r="R334">
        <f ca="1"/>
        <v>0</v>
      </c>
    </row>
    <row r="335" spans="2:18">
      <c r="B335" t="str">
        <f ca="1"/>
        <v>C6-JUNE</v>
      </c>
      <c r="C335" s="209">
        <f ca="1"/>
        <v>46199</v>
      </c>
      <c r="D335" t="str">
        <f ca="1"/>
        <v>Chakki1,2,3</v>
      </c>
      <c r="E335" t="str">
        <f ca="1"/>
        <v>old plant</v>
      </c>
      <c r="F335" t="str">
        <f ca="1"/>
        <v>Jowar Grains</v>
      </c>
      <c r="G335" s="210">
        <f ca="1"/>
        <v>310</v>
      </c>
      <c r="H335" s="210">
        <f ca="1"/>
        <v>2</v>
      </c>
      <c r="I335" s="210">
        <f ca="1"/>
        <v>2</v>
      </c>
      <c r="J335" s="210">
        <f ca="1"/>
        <v>1</v>
      </c>
      <c r="K335" s="210">
        <f ca="1"/>
        <v>8</v>
      </c>
      <c r="L335" s="210">
        <f ca="1"/>
        <v>13</v>
      </c>
      <c r="M335" s="210">
        <f ca="1"/>
        <v>297</v>
      </c>
      <c r="N335" s="210">
        <f ca="1"/>
        <v>2</v>
      </c>
      <c r="O335" t="str">
        <f ca="1"/>
        <v>DAY</v>
      </c>
      <c r="P335" s="211">
        <f ca="1"/>
        <v>0.95806451612903221</v>
      </c>
      <c r="Q335">
        <f ca="1"/>
        <v>310</v>
      </c>
      <c r="R335">
        <f ca="1"/>
        <v>0</v>
      </c>
    </row>
    <row r="336" spans="2:18">
      <c r="B336" t="str">
        <f ca="1"/>
        <v>C6-JUNE</v>
      </c>
      <c r="C336" s="209">
        <f ca="1"/>
        <v>46200</v>
      </c>
      <c r="D336" t="str">
        <f ca="1"/>
        <v>Chakki1,2,3</v>
      </c>
      <c r="E336" t="str">
        <f ca="1"/>
        <v>old plant</v>
      </c>
      <c r="F336" t="str">
        <f ca="1"/>
        <v>High Protein Atta</v>
      </c>
      <c r="G336" s="210">
        <f ca="1"/>
        <v>2134</v>
      </c>
      <c r="H336" s="210">
        <f ca="1"/>
        <v>2</v>
      </c>
      <c r="I336" s="210">
        <f ca="1"/>
        <v>48</v>
      </c>
      <c r="J336" s="210">
        <f ca="1"/>
        <v>2</v>
      </c>
      <c r="K336" s="210">
        <f ca="1"/>
        <v>113</v>
      </c>
      <c r="L336" s="210">
        <f ca="1"/>
        <v>165</v>
      </c>
      <c r="M336" s="210">
        <f ca="1"/>
        <v>1969</v>
      </c>
      <c r="N336" s="210">
        <f ca="1"/>
        <v>3</v>
      </c>
      <c r="O336" t="str">
        <f ca="1"/>
        <v>DAY</v>
      </c>
      <c r="P336" s="211">
        <f ca="1"/>
        <v>0.92268041237113407</v>
      </c>
      <c r="Q336">
        <f ca="1"/>
        <v>2134</v>
      </c>
      <c r="R336">
        <f ca="1"/>
        <v>0</v>
      </c>
    </row>
    <row r="337" spans="2:18">
      <c r="B337" t="str">
        <f ca="1"/>
        <v>C6-JUNE</v>
      </c>
      <c r="C337" s="209">
        <f ca="1"/>
        <v>46203</v>
      </c>
      <c r="D337" t="str">
        <f ca="1"/>
        <v>Chakki1,2,3</v>
      </c>
      <c r="E337" t="str">
        <f ca="1"/>
        <v>old plant</v>
      </c>
      <c r="F337" t="str">
        <f ca="1"/>
        <v>Bajra grains</v>
      </c>
      <c r="G337" s="210">
        <f ca="1"/>
        <v>229</v>
      </c>
      <c r="H337" s="210">
        <f ca="1"/>
        <v>0</v>
      </c>
      <c r="I337" s="210">
        <f ca="1"/>
        <v>0.5</v>
      </c>
      <c r="J337" s="210">
        <f ca="1"/>
        <v>0.5</v>
      </c>
      <c r="K337" s="210">
        <f ca="1"/>
        <v>21</v>
      </c>
      <c r="L337" s="210">
        <f ca="1"/>
        <v>22</v>
      </c>
      <c r="M337" s="210">
        <f ca="1"/>
        <v>207</v>
      </c>
      <c r="N337" s="210">
        <f ca="1"/>
        <v>3</v>
      </c>
      <c r="O337" t="str">
        <f ca="1"/>
        <v>DAY</v>
      </c>
      <c r="P337" s="211">
        <f ca="1"/>
        <v>0.90393013100436681</v>
      </c>
      <c r="Q337">
        <f ca="1"/>
        <v>229</v>
      </c>
      <c r="R337">
        <f ca="1"/>
        <v>0</v>
      </c>
    </row>
    <row r="338" spans="2:18">
      <c r="B338" t="str">
        <f ca="1"/>
        <v>C6-JUNE</v>
      </c>
      <c r="C338" s="209">
        <f ca="1"/>
        <v>46203</v>
      </c>
      <c r="D338" t="str">
        <f ca="1"/>
        <v>Chakki1,2,3</v>
      </c>
      <c r="E338" t="str">
        <f ca="1"/>
        <v>New Plant</v>
      </c>
      <c r="F338" t="str">
        <f ca="1"/>
        <v>High Protein Atta</v>
      </c>
      <c r="G338" s="210">
        <f ca="1"/>
        <v>970</v>
      </c>
      <c r="H338" s="210">
        <f ca="1"/>
        <v>0</v>
      </c>
      <c r="I338" s="210">
        <f ca="1"/>
        <v>24</v>
      </c>
      <c r="J338" s="210">
        <f ca="1"/>
        <v>2</v>
      </c>
      <c r="K338" s="210">
        <f ca="1"/>
        <v>53</v>
      </c>
      <c r="L338" s="210">
        <f ca="1"/>
        <v>79</v>
      </c>
      <c r="M338" s="210">
        <f ca="1"/>
        <v>891</v>
      </c>
      <c r="N338" s="210">
        <f ca="1"/>
        <v>3</v>
      </c>
      <c r="O338" t="str">
        <f ca="1"/>
        <v>DAY</v>
      </c>
      <c r="P338" s="211">
        <f ca="1"/>
        <v>0.91855670103092779</v>
      </c>
      <c r="Q338">
        <f ca="1"/>
        <v>970</v>
      </c>
      <c r="R338">
        <f ca="1"/>
        <v>0</v>
      </c>
    </row>
    <row r="339" spans="2:18">
      <c r="B339" t="str">
        <f ca="1"/>
        <v>C6-JUNE</v>
      </c>
      <c r="C339" s="209">
        <f ca="1"/>
        <v>46203</v>
      </c>
      <c r="D339" t="str">
        <f ca="1"/>
        <v>Chakki1</v>
      </c>
      <c r="E339" t="str">
        <f ca="1"/>
        <v>old plant</v>
      </c>
      <c r="F339" t="str">
        <f ca="1"/>
        <v>multigrains</v>
      </c>
      <c r="G339" s="210">
        <f ca="1"/>
        <v>100</v>
      </c>
      <c r="H339" s="210">
        <f ca="1"/>
        <v>0</v>
      </c>
      <c r="I339" s="210">
        <f ca="1"/>
        <v>0.5</v>
      </c>
      <c r="J339" s="210">
        <f ca="1"/>
        <v>0.5</v>
      </c>
      <c r="K339" s="210">
        <f ca="1"/>
        <v>5</v>
      </c>
      <c r="L339" s="210">
        <f ca="1"/>
        <v>6</v>
      </c>
      <c r="M339" s="210">
        <f ca="1"/>
        <v>94</v>
      </c>
      <c r="N339" s="210">
        <f ca="1"/>
        <v>3</v>
      </c>
      <c r="O339" t="str">
        <f ca="1"/>
        <v>DAY</v>
      </c>
      <c r="P339" s="211">
        <f ca="1"/>
        <v>0.94</v>
      </c>
      <c r="Q339">
        <f ca="1"/>
        <v>100</v>
      </c>
      <c r="R339">
        <f ca="1"/>
        <v>0</v>
      </c>
    </row>
    <row r="340" spans="2:18">
      <c r="B340" t="str">
        <f ca="1"/>
        <v>C39-JUNE</v>
      </c>
      <c r="C340" s="209">
        <f ca="1"/>
        <v>46174</v>
      </c>
      <c r="D340" t="str">
        <f ca="1"/>
        <v>1,2,3,4</v>
      </c>
      <c r="E340" t="str">
        <f ca="1"/>
        <v>C39</v>
      </c>
      <c r="F340" t="str">
        <f ca="1"/>
        <v>MULTIGRAIN</v>
      </c>
      <c r="G340" s="210">
        <f ca="1"/>
        <v>6650</v>
      </c>
      <c r="H340" s="210">
        <f ca="1"/>
        <v>20</v>
      </c>
      <c r="I340" s="210">
        <f ca="1"/>
        <v>190</v>
      </c>
      <c r="J340" s="210">
        <f ca="1"/>
        <v>30</v>
      </c>
      <c r="K340" s="210">
        <f ca="1"/>
        <v>210</v>
      </c>
      <c r="L340" s="210">
        <f ca="1"/>
        <v>450</v>
      </c>
      <c r="M340" s="210">
        <f ca="1"/>
        <v>6200</v>
      </c>
      <c r="N340" s="210">
        <f ca="1"/>
        <v>5</v>
      </c>
      <c r="O340" t="str">
        <f ca="1"/>
        <v>Day</v>
      </c>
      <c r="P340" s="211">
        <f ca="1"/>
        <v>0.93233082706766912</v>
      </c>
      <c r="Q340">
        <f ca="1"/>
        <v>6650</v>
      </c>
      <c r="R340">
        <f ca="1"/>
        <v>0</v>
      </c>
    </row>
    <row r="341" spans="2:18">
      <c r="B341" t="str">
        <f ca="1"/>
        <v>C39-JUNE</v>
      </c>
      <c r="C341" s="209">
        <f ca="1"/>
        <v>46175</v>
      </c>
      <c r="D341" t="str">
        <f ca="1"/>
        <v>1,2,3,4</v>
      </c>
      <c r="E341" t="str">
        <f ca="1"/>
        <v>C39</v>
      </c>
      <c r="F341" t="str">
        <f ca="1"/>
        <v>MULTIGRAIN</v>
      </c>
      <c r="G341" s="210">
        <f ca="1"/>
        <v>5200</v>
      </c>
      <c r="H341" s="210">
        <f ca="1"/>
        <v>40</v>
      </c>
      <c r="I341" s="210">
        <f ca="1"/>
        <v>165</v>
      </c>
      <c r="J341" s="210">
        <f ca="1"/>
        <v>25</v>
      </c>
      <c r="K341" s="210">
        <f ca="1"/>
        <v>170</v>
      </c>
      <c r="L341" s="210">
        <f ca="1"/>
        <v>400</v>
      </c>
      <c r="M341" s="210">
        <f ca="1"/>
        <v>4800</v>
      </c>
      <c r="N341" s="210">
        <f ca="1"/>
        <v>5</v>
      </c>
      <c r="O341" t="str">
        <f ca="1"/>
        <v>Day</v>
      </c>
      <c r="P341" s="211">
        <f ca="1"/>
        <v>0.92307692307692313</v>
      </c>
      <c r="Q341">
        <f ca="1"/>
        <v>5200</v>
      </c>
      <c r="R341">
        <f ca="1"/>
        <v>0</v>
      </c>
    </row>
    <row r="342" spans="2:18">
      <c r="B342" t="str">
        <f ca="1"/>
        <v>C39-JUNE</v>
      </c>
      <c r="C342" s="209">
        <f ca="1"/>
        <v>46176</v>
      </c>
      <c r="D342" t="str">
        <f ca="1"/>
        <v>1,2,3,4</v>
      </c>
      <c r="E342" t="str">
        <f ca="1"/>
        <v>C39</v>
      </c>
      <c r="F342" t="str">
        <f ca="1"/>
        <v>MULTIGRAIN</v>
      </c>
      <c r="G342" s="210">
        <f ca="1"/>
        <v>6100</v>
      </c>
      <c r="H342" s="210">
        <f ca="1"/>
        <v>42</v>
      </c>
      <c r="I342" s="210">
        <f ca="1"/>
        <v>201</v>
      </c>
      <c r="J342" s="210">
        <f ca="1"/>
        <v>32</v>
      </c>
      <c r="K342" s="210">
        <f ca="1"/>
        <v>125</v>
      </c>
      <c r="L342" s="210">
        <f ca="1"/>
        <v>400</v>
      </c>
      <c r="M342" s="210">
        <f ca="1"/>
        <v>5700</v>
      </c>
      <c r="N342" s="210">
        <f ca="1"/>
        <v>5</v>
      </c>
      <c r="O342" t="str">
        <f ca="1"/>
        <v>Day</v>
      </c>
      <c r="P342" s="211">
        <f ca="1"/>
        <v>0.93442622950819676</v>
      </c>
      <c r="Q342">
        <f ca="1"/>
        <v>6100</v>
      </c>
      <c r="R342">
        <f ca="1"/>
        <v>0</v>
      </c>
    </row>
    <row r="343" spans="2:18">
      <c r="B343" t="str">
        <f ca="1"/>
        <v>C39-JUNE</v>
      </c>
      <c r="C343" s="209">
        <f ca="1"/>
        <v>46177</v>
      </c>
      <c r="D343" t="str">
        <f ca="1"/>
        <v>1,2,3,4</v>
      </c>
      <c r="E343" t="str">
        <f ca="1"/>
        <v>C39</v>
      </c>
      <c r="F343" t="str">
        <f ca="1"/>
        <v>MULTIGRAIN</v>
      </c>
      <c r="G343" s="210">
        <f ca="1"/>
        <v>4400</v>
      </c>
      <c r="H343" s="210">
        <f ca="1"/>
        <v>37</v>
      </c>
      <c r="I343" s="210">
        <f ca="1"/>
        <v>124</v>
      </c>
      <c r="J343" s="210">
        <f ca="1"/>
        <v>27</v>
      </c>
      <c r="K343" s="210">
        <f ca="1"/>
        <v>112</v>
      </c>
      <c r="L343" s="210">
        <f ca="1"/>
        <v>300</v>
      </c>
      <c r="M343" s="210">
        <f ca="1"/>
        <v>4100</v>
      </c>
      <c r="N343" s="210">
        <f ca="1"/>
        <v>5</v>
      </c>
      <c r="O343" t="str">
        <f ca="1"/>
        <v>Day</v>
      </c>
      <c r="P343" s="211">
        <f ca="1"/>
        <v>0.93181818181818177</v>
      </c>
      <c r="Q343">
        <f ca="1"/>
        <v>4400</v>
      </c>
      <c r="R343">
        <f ca="1"/>
        <v>0</v>
      </c>
    </row>
    <row r="344" spans="2:18">
      <c r="B344" t="str">
        <f ca="1"/>
        <v>C39-JUNE</v>
      </c>
      <c r="C344" s="209">
        <f ca="1"/>
        <v>46178</v>
      </c>
      <c r="D344" t="str">
        <f ca="1"/>
        <v>1,2,3,4</v>
      </c>
      <c r="E344" t="str">
        <f ca="1"/>
        <v>C39</v>
      </c>
      <c r="F344" t="str">
        <f ca="1"/>
        <v>MULTIGRAIN</v>
      </c>
      <c r="G344" s="210">
        <f ca="1"/>
        <v>1400</v>
      </c>
      <c r="H344" s="210">
        <f ca="1"/>
        <v>10</v>
      </c>
      <c r="I344" s="210">
        <f ca="1"/>
        <v>35</v>
      </c>
      <c r="J344" s="210">
        <f ca="1"/>
        <v>5</v>
      </c>
      <c r="K344" s="210">
        <f ca="1"/>
        <v>20</v>
      </c>
      <c r="L344" s="210">
        <f ca="1"/>
        <v>70</v>
      </c>
      <c r="M344" s="210">
        <f ca="1"/>
        <v>1330</v>
      </c>
      <c r="N344" s="210">
        <f ca="1"/>
        <v>5</v>
      </c>
      <c r="O344" t="str">
        <f ca="1"/>
        <v>Day</v>
      </c>
      <c r="P344" s="211">
        <f ca="1"/>
        <v>0.95</v>
      </c>
      <c r="Q344">
        <f ca="1"/>
        <v>1400</v>
      </c>
      <c r="R344">
        <f ca="1"/>
        <v>0</v>
      </c>
    </row>
    <row r="345" spans="2:18">
      <c r="B345" t="str">
        <f ca="1"/>
        <v>C39-JUNE</v>
      </c>
      <c r="C345" s="209">
        <f ca="1"/>
        <v>46178</v>
      </c>
      <c r="D345" t="str">
        <f ca="1"/>
        <v>Blender</v>
      </c>
      <c r="E345" t="str">
        <f ca="1"/>
        <v>C39</v>
      </c>
      <c r="F345" t="str">
        <f ca="1"/>
        <v>besan</v>
      </c>
      <c r="G345" s="210">
        <f ca="1"/>
        <v>204</v>
      </c>
      <c r="H345" s="210">
        <f ca="1"/>
        <v>0</v>
      </c>
      <c r="I345" s="210">
        <f ca="1"/>
        <v>0</v>
      </c>
      <c r="J345" s="210">
        <f ca="1"/>
        <v>1</v>
      </c>
      <c r="K345" s="210">
        <f ca="1"/>
        <v>3</v>
      </c>
      <c r="L345" s="210">
        <f ca="1"/>
        <v>4</v>
      </c>
      <c r="M345" s="210">
        <f ca="1"/>
        <v>200</v>
      </c>
      <c r="N345" s="210">
        <f ca="1"/>
        <v>1</v>
      </c>
      <c r="O345" t="str">
        <f ca="1"/>
        <v>Day</v>
      </c>
      <c r="P345" s="211">
        <f ca="1"/>
        <v>0.98039215686274506</v>
      </c>
      <c r="Q345">
        <f ca="1"/>
        <v>204</v>
      </c>
      <c r="R345">
        <f ca="1"/>
        <v>0</v>
      </c>
    </row>
    <row r="346" spans="2:18">
      <c r="B346" t="str">
        <f ca="1"/>
        <v>C39-JUNE</v>
      </c>
      <c r="C346" s="209">
        <f ca="1"/>
        <v>46179</v>
      </c>
      <c r="D346">
        <f ca="1"/>
        <v>1234</v>
      </c>
      <c r="E346" t="str">
        <f ca="1"/>
        <v>C39</v>
      </c>
      <c r="F346" t="str">
        <f ca="1"/>
        <v>MULTIGRAIN</v>
      </c>
      <c r="G346" s="210">
        <f ca="1"/>
        <v>6250</v>
      </c>
      <c r="H346" s="210">
        <f ca="1"/>
        <v>60</v>
      </c>
      <c r="I346" s="210">
        <f ca="1"/>
        <v>125</v>
      </c>
      <c r="J346" s="210">
        <f ca="1"/>
        <v>17</v>
      </c>
      <c r="K346" s="210">
        <f ca="1"/>
        <v>188</v>
      </c>
      <c r="L346" s="210">
        <f ca="1"/>
        <v>390</v>
      </c>
      <c r="M346" s="210">
        <f ca="1"/>
        <v>5860</v>
      </c>
      <c r="N346" s="210">
        <f ca="1"/>
        <v>5</v>
      </c>
      <c r="O346" t="str">
        <f ca="1"/>
        <v>DAY</v>
      </c>
      <c r="P346" s="211">
        <f ca="1"/>
        <v>0.93759999999999999</v>
      </c>
      <c r="Q346">
        <f ca="1"/>
        <v>6250</v>
      </c>
      <c r="R346">
        <f ca="1"/>
        <v>0</v>
      </c>
    </row>
    <row r="347" spans="2:18">
      <c r="B347" t="str">
        <f ca="1"/>
        <v>C39-JUNE</v>
      </c>
      <c r="C347" s="209">
        <f ca="1"/>
        <v>46181</v>
      </c>
      <c r="D347" t="str">
        <f ca="1"/>
        <v>Blender</v>
      </c>
      <c r="E347" t="str">
        <f ca="1"/>
        <v>C39</v>
      </c>
      <c r="F347" t="str">
        <f ca="1"/>
        <v>besan</v>
      </c>
      <c r="G347" s="210">
        <f ca="1"/>
        <v>160</v>
      </c>
      <c r="H347" s="210" t="str">
        <f ca="1"/>
        <v>-</v>
      </c>
      <c r="I347" s="210" t="str">
        <f ca="1"/>
        <v>-</v>
      </c>
      <c r="J347" s="210">
        <f ca="1"/>
        <v>2</v>
      </c>
      <c r="K347" s="210">
        <f ca="1"/>
        <v>3</v>
      </c>
      <c r="L347" s="210">
        <f ca="1"/>
        <v>5</v>
      </c>
      <c r="M347" s="210">
        <f ca="1"/>
        <v>155</v>
      </c>
      <c r="N347" s="210">
        <f ca="1"/>
        <v>1</v>
      </c>
      <c r="O347" t="str">
        <f ca="1"/>
        <v>Day</v>
      </c>
      <c r="P347" s="211">
        <f ca="1"/>
        <v>0.96875</v>
      </c>
      <c r="Q347">
        <f ca="1"/>
        <v>160</v>
      </c>
      <c r="R347">
        <f ca="1"/>
        <v>0</v>
      </c>
    </row>
    <row r="348" spans="2:18">
      <c r="B348" t="str">
        <f ca="1"/>
        <v>C39-JUNE</v>
      </c>
      <c r="C348" s="209">
        <f ca="1"/>
        <v>46180</v>
      </c>
      <c r="D348" t="str">
        <f ca="1"/>
        <v>Blender</v>
      </c>
      <c r="E348" t="str">
        <f ca="1"/>
        <v>C39</v>
      </c>
      <c r="F348" t="str">
        <f ca="1"/>
        <v>BESAN</v>
      </c>
      <c r="G348" s="210">
        <f ca="1"/>
        <v>70</v>
      </c>
      <c r="H348" s="210" t="str">
        <f ca="1"/>
        <v>-</v>
      </c>
      <c r="I348" s="210" t="str">
        <f ca="1"/>
        <v>-</v>
      </c>
      <c r="J348" s="210">
        <f ca="1"/>
        <v>1</v>
      </c>
      <c r="K348" s="210">
        <f ca="1"/>
        <v>4</v>
      </c>
      <c r="L348" s="210">
        <f ca="1"/>
        <v>5</v>
      </c>
      <c r="M348" s="210">
        <f ca="1"/>
        <v>65</v>
      </c>
      <c r="N348" s="210">
        <f ca="1"/>
        <v>1</v>
      </c>
      <c r="O348" t="str">
        <f ca="1"/>
        <v>DAY</v>
      </c>
      <c r="P348" s="211">
        <f ca="1"/>
        <v>0.9285714285714286</v>
      </c>
      <c r="Q348">
        <f ca="1"/>
        <v>70</v>
      </c>
      <c r="R348">
        <f ca="1"/>
        <v>0</v>
      </c>
    </row>
    <row r="349" spans="2:18">
      <c r="B349" t="str">
        <f ca="1"/>
        <v>C39-JUNE</v>
      </c>
      <c r="C349" s="209">
        <f ca="1"/>
        <v>46182</v>
      </c>
      <c r="D349" t="str">
        <f ca="1"/>
        <v>1,2,3,4</v>
      </c>
      <c r="E349" t="str">
        <f ca="1"/>
        <v>C39</v>
      </c>
      <c r="F349" t="str">
        <f ca="1"/>
        <v>MULTIGRAIN</v>
      </c>
      <c r="G349" s="210">
        <f ca="1"/>
        <v>6650</v>
      </c>
      <c r="H349" s="210">
        <f ca="1"/>
        <v>85</v>
      </c>
      <c r="I349" s="210">
        <f ca="1"/>
        <v>285</v>
      </c>
      <c r="J349" s="210">
        <f ca="1"/>
        <v>35</v>
      </c>
      <c r="K349" s="210">
        <f ca="1"/>
        <v>95</v>
      </c>
      <c r="L349" s="210">
        <f ca="1"/>
        <v>500</v>
      </c>
      <c r="M349" s="210">
        <f ca="1"/>
        <v>6150</v>
      </c>
      <c r="N349" s="210">
        <f ca="1"/>
        <v>5</v>
      </c>
      <c r="O349" t="str">
        <f ca="1"/>
        <v>Day</v>
      </c>
      <c r="P349" s="211">
        <f ca="1"/>
        <v>0.92481203007518797</v>
      </c>
      <c r="Q349">
        <f ca="1"/>
        <v>6650</v>
      </c>
      <c r="R349">
        <f ca="1"/>
        <v>0</v>
      </c>
    </row>
    <row r="350" spans="2:18">
      <c r="B350" t="str">
        <f ca="1"/>
        <v>C39-JUNE</v>
      </c>
      <c r="C350" s="209">
        <f ca="1"/>
        <v>46183</v>
      </c>
      <c r="D350" t="str">
        <f ca="1"/>
        <v>1,2,3,4</v>
      </c>
      <c r="E350" t="str">
        <f ca="1"/>
        <v>C39</v>
      </c>
      <c r="F350" t="str">
        <f ca="1"/>
        <v>MULTIGRAIN</v>
      </c>
      <c r="G350" s="210">
        <f ca="1"/>
        <v>5200</v>
      </c>
      <c r="H350" s="210">
        <f ca="1"/>
        <v>22</v>
      </c>
      <c r="I350" s="210">
        <f ca="1"/>
        <v>231</v>
      </c>
      <c r="J350" s="210">
        <f ca="1"/>
        <v>25</v>
      </c>
      <c r="K350" s="210">
        <f ca="1"/>
        <v>102</v>
      </c>
      <c r="L350" s="210">
        <f ca="1"/>
        <v>380</v>
      </c>
      <c r="M350" s="210">
        <f ca="1"/>
        <v>4820</v>
      </c>
      <c r="N350" s="210">
        <f ca="1"/>
        <v>5</v>
      </c>
      <c r="O350" t="str">
        <f ca="1"/>
        <v>Day</v>
      </c>
      <c r="P350" s="211">
        <f ca="1"/>
        <v>0.92692307692307696</v>
      </c>
      <c r="Q350">
        <f ca="1"/>
        <v>5200</v>
      </c>
      <c r="R350">
        <f ca="1"/>
        <v>0</v>
      </c>
    </row>
    <row r="351" spans="2:18">
      <c r="B351" t="str">
        <f ca="1"/>
        <v>C39-JUNE</v>
      </c>
      <c r="C351" s="209">
        <f ca="1"/>
        <v>46184</v>
      </c>
      <c r="D351" t="str">
        <f ca="1"/>
        <v>1.2.3.4</v>
      </c>
      <c r="E351" t="str">
        <f ca="1"/>
        <v>C39</v>
      </c>
      <c r="F351" t="str">
        <f ca="1"/>
        <v>MULTIGRAIN</v>
      </c>
      <c r="G351" s="210">
        <f ca="1"/>
        <v>4500</v>
      </c>
      <c r="H351" s="210">
        <f ca="1"/>
        <v>23</v>
      </c>
      <c r="I351" s="210">
        <f ca="1"/>
        <v>170</v>
      </c>
      <c r="J351" s="210">
        <f ca="1"/>
        <v>30</v>
      </c>
      <c r="K351" s="210">
        <f ca="1"/>
        <v>92</v>
      </c>
      <c r="L351" s="210">
        <f ca="1"/>
        <v>315</v>
      </c>
      <c r="M351" s="210">
        <f ca="1"/>
        <v>4185</v>
      </c>
      <c r="N351" s="210">
        <f ca="1"/>
        <v>5</v>
      </c>
      <c r="O351" t="str">
        <f ca="1"/>
        <v>Day</v>
      </c>
      <c r="P351" s="211">
        <f ca="1"/>
        <v>0.93</v>
      </c>
      <c r="Q351">
        <f ca="1"/>
        <v>4500</v>
      </c>
      <c r="R351">
        <f ca="1"/>
        <v>0</v>
      </c>
    </row>
    <row r="352" spans="2:18">
      <c r="B352" t="str">
        <f ca="1"/>
        <v>C39-JUNE</v>
      </c>
      <c r="C352" s="209">
        <f ca="1"/>
        <v>46186</v>
      </c>
      <c r="D352" t="str">
        <f ca="1"/>
        <v>1,2,3,4</v>
      </c>
      <c r="E352" t="str">
        <f ca="1"/>
        <v>C39</v>
      </c>
      <c r="F352" t="str">
        <f ca="1"/>
        <v>khapli</v>
      </c>
      <c r="G352" s="210">
        <f ca="1"/>
        <v>2000</v>
      </c>
      <c r="H352" s="210">
        <f ca="1"/>
        <v>22</v>
      </c>
      <c r="I352" s="210">
        <f ca="1"/>
        <v>58</v>
      </c>
      <c r="J352" s="210">
        <f ca="1"/>
        <v>15</v>
      </c>
      <c r="K352" s="210">
        <f ca="1"/>
        <v>65</v>
      </c>
      <c r="L352" s="210">
        <f ca="1"/>
        <v>160</v>
      </c>
      <c r="M352" s="210">
        <f ca="1"/>
        <v>1840</v>
      </c>
      <c r="N352" s="210">
        <f ca="1"/>
        <v>5</v>
      </c>
      <c r="O352" t="str">
        <f ca="1"/>
        <v>Day</v>
      </c>
      <c r="P352" s="211">
        <f ca="1"/>
        <v>0.92</v>
      </c>
      <c r="Q352">
        <f ca="1"/>
        <v>2000</v>
      </c>
      <c r="R352">
        <f ca="1"/>
        <v>0</v>
      </c>
    </row>
    <row r="353" spans="2:18">
      <c r="B353" t="str">
        <f ca="1"/>
        <v>C39-JUNE</v>
      </c>
      <c r="C353" s="209">
        <f ca="1"/>
        <v>46188</v>
      </c>
      <c r="D353" t="str">
        <f ca="1"/>
        <v>1,2,3,4</v>
      </c>
      <c r="E353" t="str">
        <f ca="1"/>
        <v>C39</v>
      </c>
      <c r="F353" t="str">
        <f ca="1"/>
        <v>khapli</v>
      </c>
      <c r="G353" s="210">
        <f ca="1"/>
        <v>5200</v>
      </c>
      <c r="H353" s="210">
        <f ca="1"/>
        <v>104</v>
      </c>
      <c r="I353" s="210">
        <f ca="1"/>
        <v>181</v>
      </c>
      <c r="J353" s="210">
        <f ca="1"/>
        <v>20</v>
      </c>
      <c r="K353" s="210">
        <f ca="1"/>
        <v>155</v>
      </c>
      <c r="L353" s="210">
        <f ca="1"/>
        <v>460</v>
      </c>
      <c r="M353" s="210">
        <f ca="1"/>
        <v>4740</v>
      </c>
      <c r="N353" s="210">
        <f ca="1"/>
        <v>5</v>
      </c>
      <c r="O353" t="str">
        <f ca="1"/>
        <v>Day</v>
      </c>
      <c r="P353" s="211">
        <f ca="1"/>
        <v>0.91153846153846152</v>
      </c>
      <c r="Q353">
        <f ca="1"/>
        <v>5200</v>
      </c>
      <c r="R353">
        <f ca="1"/>
        <v>0</v>
      </c>
    </row>
    <row r="354" spans="2:18">
      <c r="B354" t="str">
        <f ca="1"/>
        <v>C39-JUNE</v>
      </c>
      <c r="C354" s="209">
        <f ca="1"/>
        <v>46189</v>
      </c>
      <c r="D354" t="str">
        <f ca="1"/>
        <v>1,2,3,4</v>
      </c>
      <c r="E354" t="str">
        <f ca="1"/>
        <v>C39</v>
      </c>
      <c r="F354" t="str">
        <f ca="1"/>
        <v>khapli</v>
      </c>
      <c r="G354" s="210">
        <f ca="1"/>
        <v>1700</v>
      </c>
      <c r="H354" s="210">
        <f ca="1"/>
        <v>25</v>
      </c>
      <c r="I354" s="210">
        <f ca="1"/>
        <v>70</v>
      </c>
      <c r="J354" s="210">
        <f ca="1"/>
        <v>30</v>
      </c>
      <c r="K354" s="210">
        <f ca="1"/>
        <v>15</v>
      </c>
      <c r="L354" s="210">
        <f ca="1"/>
        <v>140</v>
      </c>
      <c r="M354" s="210">
        <f ca="1"/>
        <v>1560</v>
      </c>
      <c r="N354" s="210">
        <f ca="1"/>
        <v>5</v>
      </c>
      <c r="O354" t="str">
        <f ca="1"/>
        <v>Day</v>
      </c>
      <c r="P354" s="211">
        <f ca="1"/>
        <v>0.91764705882352937</v>
      </c>
      <c r="Q354">
        <f ca="1"/>
        <v>1700</v>
      </c>
      <c r="R354">
        <f ca="1"/>
        <v>0</v>
      </c>
    </row>
    <row r="355" spans="2:18">
      <c r="B355" t="str">
        <f ca="1"/>
        <v>C39-JUNE</v>
      </c>
      <c r="C355" s="209">
        <f ca="1"/>
        <v>46190</v>
      </c>
      <c r="D355" t="str">
        <f ca="1"/>
        <v>1,2,3,4</v>
      </c>
      <c r="E355" t="str">
        <f ca="1"/>
        <v>C39</v>
      </c>
      <c r="F355" t="str">
        <f ca="1"/>
        <v>Khapli</v>
      </c>
      <c r="G355" s="210">
        <f ca="1"/>
        <v>6000</v>
      </c>
      <c r="H355" s="210">
        <f ca="1"/>
        <v>90</v>
      </c>
      <c r="I355" s="210">
        <f ca="1"/>
        <v>240</v>
      </c>
      <c r="J355" s="210">
        <f ca="1"/>
        <v>35</v>
      </c>
      <c r="K355" s="210">
        <f ca="1"/>
        <v>235</v>
      </c>
      <c r="L355" s="210">
        <f ca="1"/>
        <v>600</v>
      </c>
      <c r="M355" s="210">
        <f ca="1"/>
        <v>5400</v>
      </c>
      <c r="N355" s="210">
        <f ca="1"/>
        <v>5</v>
      </c>
      <c r="O355" t="str">
        <f ca="1"/>
        <v>Day</v>
      </c>
      <c r="P355" s="211">
        <f ca="1"/>
        <v>0.9</v>
      </c>
      <c r="Q355">
        <f ca="1"/>
        <v>6000</v>
      </c>
      <c r="R355">
        <f ca="1"/>
        <v>0</v>
      </c>
    </row>
    <row r="356" spans="2:18">
      <c r="B356" t="str">
        <f ca="1"/>
        <v>C39-JUNE</v>
      </c>
      <c r="C356" s="209">
        <f ca="1"/>
        <v>46191</v>
      </c>
      <c r="D356" t="str">
        <f ca="1"/>
        <v>1,2,3,4</v>
      </c>
      <c r="E356" t="str">
        <f ca="1"/>
        <v>C39</v>
      </c>
      <c r="F356" t="str">
        <f ca="1"/>
        <v>khapli</v>
      </c>
      <c r="G356" s="210">
        <f ca="1"/>
        <v>6500</v>
      </c>
      <c r="H356" s="210">
        <f ca="1"/>
        <v>95</v>
      </c>
      <c r="I356" s="210">
        <f ca="1"/>
        <v>220</v>
      </c>
      <c r="J356" s="210">
        <f ca="1"/>
        <v>39</v>
      </c>
      <c r="K356" s="210">
        <f ca="1"/>
        <v>176</v>
      </c>
      <c r="L356" s="210">
        <f ca="1"/>
        <v>530</v>
      </c>
      <c r="M356" s="210">
        <f ca="1"/>
        <v>5970</v>
      </c>
      <c r="N356" s="210">
        <f ca="1"/>
        <v>5</v>
      </c>
      <c r="O356" t="str">
        <f ca="1"/>
        <v>Day</v>
      </c>
      <c r="P356" s="211">
        <f ca="1"/>
        <v>0.91846153846153844</v>
      </c>
      <c r="Q356">
        <f ca="1"/>
        <v>6500</v>
      </c>
      <c r="R356">
        <f ca="1"/>
        <v>0</v>
      </c>
    </row>
    <row r="357" spans="2:18">
      <c r="B357" t="str">
        <f ca="1"/>
        <v>C39-JUNE</v>
      </c>
      <c r="C357" s="209">
        <f ca="1"/>
        <v>46192</v>
      </c>
      <c r="D357" t="str">
        <f ca="1"/>
        <v>1,2,3,4</v>
      </c>
      <c r="E357" t="str">
        <f ca="1"/>
        <v>C39</v>
      </c>
      <c r="F357" t="str">
        <f ca="1"/>
        <v>Khapli</v>
      </c>
      <c r="G357" s="210">
        <f ca="1"/>
        <v>6650</v>
      </c>
      <c r="H357" s="210">
        <f ca="1"/>
        <v>78</v>
      </c>
      <c r="I357" s="210">
        <f ca="1"/>
        <v>202</v>
      </c>
      <c r="J357" s="210">
        <f ca="1"/>
        <v>40</v>
      </c>
      <c r="K357" s="210">
        <f ca="1"/>
        <v>190</v>
      </c>
      <c r="L357" s="210">
        <f ca="1"/>
        <v>510</v>
      </c>
      <c r="M357" s="210">
        <f ca="1"/>
        <v>6140</v>
      </c>
      <c r="N357" s="210">
        <f ca="1"/>
        <v>5</v>
      </c>
      <c r="O357" t="str">
        <f ca="1"/>
        <v>Day</v>
      </c>
      <c r="P357" s="211">
        <f ca="1"/>
        <v>0.92330827067669174</v>
      </c>
      <c r="Q357">
        <f ca="1"/>
        <v>6650</v>
      </c>
      <c r="R357">
        <f ca="1"/>
        <v>0</v>
      </c>
    </row>
    <row r="358" spans="2:18">
      <c r="B358" t="str">
        <f ca="1"/>
        <v>C39-JUNE</v>
      </c>
      <c r="C358" s="209">
        <f ca="1"/>
        <v>46195</v>
      </c>
      <c r="D358" t="str">
        <f ca="1"/>
        <v>1,2,3,4</v>
      </c>
      <c r="E358" t="str">
        <f ca="1"/>
        <v>C39</v>
      </c>
      <c r="F358" t="str">
        <f ca="1"/>
        <v>khapli</v>
      </c>
      <c r="G358" s="210">
        <f ca="1"/>
        <v>3350</v>
      </c>
      <c r="H358" s="210">
        <f ca="1"/>
        <v>20</v>
      </c>
      <c r="I358" s="210">
        <f ca="1"/>
        <v>160</v>
      </c>
      <c r="J358" s="210">
        <f ca="1"/>
        <v>30</v>
      </c>
      <c r="K358" s="210">
        <f ca="1"/>
        <v>60</v>
      </c>
      <c r="L358" s="210">
        <f ca="1"/>
        <v>270</v>
      </c>
      <c r="M358" s="210">
        <f ca="1"/>
        <v>3080</v>
      </c>
      <c r="N358" s="210">
        <f ca="1"/>
        <v>5</v>
      </c>
      <c r="O358" t="str">
        <f ca="1"/>
        <v>Day</v>
      </c>
      <c r="P358" s="211">
        <f ca="1"/>
        <v>0.91940298507462681</v>
      </c>
      <c r="Q358">
        <f ca="1"/>
        <v>3350</v>
      </c>
      <c r="R358">
        <f ca="1"/>
        <v>0</v>
      </c>
    </row>
    <row r="359" spans="2:18">
      <c r="B359" t="str">
        <f ca="1"/>
        <v>C39-JUNE</v>
      </c>
      <c r="C359" s="209">
        <f ca="1"/>
        <v>46195</v>
      </c>
      <c r="D359" t="str">
        <f ca="1"/>
        <v>blender</v>
      </c>
      <c r="E359" t="str">
        <f ca="1"/>
        <v>C39</v>
      </c>
      <c r="F359" t="str">
        <f ca="1"/>
        <v>besan</v>
      </c>
      <c r="G359" s="210">
        <f ca="1"/>
        <v>200</v>
      </c>
      <c r="H359" s="210">
        <f ca="1"/>
        <v>0</v>
      </c>
      <c r="I359" s="210">
        <f ca="1"/>
        <v>0</v>
      </c>
      <c r="J359" s="210">
        <f ca="1"/>
        <v>15</v>
      </c>
      <c r="K359" s="210">
        <f ca="1"/>
        <v>5</v>
      </c>
      <c r="L359" s="210">
        <f ca="1"/>
        <v>20</v>
      </c>
      <c r="M359" s="210">
        <f ca="1"/>
        <v>180</v>
      </c>
      <c r="N359" s="210">
        <f ca="1"/>
        <v>1</v>
      </c>
      <c r="O359" t="str">
        <f ca="1"/>
        <v>Day</v>
      </c>
      <c r="P359" s="211">
        <f ca="1"/>
        <v>0.9</v>
      </c>
      <c r="Q359">
        <f ca="1"/>
        <v>200</v>
      </c>
      <c r="R359">
        <f ca="1"/>
        <v>0</v>
      </c>
    </row>
    <row r="360" spans="2:18">
      <c r="B360" t="str">
        <f ca="1"/>
        <v>C39-JUNE</v>
      </c>
      <c r="C360" s="209">
        <f ca="1"/>
        <v>46196</v>
      </c>
      <c r="D360" t="str">
        <f ca="1"/>
        <v>1,2,3,4</v>
      </c>
      <c r="E360" t="str">
        <f ca="1"/>
        <v>C39</v>
      </c>
      <c r="F360" t="str">
        <f ca="1"/>
        <v>khapli</v>
      </c>
      <c r="G360" s="210">
        <f ca="1"/>
        <v>5000</v>
      </c>
      <c r="H360" s="210">
        <f ca="1"/>
        <v>55</v>
      </c>
      <c r="I360" s="210">
        <f ca="1"/>
        <v>198</v>
      </c>
      <c r="J360" s="210">
        <f ca="1"/>
        <v>25</v>
      </c>
      <c r="K360" s="210">
        <f ca="1"/>
        <v>122</v>
      </c>
      <c r="L360" s="210">
        <f ca="1"/>
        <v>400</v>
      </c>
      <c r="M360" s="210">
        <f ca="1"/>
        <v>4600</v>
      </c>
      <c r="N360" s="210">
        <f ca="1"/>
        <v>5</v>
      </c>
      <c r="O360" t="str">
        <f ca="1"/>
        <v>Day</v>
      </c>
      <c r="P360" s="211">
        <f ca="1"/>
        <v>0.92</v>
      </c>
      <c r="Q360">
        <f ca="1"/>
        <v>5000</v>
      </c>
      <c r="R360">
        <f ca="1"/>
        <v>0</v>
      </c>
    </row>
    <row r="361" spans="2:18">
      <c r="B361" t="str">
        <f ca="1"/>
        <v>C39-JUNE</v>
      </c>
      <c r="C361" s="209">
        <f ca="1"/>
        <v>46197</v>
      </c>
      <c r="D361" t="str">
        <f ca="1"/>
        <v>1,2,3,4</v>
      </c>
      <c r="E361" t="str">
        <f ca="1"/>
        <v>C39</v>
      </c>
      <c r="F361" t="str">
        <f ca="1"/>
        <v>khapli</v>
      </c>
      <c r="G361" s="210">
        <f ca="1"/>
        <v>5500</v>
      </c>
      <c r="H361" s="210">
        <f ca="1"/>
        <v>46</v>
      </c>
      <c r="I361" s="210">
        <f ca="1"/>
        <v>209</v>
      </c>
      <c r="J361" s="210">
        <f ca="1"/>
        <v>15</v>
      </c>
      <c r="K361" s="210">
        <f ca="1"/>
        <v>110</v>
      </c>
      <c r="L361" s="210">
        <f ca="1"/>
        <v>380</v>
      </c>
      <c r="M361" s="210">
        <f ca="1"/>
        <v>5120</v>
      </c>
      <c r="N361" s="210">
        <f ca="1"/>
        <v>5</v>
      </c>
      <c r="O361" t="str">
        <f ca="1"/>
        <v>Day</v>
      </c>
      <c r="P361" s="211">
        <f ca="1"/>
        <v>0.93090909090909091</v>
      </c>
      <c r="Q361">
        <f ca="1"/>
        <v>5500</v>
      </c>
      <c r="R361">
        <f ca="1"/>
        <v>0</v>
      </c>
    </row>
    <row r="362" spans="2:18">
      <c r="B362" t="str">
        <f ca="1"/>
        <v>C39-JUNE</v>
      </c>
      <c r="C362" s="209">
        <f ca="1"/>
        <v>46199</v>
      </c>
      <c r="D362" t="str">
        <f ca="1"/>
        <v>1,2,3,4</v>
      </c>
      <c r="E362" t="str">
        <f ca="1"/>
        <v>C39</v>
      </c>
      <c r="F362" t="str">
        <f ca="1"/>
        <v>multigrain</v>
      </c>
      <c r="G362" s="210">
        <f ca="1"/>
        <v>5400</v>
      </c>
      <c r="H362" s="210">
        <f ca="1"/>
        <v>32</v>
      </c>
      <c r="I362" s="210">
        <f ca="1"/>
        <v>210</v>
      </c>
      <c r="J362" s="210">
        <f ca="1"/>
        <v>19</v>
      </c>
      <c r="K362" s="210">
        <f ca="1"/>
        <v>139</v>
      </c>
      <c r="L362" s="210">
        <f ca="1"/>
        <v>400</v>
      </c>
      <c r="M362" s="210">
        <f ca="1"/>
        <v>5000</v>
      </c>
      <c r="N362" s="210">
        <f ca="1"/>
        <v>5</v>
      </c>
      <c r="O362" t="str">
        <f ca="1"/>
        <v>Day</v>
      </c>
      <c r="P362" s="211">
        <f ca="1"/>
        <v>0.92592592592592593</v>
      </c>
      <c r="Q362">
        <f ca="1"/>
        <v>5400</v>
      </c>
      <c r="R362">
        <f ca="1"/>
        <v>0</v>
      </c>
    </row>
    <row r="363" spans="2:18">
      <c r="B363" t="str">
        <f ca="1"/>
        <v>C39-JUNE</v>
      </c>
      <c r="C363" s="209">
        <f ca="1"/>
        <v>46200</v>
      </c>
      <c r="D363" t="str">
        <f ca="1"/>
        <v>1,2,3,4</v>
      </c>
      <c r="E363" t="str">
        <f ca="1"/>
        <v>C39</v>
      </c>
      <c r="F363" t="str">
        <f ca="1"/>
        <v>MULTIGRAIN</v>
      </c>
      <c r="G363" s="210">
        <f ca="1"/>
        <v>5500</v>
      </c>
      <c r="H363" s="210">
        <f ca="1"/>
        <v>47</v>
      </c>
      <c r="I363" s="210">
        <f ca="1"/>
        <v>165</v>
      </c>
      <c r="J363" s="210">
        <f ca="1"/>
        <v>45</v>
      </c>
      <c r="K363" s="210">
        <f ca="1"/>
        <v>143</v>
      </c>
      <c r="L363" s="210">
        <f ca="1"/>
        <v>400</v>
      </c>
      <c r="M363" s="210">
        <f ca="1"/>
        <v>5100</v>
      </c>
      <c r="N363" s="210">
        <f ca="1"/>
        <v>5</v>
      </c>
      <c r="O363" t="str">
        <f ca="1"/>
        <v>day</v>
      </c>
      <c r="P363" s="211">
        <f ca="1"/>
        <v>0.92727272727272725</v>
      </c>
      <c r="Q363">
        <f ca="1"/>
        <v>5500</v>
      </c>
      <c r="R363">
        <f ca="1"/>
        <v>0</v>
      </c>
    </row>
    <row r="364" spans="2:18">
      <c r="B364" t="str">
        <f ca="1"/>
        <v>C39-JUNE</v>
      </c>
      <c r="C364" s="209">
        <f ca="1"/>
        <v>46201</v>
      </c>
      <c r="D364" t="str">
        <f ca="1"/>
        <v>1,2,3,4</v>
      </c>
      <c r="E364" t="str">
        <f ca="1"/>
        <v>C39</v>
      </c>
      <c r="F364" t="str">
        <f ca="1"/>
        <v>MULTIGRAIN</v>
      </c>
      <c r="G364" s="210">
        <f ca="1"/>
        <v>7550</v>
      </c>
      <c r="H364" s="210">
        <f ca="1"/>
        <v>48</v>
      </c>
      <c r="I364" s="210">
        <f ca="1"/>
        <v>205</v>
      </c>
      <c r="J364" s="210">
        <f ca="1"/>
        <v>32</v>
      </c>
      <c r="K364" s="210">
        <f ca="1"/>
        <v>185</v>
      </c>
      <c r="L364" s="210">
        <f ca="1"/>
        <v>470</v>
      </c>
      <c r="M364" s="210">
        <f ca="1"/>
        <v>7080</v>
      </c>
      <c r="N364" s="210">
        <f ca="1"/>
        <v>5</v>
      </c>
      <c r="O364" t="str">
        <f ca="1"/>
        <v>Day</v>
      </c>
      <c r="P364" s="211">
        <f ca="1"/>
        <v>0.93774834437086096</v>
      </c>
      <c r="Q364">
        <f ca="1"/>
        <v>7550</v>
      </c>
      <c r="R364">
        <f ca="1"/>
        <v>0</v>
      </c>
    </row>
    <row r="365" spans="2:18">
      <c r="B365" t="str">
        <f ca="1"/>
        <v>C39-JUNE</v>
      </c>
      <c r="C365" s="209">
        <f ca="1"/>
        <v>46203</v>
      </c>
      <c r="D365" t="str">
        <f ca="1"/>
        <v>1,2,3,4</v>
      </c>
      <c r="E365" t="str">
        <f ca="1"/>
        <v>C39</v>
      </c>
      <c r="F365" t="str">
        <f ca="1"/>
        <v>MULTIGRAIN</v>
      </c>
      <c r="G365" s="210">
        <f ca="1"/>
        <v>1700</v>
      </c>
      <c r="H365" s="210">
        <f ca="1"/>
        <v>24</v>
      </c>
      <c r="I365" s="210">
        <f ca="1"/>
        <v>76</v>
      </c>
      <c r="J365" s="210">
        <f ca="1"/>
        <v>18</v>
      </c>
      <c r="K365" s="210">
        <f ca="1"/>
        <v>42</v>
      </c>
      <c r="L365" s="210">
        <f ca="1"/>
        <v>160</v>
      </c>
      <c r="M365" s="210">
        <f ca="1"/>
        <v>1540</v>
      </c>
      <c r="N365" s="210">
        <f ca="1"/>
        <v>5</v>
      </c>
      <c r="O365" t="str">
        <f ca="1"/>
        <v>Day</v>
      </c>
      <c r="P365" s="211">
        <f ca="1"/>
        <v>0.90588235294117647</v>
      </c>
      <c r="Q365">
        <f ca="1"/>
        <v>1700</v>
      </c>
      <c r="R365">
        <f ca="1"/>
        <v>0</v>
      </c>
    </row>
    <row r="366" spans="2:18">
      <c r="B366" t="str">
        <f ca="1"/>
        <v>C6-JULY</v>
      </c>
      <c r="C366" s="209">
        <f ca="1"/>
        <v>46204</v>
      </c>
      <c r="D366" t="str">
        <f ca="1"/>
        <v>chakki1,2,3</v>
      </c>
      <c r="E366" t="str">
        <f ca="1"/>
        <v>old plant</v>
      </c>
      <c r="F366" t="str">
        <f ca="1"/>
        <v>Bajra</v>
      </c>
      <c r="G366" s="210">
        <f ca="1"/>
        <v>950</v>
      </c>
      <c r="H366" s="210">
        <f ca="1"/>
        <v>0</v>
      </c>
      <c r="I366" s="210">
        <f ca="1"/>
        <v>0</v>
      </c>
      <c r="J366" s="210">
        <f ca="1"/>
        <v>1</v>
      </c>
      <c r="K366" s="210">
        <f ca="1"/>
        <v>75</v>
      </c>
      <c r="L366" s="210">
        <f ca="1"/>
        <v>76</v>
      </c>
      <c r="M366" s="210">
        <f ca="1"/>
        <v>874</v>
      </c>
      <c r="N366" s="210">
        <f ca="1"/>
        <v>3</v>
      </c>
      <c r="O366" t="str">
        <f ca="1"/>
        <v>DAY</v>
      </c>
      <c r="P366" s="211">
        <f ca="1"/>
        <v>0.92</v>
      </c>
      <c r="Q366">
        <f ca="1"/>
        <v>950</v>
      </c>
      <c r="R366">
        <f ca="1"/>
        <v>0</v>
      </c>
    </row>
    <row r="367" spans="2:18">
      <c r="B367" t="str">
        <f ca="1"/>
        <v>C6-JULY</v>
      </c>
      <c r="C367" s="209">
        <f ca="1"/>
        <v>46204</v>
      </c>
      <c r="D367" t="str">
        <f ca="1"/>
        <v>chakki1,2,3</v>
      </c>
      <c r="E367" t="str">
        <f ca="1"/>
        <v>New Plant</v>
      </c>
      <c r="F367" t="str">
        <f ca="1"/>
        <v>High Protein Atta</v>
      </c>
      <c r="G367" s="210">
        <f ca="1"/>
        <v>1261</v>
      </c>
      <c r="H367" s="210">
        <f ca="1"/>
        <v>2</v>
      </c>
      <c r="I367" s="210">
        <f ca="1"/>
        <v>28</v>
      </c>
      <c r="J367" s="210">
        <f ca="1"/>
        <v>1</v>
      </c>
      <c r="K367" s="210">
        <f ca="1"/>
        <v>40</v>
      </c>
      <c r="L367" s="210">
        <f ca="1"/>
        <v>71</v>
      </c>
      <c r="M367" s="210">
        <f ca="1"/>
        <v>1190</v>
      </c>
      <c r="N367" s="210">
        <f ca="1"/>
        <v>3</v>
      </c>
      <c r="O367" t="str">
        <f ca="1"/>
        <v>DAY</v>
      </c>
      <c r="P367" s="211">
        <f ca="1"/>
        <v>0.94369547977795398</v>
      </c>
      <c r="Q367">
        <f ca="1"/>
        <v>1261</v>
      </c>
      <c r="R367">
        <f ca="1"/>
        <v>0</v>
      </c>
    </row>
    <row r="368" spans="2:18">
      <c r="B368" t="str">
        <f ca="1"/>
        <v>C6-JULY</v>
      </c>
      <c r="C368" s="209">
        <f ca="1"/>
        <v>46205</v>
      </c>
      <c r="D368" t="str">
        <f ca="1"/>
        <v>chakki1,2,3</v>
      </c>
      <c r="E368" t="str">
        <f ca="1"/>
        <v>old plant</v>
      </c>
      <c r="F368" t="str">
        <f ca="1"/>
        <v>khapli</v>
      </c>
      <c r="G368" s="210">
        <f ca="1"/>
        <v>600</v>
      </c>
      <c r="H368" s="210">
        <f ca="1"/>
        <v>0</v>
      </c>
      <c r="I368" s="210">
        <f ca="1"/>
        <v>2</v>
      </c>
      <c r="J368" s="210">
        <f ca="1"/>
        <v>0.5</v>
      </c>
      <c r="K368" s="210">
        <f ca="1"/>
        <v>51.5</v>
      </c>
      <c r="L368" s="210">
        <f ca="1"/>
        <v>54</v>
      </c>
      <c r="M368" s="210">
        <f ca="1"/>
        <v>546</v>
      </c>
      <c r="N368" s="210">
        <f ca="1"/>
        <v>3</v>
      </c>
      <c r="O368" t="str">
        <f ca="1"/>
        <v>DAY</v>
      </c>
      <c r="P368" s="211">
        <f ca="1"/>
        <v>0.91</v>
      </c>
      <c r="Q368">
        <f ca="1"/>
        <v>600</v>
      </c>
      <c r="R368">
        <f ca="1"/>
        <v>0</v>
      </c>
    </row>
    <row r="369" spans="2:18">
      <c r="B369" t="str">
        <f ca="1"/>
        <v>C6-JULY</v>
      </c>
      <c r="C369" s="209">
        <f ca="1"/>
        <v>46205</v>
      </c>
      <c r="D369" t="str">
        <f ca="1"/>
        <v>chakki1,2,3</v>
      </c>
      <c r="E369" t="str">
        <f ca="1"/>
        <v>New Plant</v>
      </c>
      <c r="F369" t="str">
        <f ca="1"/>
        <v>Multigrain</v>
      </c>
      <c r="G369" s="210">
        <f ca="1"/>
        <v>600</v>
      </c>
      <c r="H369" s="210">
        <f ca="1"/>
        <v>0</v>
      </c>
      <c r="I369" s="210">
        <f ca="1"/>
        <v>2</v>
      </c>
      <c r="J369" s="210">
        <f ca="1"/>
        <v>1</v>
      </c>
      <c r="K369" s="210">
        <f ca="1"/>
        <v>19</v>
      </c>
      <c r="L369" s="210">
        <f ca="1"/>
        <v>22</v>
      </c>
      <c r="M369" s="210">
        <f ca="1"/>
        <v>578</v>
      </c>
      <c r="N369" s="210">
        <f ca="1"/>
        <v>3</v>
      </c>
      <c r="O369" t="str">
        <f ca="1"/>
        <v>DAY</v>
      </c>
      <c r="P369" s="211">
        <f ca="1"/>
        <v>0.96333333333333337</v>
      </c>
      <c r="Q369">
        <f ca="1"/>
        <v>600</v>
      </c>
      <c r="R369">
        <f ca="1"/>
        <v>0</v>
      </c>
    </row>
    <row r="370" spans="2:18">
      <c r="B370" t="str">
        <f ca="1"/>
        <v>C6-JULY</v>
      </c>
      <c r="C370" s="209">
        <f ca="1"/>
        <v>46206</v>
      </c>
      <c r="D370" t="str">
        <f ca="1"/>
        <v>chakki1,2,3</v>
      </c>
      <c r="E370" t="str">
        <f ca="1"/>
        <v>New Plant</v>
      </c>
      <c r="F370" t="str">
        <f ca="1"/>
        <v>High Protein Atta</v>
      </c>
      <c r="G370" s="210">
        <f ca="1"/>
        <v>1649</v>
      </c>
      <c r="H370" s="210">
        <f ca="1"/>
        <v>1</v>
      </c>
      <c r="I370" s="210">
        <f ca="1"/>
        <v>47</v>
      </c>
      <c r="J370" s="210">
        <f ca="1"/>
        <v>1</v>
      </c>
      <c r="K370" s="210">
        <f ca="1"/>
        <v>45</v>
      </c>
      <c r="L370" s="210">
        <f ca="1"/>
        <v>94</v>
      </c>
      <c r="M370" s="210">
        <f ca="1"/>
        <v>1555</v>
      </c>
      <c r="N370" s="210">
        <f ca="1"/>
        <v>3</v>
      </c>
      <c r="O370" t="str">
        <f ca="1"/>
        <v>DAY</v>
      </c>
      <c r="P370" s="211">
        <f ca="1"/>
        <v>0.94299575500303212</v>
      </c>
      <c r="Q370">
        <f ca="1"/>
        <v>1649</v>
      </c>
      <c r="R370">
        <f ca="1"/>
        <v>0</v>
      </c>
    </row>
    <row r="371" spans="2:18">
      <c r="B371" t="str">
        <f ca="1"/>
        <v>C6-JULY</v>
      </c>
      <c r="C371" s="209">
        <f ca="1"/>
        <v>46206</v>
      </c>
      <c r="D371" t="str">
        <f ca="1"/>
        <v>chakki1,2,3</v>
      </c>
      <c r="E371" t="str">
        <f ca="1"/>
        <v>old plant</v>
      </c>
      <c r="F371" t="str">
        <f ca="1"/>
        <v>Multigrain</v>
      </c>
      <c r="G371" s="210">
        <f ca="1"/>
        <v>1400</v>
      </c>
      <c r="H371" s="210">
        <f ca="1"/>
        <v>0</v>
      </c>
      <c r="I371" s="210">
        <f ca="1"/>
        <v>32</v>
      </c>
      <c r="J371" s="210">
        <f ca="1"/>
        <v>2</v>
      </c>
      <c r="K371" s="210">
        <f ca="1"/>
        <v>82</v>
      </c>
      <c r="L371" s="210">
        <f ca="1"/>
        <v>116</v>
      </c>
      <c r="M371" s="210">
        <f ca="1"/>
        <v>1284</v>
      </c>
      <c r="N371" s="210">
        <f ca="1"/>
        <v>3</v>
      </c>
      <c r="O371" t="str">
        <f ca="1"/>
        <v>DAY</v>
      </c>
      <c r="P371" s="211">
        <f ca="1"/>
        <v>0.91714285714285715</v>
      </c>
      <c r="Q371">
        <f ca="1"/>
        <v>1400</v>
      </c>
      <c r="R371">
        <f ca="1"/>
        <v>0</v>
      </c>
    </row>
    <row r="372" spans="2:18">
      <c r="B372" t="str">
        <f ca="1"/>
        <v>C6-JULY</v>
      </c>
      <c r="C372" s="209">
        <f ca="1"/>
        <v>46207</v>
      </c>
      <c r="D372" t="str">
        <f ca="1"/>
        <v>chakki1,2,3</v>
      </c>
      <c r="E372" t="str">
        <f ca="1"/>
        <v>old plant</v>
      </c>
      <c r="F372" t="str">
        <f ca="1"/>
        <v>Jowar Grains</v>
      </c>
      <c r="G372" s="210">
        <f ca="1"/>
        <v>1200</v>
      </c>
      <c r="H372" s="210">
        <f ca="1"/>
        <v>0</v>
      </c>
      <c r="I372" s="210">
        <f ca="1"/>
        <v>8</v>
      </c>
      <c r="J372" s="210">
        <f ca="1"/>
        <v>2</v>
      </c>
      <c r="K372" s="210">
        <f ca="1"/>
        <v>90</v>
      </c>
      <c r="L372" s="210">
        <f ca="1"/>
        <v>100</v>
      </c>
      <c r="M372" s="210">
        <f ca="1"/>
        <v>1100</v>
      </c>
      <c r="N372" s="210">
        <f ca="1"/>
        <v>3</v>
      </c>
      <c r="O372" t="str">
        <f ca="1"/>
        <v>DAY</v>
      </c>
      <c r="P372" s="211">
        <f ca="1"/>
        <v>0.91666666666666663</v>
      </c>
      <c r="Q372">
        <f ca="1"/>
        <v>1200</v>
      </c>
      <c r="R372">
        <f ca="1"/>
        <v>0</v>
      </c>
    </row>
    <row r="373" spans="2:18">
      <c r="B373" t="str">
        <f ca="1"/>
        <v>C6-JULY</v>
      </c>
      <c r="C373" s="209">
        <f ca="1"/>
        <v>46207</v>
      </c>
      <c r="D373" t="str">
        <f ca="1"/>
        <v>chakki1,2,3</v>
      </c>
      <c r="E373" t="str">
        <f ca="1"/>
        <v>New Plant</v>
      </c>
      <c r="F373" t="str">
        <f ca="1"/>
        <v>Multigrain</v>
      </c>
      <c r="G373" s="210">
        <f ca="1"/>
        <v>2500</v>
      </c>
      <c r="H373" s="210">
        <f ca="1"/>
        <v>2</v>
      </c>
      <c r="I373" s="210">
        <f ca="1"/>
        <v>80</v>
      </c>
      <c r="J373" s="210">
        <f ca="1"/>
        <v>3</v>
      </c>
      <c r="K373" s="210">
        <f ca="1"/>
        <v>36</v>
      </c>
      <c r="L373" s="210">
        <f ca="1"/>
        <v>121</v>
      </c>
      <c r="M373" s="210">
        <f ca="1"/>
        <v>2379</v>
      </c>
      <c r="N373" s="210">
        <f ca="1"/>
        <v>3</v>
      </c>
      <c r="O373" t="str">
        <f ca="1"/>
        <v>DAY</v>
      </c>
      <c r="P373" s="211">
        <f ca="1"/>
        <v>0.9516</v>
      </c>
      <c r="Q373">
        <f ca="1"/>
        <v>2500</v>
      </c>
      <c r="R373">
        <f ca="1"/>
        <v>0</v>
      </c>
    </row>
    <row r="374" spans="2:18">
      <c r="B374" t="str">
        <f ca="1"/>
        <v>C6-JULY</v>
      </c>
      <c r="C374" s="209">
        <f ca="1"/>
        <v>46209</v>
      </c>
      <c r="D374" t="str">
        <f ca="1"/>
        <v>chakki1,2,3</v>
      </c>
      <c r="E374" t="str">
        <f ca="1"/>
        <v>New Plant</v>
      </c>
      <c r="F374" t="str">
        <f ca="1"/>
        <v>Multigrain</v>
      </c>
      <c r="G374" s="210">
        <f ca="1"/>
        <v>1200</v>
      </c>
      <c r="H374" s="210">
        <f ca="1"/>
        <v>0</v>
      </c>
      <c r="I374" s="210">
        <f ca="1"/>
        <v>22</v>
      </c>
      <c r="J374" s="210">
        <f ca="1"/>
        <v>3</v>
      </c>
      <c r="K374" s="210">
        <f ca="1"/>
        <v>20</v>
      </c>
      <c r="L374" s="210">
        <f ca="1"/>
        <v>45</v>
      </c>
      <c r="M374" s="210">
        <f ca="1"/>
        <v>1155</v>
      </c>
      <c r="N374" s="210">
        <f ca="1"/>
        <v>3</v>
      </c>
      <c r="O374" t="str">
        <f ca="1"/>
        <v>DAY</v>
      </c>
      <c r="P374" s="211">
        <f ca="1"/>
        <v>0.96250000000000002</v>
      </c>
      <c r="Q374">
        <f ca="1"/>
        <v>1200</v>
      </c>
      <c r="R374">
        <f ca="1"/>
        <v>0</v>
      </c>
    </row>
    <row r="375" spans="2:18">
      <c r="B375" t="str">
        <f ca="1"/>
        <v>C6-JULY</v>
      </c>
      <c r="C375" s="209">
        <f ca="1"/>
        <v>46210</v>
      </c>
      <c r="D375" t="str">
        <f ca="1"/>
        <v>chakki1,2,3</v>
      </c>
      <c r="E375" t="str">
        <f ca="1"/>
        <v>New Plant</v>
      </c>
      <c r="F375" t="str">
        <f ca="1"/>
        <v>High Protein Atta</v>
      </c>
      <c r="G375" s="210">
        <f ca="1"/>
        <v>3395</v>
      </c>
      <c r="H375" s="210">
        <f ca="1"/>
        <v>5</v>
      </c>
      <c r="I375" s="210">
        <f ca="1"/>
        <v>65</v>
      </c>
      <c r="J375" s="210">
        <f ca="1"/>
        <v>3</v>
      </c>
      <c r="K375" s="210">
        <f ca="1"/>
        <v>103</v>
      </c>
      <c r="L375" s="210">
        <f ca="1"/>
        <v>176</v>
      </c>
      <c r="M375" s="210">
        <f ca="1"/>
        <v>3219</v>
      </c>
      <c r="N375" s="210">
        <f ca="1"/>
        <v>3</v>
      </c>
      <c r="O375" t="str">
        <f ca="1"/>
        <v>DAY</v>
      </c>
      <c r="P375" s="211">
        <f ca="1"/>
        <v>0.94815905743740792</v>
      </c>
      <c r="Q375">
        <f ca="1"/>
        <v>3395</v>
      </c>
      <c r="R375">
        <f ca="1"/>
        <v>0</v>
      </c>
    </row>
    <row r="376" spans="2:18">
      <c r="B376" t="str">
        <f ca="1"/>
        <v>C6-JULY</v>
      </c>
      <c r="C376" s="209">
        <f ca="1"/>
        <v>46211</v>
      </c>
      <c r="D376" t="str">
        <f ca="1"/>
        <v>chakki1,2,3</v>
      </c>
      <c r="E376" t="str">
        <f ca="1"/>
        <v>New Plant</v>
      </c>
      <c r="F376" t="str">
        <f ca="1"/>
        <v>High Protein Atta</v>
      </c>
      <c r="G376" s="210">
        <f ca="1"/>
        <v>3395</v>
      </c>
      <c r="H376" s="210">
        <f ca="1"/>
        <v>5</v>
      </c>
      <c r="I376" s="210">
        <f ca="1"/>
        <v>94</v>
      </c>
      <c r="J376" s="210">
        <f ca="1"/>
        <v>2</v>
      </c>
      <c r="K376" s="210">
        <f ca="1"/>
        <v>85</v>
      </c>
      <c r="L376" s="210">
        <f ca="1"/>
        <v>186</v>
      </c>
      <c r="M376" s="210">
        <f ca="1"/>
        <v>3209</v>
      </c>
      <c r="N376" s="210">
        <f ca="1"/>
        <v>3</v>
      </c>
      <c r="O376" t="str">
        <f ca="1"/>
        <v>DAY</v>
      </c>
      <c r="P376" s="211">
        <f ca="1"/>
        <v>0.94521354933726065</v>
      </c>
      <c r="Q376">
        <f ca="1"/>
        <v>3395</v>
      </c>
      <c r="R376">
        <f ca="1"/>
        <v>0</v>
      </c>
    </row>
    <row r="377" spans="2:18">
      <c r="B377" t="str">
        <f ca="1"/>
        <v>C6-JULY</v>
      </c>
      <c r="C377" s="209">
        <f ca="1"/>
        <v>46212</v>
      </c>
      <c r="D377" t="str">
        <f ca="1"/>
        <v>chakki1,2,3</v>
      </c>
      <c r="E377" t="str">
        <f ca="1"/>
        <v>old plant</v>
      </c>
      <c r="F377" t="str">
        <f ca="1"/>
        <v>Jowar Grains</v>
      </c>
      <c r="G377" s="210">
        <f ca="1"/>
        <v>1650</v>
      </c>
      <c r="H377" s="210">
        <f ca="1"/>
        <v>0</v>
      </c>
      <c r="I377" s="210">
        <f ca="1"/>
        <v>35</v>
      </c>
      <c r="J377" s="210">
        <f ca="1"/>
        <v>2</v>
      </c>
      <c r="K377" s="210">
        <f ca="1"/>
        <v>123</v>
      </c>
      <c r="L377" s="210">
        <f ca="1"/>
        <v>160</v>
      </c>
      <c r="M377" s="210">
        <f ca="1"/>
        <v>1490</v>
      </c>
      <c r="N377" s="210">
        <f ca="1"/>
        <v>3</v>
      </c>
      <c r="O377" t="str">
        <f ca="1"/>
        <v>DAY</v>
      </c>
      <c r="P377" s="211">
        <f ca="1"/>
        <v>0.90303030303030307</v>
      </c>
      <c r="Q377">
        <f ca="1"/>
        <v>1650</v>
      </c>
      <c r="R377">
        <f ca="1"/>
        <v>0</v>
      </c>
    </row>
    <row r="378" spans="2:18">
      <c r="B378" t="str">
        <f ca="1"/>
        <v>C6-JULY</v>
      </c>
      <c r="C378" s="209">
        <f ca="1"/>
        <v>46213</v>
      </c>
      <c r="D378" t="str">
        <f ca="1"/>
        <v>chakki1,2,3</v>
      </c>
      <c r="E378" t="str">
        <f ca="1"/>
        <v>New Plant</v>
      </c>
      <c r="F378" t="str">
        <f ca="1"/>
        <v>High Protein Atta</v>
      </c>
      <c r="G378" s="210">
        <f ca="1"/>
        <v>3589</v>
      </c>
      <c r="H378" s="210">
        <f ca="1"/>
        <v>0</v>
      </c>
      <c r="I378" s="210">
        <f ca="1"/>
        <v>89</v>
      </c>
      <c r="J378" s="210">
        <f ca="1"/>
        <v>3</v>
      </c>
      <c r="K378" s="210">
        <f ca="1"/>
        <v>182</v>
      </c>
      <c r="L378" s="210">
        <f ca="1"/>
        <v>274</v>
      </c>
      <c r="M378" s="210">
        <f ca="1"/>
        <v>3315</v>
      </c>
      <c r="N378" s="210">
        <f ca="1"/>
        <v>3</v>
      </c>
      <c r="O378" t="str">
        <f ca="1"/>
        <v>DAY</v>
      </c>
      <c r="P378" s="211">
        <f ca="1"/>
        <v>0.92365561437726384</v>
      </c>
      <c r="Q378">
        <f ca="1"/>
        <v>3589</v>
      </c>
      <c r="R378">
        <f ca="1"/>
        <v>0</v>
      </c>
    </row>
    <row r="379" spans="2:18">
      <c r="B379" t="str">
        <f ca="1"/>
        <v>C6-JULY</v>
      </c>
      <c r="C379" s="209">
        <f ca="1"/>
        <v>46214</v>
      </c>
      <c r="D379" t="str">
        <f ca="1"/>
        <v>chakki1,2,3</v>
      </c>
      <c r="E379" t="str">
        <f ca="1"/>
        <v>New Plant</v>
      </c>
      <c r="F379" t="str">
        <f ca="1"/>
        <v>High Protein Atta</v>
      </c>
      <c r="G379" s="210">
        <f ca="1"/>
        <v>3831.5</v>
      </c>
      <c r="H379" s="210">
        <f ca="1"/>
        <v>5</v>
      </c>
      <c r="I379" s="210">
        <f ca="1"/>
        <v>105</v>
      </c>
      <c r="J379" s="210">
        <f ca="1"/>
        <v>3</v>
      </c>
      <c r="K379" s="210">
        <f ca="1"/>
        <v>136.5</v>
      </c>
      <c r="L379" s="210">
        <f ca="1"/>
        <v>249.5</v>
      </c>
      <c r="M379" s="210">
        <f ca="1"/>
        <v>3582</v>
      </c>
      <c r="N379" s="210">
        <f ca="1"/>
        <v>3</v>
      </c>
      <c r="O379" t="str">
        <f ca="1"/>
        <v>DAY</v>
      </c>
      <c r="P379" s="211">
        <f ca="1"/>
        <v>0.93488190003914917</v>
      </c>
      <c r="Q379">
        <f ca="1"/>
        <v>3831.5</v>
      </c>
      <c r="R379">
        <f ca="1"/>
        <v>0</v>
      </c>
    </row>
    <row r="380" spans="2:18">
      <c r="B380" t="str">
        <f ca="1"/>
        <v>C6-JULY</v>
      </c>
      <c r="C380" s="209">
        <f ca="1"/>
        <v>46216</v>
      </c>
      <c r="D380" t="str">
        <f ca="1"/>
        <v>chakki1,2,3</v>
      </c>
      <c r="E380" t="str">
        <f ca="1"/>
        <v>New Plant</v>
      </c>
      <c r="F380" t="str">
        <f ca="1"/>
        <v>High Protein Atta</v>
      </c>
      <c r="G380" s="210">
        <f ca="1"/>
        <v>582</v>
      </c>
      <c r="H380" s="210">
        <f ca="1"/>
        <v>0</v>
      </c>
      <c r="I380" s="210">
        <f ca="1"/>
        <v>13</v>
      </c>
      <c r="J380" s="210">
        <f ca="1"/>
        <v>1</v>
      </c>
      <c r="K380" s="210">
        <f ca="1"/>
        <v>33</v>
      </c>
      <c r="L380" s="210">
        <f ca="1"/>
        <v>47</v>
      </c>
      <c r="M380" s="210">
        <f ca="1"/>
        <v>535</v>
      </c>
      <c r="N380" s="210">
        <f ca="1"/>
        <v>3</v>
      </c>
      <c r="O380" t="str">
        <f ca="1"/>
        <v>DAY</v>
      </c>
      <c r="P380" s="211">
        <f ca="1"/>
        <v>0.91924398625429549</v>
      </c>
      <c r="Q380">
        <f ca="1"/>
        <v>582</v>
      </c>
      <c r="R380">
        <f ca="1"/>
        <v>0</v>
      </c>
    </row>
    <row r="381" spans="2:18">
      <c r="B381" t="str">
        <f ca="1"/>
        <v>C6-JULY</v>
      </c>
      <c r="C381" s="209">
        <f ca="1"/>
        <v>46216</v>
      </c>
      <c r="D381" t="str">
        <f ca="1"/>
        <v>chakki1,2,3</v>
      </c>
      <c r="E381" t="str">
        <f ca="1"/>
        <v>New Plant</v>
      </c>
      <c r="F381" t="str">
        <f ca="1"/>
        <v>Bajra</v>
      </c>
      <c r="G381" s="210">
        <f ca="1"/>
        <v>1471</v>
      </c>
      <c r="H381" s="210">
        <f ca="1"/>
        <v>0</v>
      </c>
      <c r="I381" s="210">
        <f ca="1"/>
        <v>10</v>
      </c>
      <c r="J381" s="210">
        <f ca="1"/>
        <v>2</v>
      </c>
      <c r="K381" s="210">
        <f ca="1"/>
        <v>82</v>
      </c>
      <c r="L381" s="210">
        <f ca="1"/>
        <v>94</v>
      </c>
      <c r="M381" s="210">
        <f ca="1"/>
        <v>1377</v>
      </c>
      <c r="N381" s="210">
        <f ca="1"/>
        <v>3</v>
      </c>
      <c r="O381" t="str">
        <f ca="1"/>
        <v>DAY</v>
      </c>
      <c r="P381" s="211">
        <f ca="1"/>
        <v>0.93609789259007481</v>
      </c>
      <c r="Q381">
        <f ca="1"/>
        <v>1471</v>
      </c>
      <c r="R381">
        <f ca="1"/>
        <v>0</v>
      </c>
    </row>
    <row r="382" spans="2:18">
      <c r="B382" t="str">
        <f ca="1"/>
        <v>C6-JULY</v>
      </c>
      <c r="C382" s="209">
        <f ca="1"/>
        <v>46217</v>
      </c>
      <c r="D382" t="str">
        <f ca="1"/>
        <v>chakki1,2,3</v>
      </c>
      <c r="E382" t="str">
        <f ca="1"/>
        <v>New Plant</v>
      </c>
      <c r="F382" t="str">
        <f ca="1"/>
        <v>Multigrain</v>
      </c>
      <c r="G382" s="210">
        <f ca="1"/>
        <v>400</v>
      </c>
      <c r="H382" s="210">
        <f ca="1"/>
        <v>0</v>
      </c>
      <c r="I382" s="210">
        <f ca="1"/>
        <v>3</v>
      </c>
      <c r="J382" s="210">
        <f ca="1"/>
        <v>1</v>
      </c>
      <c r="K382" s="210">
        <f ca="1"/>
        <v>28</v>
      </c>
      <c r="L382" s="210">
        <f ca="1"/>
        <v>32</v>
      </c>
      <c r="M382" s="210">
        <f ca="1"/>
        <v>368</v>
      </c>
      <c r="N382" s="210">
        <f ca="1"/>
        <v>2</v>
      </c>
      <c r="O382" t="str">
        <f ca="1"/>
        <v>DAY</v>
      </c>
      <c r="P382" s="211">
        <f ca="1"/>
        <v>0.92</v>
      </c>
      <c r="Q382">
        <f ca="1"/>
        <v>400</v>
      </c>
      <c r="R382">
        <f ca="1"/>
        <v>0</v>
      </c>
    </row>
    <row r="383" spans="2:18">
      <c r="B383" t="str">
        <f ca="1"/>
        <v>C6-JULY</v>
      </c>
      <c r="C383" s="209">
        <f ca="1"/>
        <v>46218</v>
      </c>
      <c r="D383" t="str">
        <f ca="1"/>
        <v>chakki1,2,3</v>
      </c>
      <c r="E383" t="str">
        <f ca="1"/>
        <v>New Plant</v>
      </c>
      <c r="F383" t="str">
        <f ca="1"/>
        <v>khapli</v>
      </c>
      <c r="G383" s="210">
        <f ca="1"/>
        <v>1050</v>
      </c>
      <c r="H383" s="210">
        <f ca="1"/>
        <v>0</v>
      </c>
      <c r="I383" s="210">
        <f ca="1"/>
        <v>14</v>
      </c>
      <c r="J383" s="210">
        <f ca="1"/>
        <v>2</v>
      </c>
      <c r="K383" s="210">
        <f ca="1"/>
        <v>77</v>
      </c>
      <c r="L383" s="210">
        <f ca="1"/>
        <v>93</v>
      </c>
      <c r="M383" s="210">
        <f ca="1"/>
        <v>957</v>
      </c>
      <c r="N383" s="210">
        <f ca="1"/>
        <v>2</v>
      </c>
      <c r="O383" t="str">
        <f ca="1"/>
        <v>DAY</v>
      </c>
      <c r="P383" s="211">
        <f ca="1"/>
        <v>0.91142857142857148</v>
      </c>
      <c r="Q383">
        <f ca="1"/>
        <v>1050</v>
      </c>
      <c r="R383">
        <f ca="1"/>
        <v>0</v>
      </c>
    </row>
    <row r="384" spans="2:18">
      <c r="B384" t="str">
        <f ca="1"/>
        <v>C6-JULY</v>
      </c>
      <c r="C384" s="209">
        <f ca="1"/>
        <v>46219</v>
      </c>
      <c r="D384" t="str">
        <f ca="1"/>
        <v>chakki1,2,3</v>
      </c>
      <c r="E384" t="str">
        <f ca="1"/>
        <v>New Plant</v>
      </c>
      <c r="F384" t="str">
        <f ca="1"/>
        <v>khapli</v>
      </c>
      <c r="G384" s="210">
        <f ca="1"/>
        <v>2250</v>
      </c>
      <c r="H384" s="210">
        <f ca="1"/>
        <v>1</v>
      </c>
      <c r="I384" s="210">
        <f ca="1"/>
        <v>51</v>
      </c>
      <c r="J384" s="210">
        <f ca="1"/>
        <v>1</v>
      </c>
      <c r="K384" s="210">
        <f ca="1"/>
        <v>50</v>
      </c>
      <c r="L384" s="210">
        <f ca="1"/>
        <v>103</v>
      </c>
      <c r="M384" s="210">
        <f ca="1"/>
        <v>2147</v>
      </c>
      <c r="N384" s="210">
        <f ca="1"/>
        <v>3</v>
      </c>
      <c r="O384" t="str">
        <f ca="1"/>
        <v>DAY</v>
      </c>
      <c r="P384" s="211">
        <f ca="1"/>
        <v>0.95422222222222219</v>
      </c>
      <c r="Q384">
        <f ca="1"/>
        <v>2250</v>
      </c>
      <c r="R384">
        <f ca="1"/>
        <v>0</v>
      </c>
    </row>
    <row r="385" spans="2:18">
      <c r="B385" t="str">
        <f ca="1"/>
        <v>C6-JULY</v>
      </c>
      <c r="C385" s="209">
        <f ca="1"/>
        <v>46220</v>
      </c>
      <c r="D385" t="str">
        <f ca="1"/>
        <v>chakki1,2,3</v>
      </c>
      <c r="E385" t="str">
        <f ca="1"/>
        <v>old plant</v>
      </c>
      <c r="F385" t="str">
        <f ca="1"/>
        <v>Jowar Grains</v>
      </c>
      <c r="G385" s="210">
        <f ca="1"/>
        <v>300</v>
      </c>
      <c r="H385" s="210">
        <f ca="1"/>
        <v>0</v>
      </c>
      <c r="I385" s="210">
        <f ca="1"/>
        <v>3</v>
      </c>
      <c r="J385" s="210">
        <f ca="1"/>
        <v>0.5</v>
      </c>
      <c r="K385" s="210">
        <f ca="1"/>
        <v>13.5</v>
      </c>
      <c r="L385" s="210">
        <f ca="1"/>
        <v>17</v>
      </c>
      <c r="M385" s="210">
        <f ca="1"/>
        <v>283</v>
      </c>
      <c r="N385" s="210">
        <f ca="1"/>
        <v>3</v>
      </c>
      <c r="O385" t="str">
        <f ca="1"/>
        <v>DAY</v>
      </c>
      <c r="P385" s="211">
        <f ca="1"/>
        <v>0.94333333333333336</v>
      </c>
      <c r="Q385">
        <f ca="1"/>
        <v>300</v>
      </c>
      <c r="R385">
        <f ca="1"/>
        <v>0</v>
      </c>
    </row>
    <row r="386" spans="2:18">
      <c r="B386" t="str">
        <f ca="1"/>
        <v>C6-JULY</v>
      </c>
      <c r="C386" s="209">
        <f ca="1"/>
        <v>46220</v>
      </c>
      <c r="D386" t="str">
        <f ca="1"/>
        <v>chakki1,2,3</v>
      </c>
      <c r="E386" t="str">
        <f ca="1"/>
        <v>New Plant</v>
      </c>
      <c r="F386" t="str">
        <f ca="1"/>
        <v>khapli</v>
      </c>
      <c r="G386" s="210">
        <f ca="1"/>
        <v>410</v>
      </c>
      <c r="H386" s="210">
        <f ca="1"/>
        <v>0</v>
      </c>
      <c r="I386" s="210">
        <f ca="1"/>
        <v>5</v>
      </c>
      <c r="J386" s="210">
        <f ca="1"/>
        <v>0.5</v>
      </c>
      <c r="K386" s="210">
        <f ca="1"/>
        <v>16.5</v>
      </c>
      <c r="L386" s="210">
        <f ca="1"/>
        <v>22</v>
      </c>
      <c r="M386" s="210">
        <f ca="1"/>
        <v>388</v>
      </c>
      <c r="N386" s="210">
        <f ca="1"/>
        <v>3</v>
      </c>
      <c r="O386" t="str">
        <f ca="1"/>
        <v>DAY</v>
      </c>
      <c r="P386" s="211">
        <f ca="1"/>
        <v>0.9463414634146341</v>
      </c>
      <c r="Q386">
        <f ca="1"/>
        <v>410</v>
      </c>
      <c r="R386">
        <f ca="1"/>
        <v>0</v>
      </c>
    </row>
    <row r="387" spans="2:18">
      <c r="B387" t="str">
        <f ca="1"/>
        <v>C6-JULY</v>
      </c>
      <c r="C387" s="209">
        <f ca="1"/>
        <v>46223</v>
      </c>
      <c r="D387" t="str">
        <f ca="1"/>
        <v>chakki1,2,3</v>
      </c>
      <c r="E387" t="str">
        <f ca="1"/>
        <v>old plant</v>
      </c>
      <c r="F387" t="str">
        <f ca="1"/>
        <v>Jowar Grains</v>
      </c>
      <c r="G387" s="210">
        <f ca="1"/>
        <v>62</v>
      </c>
      <c r="H387" s="210">
        <f ca="1"/>
        <v>0</v>
      </c>
      <c r="I387" s="210">
        <f ca="1"/>
        <v>0</v>
      </c>
      <c r="J387" s="210">
        <f ca="1"/>
        <v>0</v>
      </c>
      <c r="K387" s="210">
        <f ca="1"/>
        <v>4</v>
      </c>
      <c r="L387" s="210">
        <f ca="1"/>
        <v>4</v>
      </c>
      <c r="M387" s="210">
        <f ca="1"/>
        <v>58</v>
      </c>
      <c r="N387" s="210">
        <f ca="1"/>
        <v>3</v>
      </c>
      <c r="O387" t="str">
        <f ca="1"/>
        <v>DAY</v>
      </c>
      <c r="P387" s="211">
        <f ca="1"/>
        <v>0.93548387096774188</v>
      </c>
      <c r="Q387">
        <f ca="1"/>
        <v>62</v>
      </c>
      <c r="R387">
        <f ca="1"/>
        <v>0</v>
      </c>
    </row>
    <row r="388" spans="2:18">
      <c r="B388" t="str">
        <f ca="1"/>
        <v>C6-JULY</v>
      </c>
      <c r="C388" s="209">
        <f ca="1"/>
        <v>46224</v>
      </c>
      <c r="D388" t="str">
        <f ca="1"/>
        <v>chakki1,2,3</v>
      </c>
      <c r="E388" t="str">
        <f ca="1"/>
        <v>old plant</v>
      </c>
      <c r="F388" t="str">
        <f ca="1"/>
        <v>Multigrain</v>
      </c>
      <c r="G388" s="210">
        <f ca="1"/>
        <v>1000</v>
      </c>
      <c r="H388" s="210">
        <f ca="1"/>
        <v>2</v>
      </c>
      <c r="I388" s="210">
        <f ca="1"/>
        <v>16</v>
      </c>
      <c r="J388" s="210">
        <f ca="1"/>
        <v>1</v>
      </c>
      <c r="K388" s="210">
        <f ca="1"/>
        <v>46</v>
      </c>
      <c r="L388" s="210">
        <f ca="1"/>
        <v>65</v>
      </c>
      <c r="M388" s="210">
        <f ca="1"/>
        <v>935</v>
      </c>
      <c r="N388" s="210">
        <f ca="1"/>
        <v>3</v>
      </c>
      <c r="O388" t="str">
        <f ca="1"/>
        <v>DAY</v>
      </c>
      <c r="P388" s="211">
        <f ca="1"/>
        <v>0.93500000000000005</v>
      </c>
      <c r="Q388">
        <f ca="1"/>
        <v>1000</v>
      </c>
      <c r="R388">
        <f ca="1"/>
        <v>0</v>
      </c>
    </row>
    <row r="389" spans="2:18">
      <c r="B389" t="str">
        <f ca="1"/>
        <v>C6-JULY</v>
      </c>
      <c r="C389" s="209">
        <f ca="1"/>
        <v>46225</v>
      </c>
      <c r="D389" t="str">
        <f ca="1"/>
        <v>chakki1,2,3</v>
      </c>
      <c r="E389" t="str">
        <f ca="1"/>
        <v>New Plant</v>
      </c>
      <c r="F389" t="str">
        <f ca="1"/>
        <v>protein premix 60%</v>
      </c>
      <c r="G389" s="210">
        <f ca="1"/>
        <v>1615</v>
      </c>
      <c r="H389" s="210">
        <f ca="1"/>
        <v>1</v>
      </c>
      <c r="I389" s="210">
        <f ca="1"/>
        <v>39</v>
      </c>
      <c r="J389" s="210">
        <f ca="1"/>
        <v>1</v>
      </c>
      <c r="K389" s="210">
        <f ca="1"/>
        <v>54</v>
      </c>
      <c r="L389" s="210">
        <f ca="1"/>
        <v>95</v>
      </c>
      <c r="M389" s="210">
        <f ca="1"/>
        <v>1520</v>
      </c>
      <c r="N389" s="210">
        <f ca="1"/>
        <v>3</v>
      </c>
      <c r="O389" t="str">
        <f ca="1"/>
        <v>DAY</v>
      </c>
      <c r="P389" s="211">
        <f ca="1"/>
        <v>0.94117647058823528</v>
      </c>
      <c r="Q389">
        <f ca="1"/>
        <v>1615</v>
      </c>
      <c r="R389">
        <f ca="1"/>
        <v>0</v>
      </c>
    </row>
    <row r="390" spans="2:18">
      <c r="B390" t="str">
        <f ca="1"/>
        <v>C6-JULY</v>
      </c>
      <c r="C390" s="209">
        <f ca="1"/>
        <v>46225</v>
      </c>
      <c r="D390" t="str">
        <f ca="1"/>
        <v>chakki1,2,3</v>
      </c>
      <c r="E390" t="str">
        <f ca="1"/>
        <v>old plant</v>
      </c>
      <c r="F390" t="str">
        <f ca="1"/>
        <v>High Protein Atta</v>
      </c>
      <c r="G390" s="210">
        <f ca="1"/>
        <v>2473.5</v>
      </c>
      <c r="H390" s="210">
        <f ca="1"/>
        <v>2</v>
      </c>
      <c r="I390" s="210">
        <f ca="1"/>
        <v>78</v>
      </c>
      <c r="J390" s="210">
        <f ca="1"/>
        <v>3</v>
      </c>
      <c r="K390" s="210">
        <f ca="1"/>
        <v>67.5</v>
      </c>
      <c r="L390" s="210">
        <f ca="1"/>
        <v>150.5</v>
      </c>
      <c r="M390" s="210">
        <f ca="1"/>
        <v>2323</v>
      </c>
      <c r="N390" s="210">
        <f ca="1"/>
        <v>3</v>
      </c>
      <c r="O390" t="str">
        <f ca="1"/>
        <v>DAY</v>
      </c>
      <c r="P390" s="211">
        <f ca="1"/>
        <v>0.93915504346068324</v>
      </c>
      <c r="Q390">
        <f ca="1"/>
        <v>2473.5</v>
      </c>
      <c r="R390">
        <f ca="1"/>
        <v>0</v>
      </c>
    </row>
    <row r="391" spans="2:18">
      <c r="B391" t="str">
        <f ca="1"/>
        <v>C6-JULY</v>
      </c>
      <c r="C391" s="209">
        <f ca="1"/>
        <v>46227</v>
      </c>
      <c r="D391" t="str">
        <f ca="1"/>
        <v>chakki1,2,3</v>
      </c>
      <c r="E391" t="str">
        <f ca="1"/>
        <v>old plant</v>
      </c>
      <c r="F391" t="str">
        <f ca="1"/>
        <v>Jowar Grains</v>
      </c>
      <c r="G391" s="210">
        <f ca="1"/>
        <v>1000</v>
      </c>
      <c r="H391" s="210">
        <f ca="1"/>
        <v>0</v>
      </c>
      <c r="I391" s="210">
        <f ca="1"/>
        <v>10</v>
      </c>
      <c r="J391" s="210">
        <f ca="1"/>
        <v>1</v>
      </c>
      <c r="K391" s="210">
        <f ca="1"/>
        <v>70</v>
      </c>
      <c r="L391" s="210">
        <f ca="1"/>
        <v>81</v>
      </c>
      <c r="M391" s="210">
        <f ca="1"/>
        <v>919</v>
      </c>
      <c r="N391" s="210">
        <f ca="1"/>
        <v>3</v>
      </c>
      <c r="O391" t="str">
        <f ca="1"/>
        <v>DAY</v>
      </c>
      <c r="P391" s="211">
        <f ca="1"/>
        <v>0.91900000000000004</v>
      </c>
      <c r="Q391">
        <f ca="1"/>
        <v>1000</v>
      </c>
      <c r="R391">
        <f ca="1"/>
        <v>0</v>
      </c>
    </row>
    <row r="392" spans="2:18">
      <c r="B392" t="str">
        <f ca="1"/>
        <v>C6-JULY</v>
      </c>
      <c r="C392" s="209">
        <f ca="1"/>
        <v>46228</v>
      </c>
      <c r="D392" t="str">
        <f ca="1"/>
        <v>chakki1,2,3</v>
      </c>
      <c r="E392" t="str">
        <f ca="1"/>
        <v>New Plant</v>
      </c>
      <c r="F392" t="str">
        <f ca="1"/>
        <v>protein atta</v>
      </c>
      <c r="G392" s="210">
        <f ca="1"/>
        <v>3007</v>
      </c>
      <c r="H392" s="210">
        <f ca="1"/>
        <v>1</v>
      </c>
      <c r="I392" s="210">
        <f ca="1"/>
        <v>77</v>
      </c>
      <c r="J392" s="210">
        <f ca="1"/>
        <v>2</v>
      </c>
      <c r="K392" s="210">
        <f ca="1"/>
        <v>83</v>
      </c>
      <c r="L392" s="210">
        <f ca="1"/>
        <v>163</v>
      </c>
      <c r="M392" s="210">
        <f ca="1"/>
        <v>2844</v>
      </c>
      <c r="N392" s="210">
        <f ca="1"/>
        <v>2</v>
      </c>
      <c r="O392" t="str">
        <f ca="1"/>
        <v>DAY</v>
      </c>
      <c r="P392" s="211">
        <f ca="1"/>
        <v>0.94579314931825742</v>
      </c>
      <c r="Q392">
        <f ca="1"/>
        <v>3007</v>
      </c>
      <c r="R392">
        <f ca="1"/>
        <v>0</v>
      </c>
    </row>
    <row r="393" spans="2:18">
      <c r="B393" t="str">
        <f ca="1"/>
        <v>C6-JULY</v>
      </c>
      <c r="C393" s="209">
        <f ca="1"/>
        <v>46231</v>
      </c>
      <c r="D393" t="str">
        <f ca="1"/>
        <v>chakki1,2,3</v>
      </c>
      <c r="E393" t="str">
        <f ca="1"/>
        <v>old plant</v>
      </c>
      <c r="F393" t="str">
        <f ca="1"/>
        <v>protein atta</v>
      </c>
      <c r="G393" s="210">
        <f ca="1"/>
        <v>3928.5</v>
      </c>
      <c r="H393" s="210">
        <f ca="1"/>
        <v>1</v>
      </c>
      <c r="I393" s="210">
        <f ca="1"/>
        <v>80</v>
      </c>
      <c r="J393" s="210">
        <f ca="1"/>
        <v>2</v>
      </c>
      <c r="K393" s="210">
        <f ca="1"/>
        <v>216.5</v>
      </c>
      <c r="L393" s="210">
        <f ca="1"/>
        <v>299.5</v>
      </c>
      <c r="M393" s="210">
        <f ca="1"/>
        <v>3629</v>
      </c>
      <c r="N393" s="210">
        <f ca="1"/>
        <v>3</v>
      </c>
      <c r="O393" t="str">
        <f ca="1"/>
        <v>DAY</v>
      </c>
      <c r="P393" s="211">
        <f ca="1"/>
        <v>0.92376225022273128</v>
      </c>
      <c r="Q393">
        <f ca="1"/>
        <v>3928.5</v>
      </c>
      <c r="R393">
        <f ca="1"/>
        <v>0</v>
      </c>
    </row>
    <row r="394" spans="2:18">
      <c r="B394" t="str">
        <f ca="1"/>
        <v>C6-JULY</v>
      </c>
      <c r="C394" s="209">
        <f ca="1"/>
        <v>46232</v>
      </c>
      <c r="D394" t="str">
        <f ca="1"/>
        <v>chakki1,2,3</v>
      </c>
      <c r="E394" t="str">
        <f ca="1"/>
        <v>New Plant</v>
      </c>
      <c r="F394" t="str">
        <f ca="1"/>
        <v>khapli</v>
      </c>
      <c r="G394" s="210">
        <f ca="1"/>
        <v>100</v>
      </c>
      <c r="H394" s="210">
        <f ca="1"/>
        <v>0</v>
      </c>
      <c r="I394" s="210">
        <f ca="1"/>
        <v>3</v>
      </c>
      <c r="J394" s="210">
        <f ca="1"/>
        <v>0</v>
      </c>
      <c r="K394" s="210">
        <f ca="1"/>
        <v>7</v>
      </c>
      <c r="L394" s="210">
        <f ca="1"/>
        <v>10</v>
      </c>
      <c r="M394" s="210">
        <f ca="1"/>
        <v>90</v>
      </c>
      <c r="N394" s="210">
        <f ca="1"/>
        <v>3</v>
      </c>
      <c r="O394" t="str">
        <f ca="1"/>
        <v>DAY</v>
      </c>
      <c r="P394" s="211">
        <f ca="1"/>
        <v>0.9</v>
      </c>
      <c r="Q394">
        <f ca="1"/>
        <v>100</v>
      </c>
      <c r="R394">
        <f ca="1"/>
        <v>0</v>
      </c>
    </row>
    <row r="395" spans="2:18">
      <c r="B395" t="str">
        <f ca="1"/>
        <v>C6-JULY</v>
      </c>
      <c r="C395" s="209">
        <f ca="1"/>
        <v>46232</v>
      </c>
      <c r="D395" t="str">
        <f ca="1"/>
        <v>chakki1,2,3</v>
      </c>
      <c r="E395" t="str">
        <f ca="1"/>
        <v>old plant</v>
      </c>
      <c r="F395" t="str">
        <f ca="1"/>
        <v>Bajra</v>
      </c>
      <c r="G395" s="210">
        <f ca="1"/>
        <v>300</v>
      </c>
      <c r="H395" s="210">
        <f ca="1"/>
        <v>0</v>
      </c>
      <c r="I395" s="210">
        <f ca="1"/>
        <v>3</v>
      </c>
      <c r="J395" s="210">
        <f ca="1"/>
        <v>0</v>
      </c>
      <c r="K395" s="210">
        <f ca="1"/>
        <v>16</v>
      </c>
      <c r="L395" s="210">
        <f ca="1"/>
        <v>19</v>
      </c>
      <c r="M395" s="210">
        <f ca="1"/>
        <v>281</v>
      </c>
      <c r="N395" s="210">
        <f ca="1"/>
        <v>3</v>
      </c>
      <c r="O395" t="str">
        <f ca="1"/>
        <v>DAY</v>
      </c>
      <c r="P395" s="211">
        <f ca="1"/>
        <v>0.93666666666666665</v>
      </c>
      <c r="Q395">
        <f ca="1"/>
        <v>300</v>
      </c>
      <c r="R395">
        <f ca="1"/>
        <v>0</v>
      </c>
    </row>
    <row r="396" spans="2:18">
      <c r="B396" t="str">
        <f ca="1"/>
        <v>C6-JULY</v>
      </c>
      <c r="C396" s="209">
        <f ca="1"/>
        <v>46233</v>
      </c>
      <c r="D396" t="str">
        <f ca="1"/>
        <v>chakki1,2,3</v>
      </c>
      <c r="E396" t="str">
        <f ca="1"/>
        <v>old plant</v>
      </c>
      <c r="F396" t="str">
        <f ca="1"/>
        <v>Jowar Grains</v>
      </c>
      <c r="G396" s="210">
        <f ca="1"/>
        <v>990</v>
      </c>
      <c r="H396" s="210">
        <f ca="1"/>
        <v>0</v>
      </c>
      <c r="I396" s="210">
        <f ca="1"/>
        <v>35</v>
      </c>
      <c r="J396" s="210">
        <f ca="1"/>
        <v>1</v>
      </c>
      <c r="K396" s="210">
        <f ca="1"/>
        <v>62</v>
      </c>
      <c r="L396" s="210">
        <f ca="1"/>
        <v>98</v>
      </c>
      <c r="M396" s="210">
        <f ca="1"/>
        <v>892</v>
      </c>
      <c r="N396" s="210">
        <f ca="1"/>
        <v>2</v>
      </c>
      <c r="O396" t="str">
        <f ca="1"/>
        <v>DAY</v>
      </c>
      <c r="P396" s="211">
        <f ca="1"/>
        <v>0.90101010101010104</v>
      </c>
      <c r="Q396">
        <f ca="1"/>
        <v>990</v>
      </c>
      <c r="R396">
        <f ca="1"/>
        <v>0</v>
      </c>
    </row>
    <row r="397" spans="2:18">
      <c r="B397" t="str">
        <f ca="1"/>
        <v>C6-JULY</v>
      </c>
      <c r="C397" s="209">
        <f ca="1"/>
        <v>46234</v>
      </c>
      <c r="D397" t="str">
        <f ca="1"/>
        <v>chakki1,2,3</v>
      </c>
      <c r="E397" t="str">
        <f ca="1"/>
        <v>old plant</v>
      </c>
      <c r="F397" t="str">
        <f ca="1"/>
        <v>Jowar Grains</v>
      </c>
      <c r="G397" s="210">
        <f ca="1"/>
        <v>210</v>
      </c>
      <c r="H397" s="210">
        <f ca="1"/>
        <v>0</v>
      </c>
      <c r="I397" s="210">
        <f ca="1"/>
        <v>4</v>
      </c>
      <c r="J397" s="210">
        <f ca="1"/>
        <v>1</v>
      </c>
      <c r="K397" s="210">
        <f ca="1"/>
        <v>13</v>
      </c>
      <c r="L397" s="210">
        <f ca="1"/>
        <v>18</v>
      </c>
      <c r="M397" s="210">
        <f ca="1"/>
        <v>192</v>
      </c>
      <c r="N397" s="210">
        <f ca="1"/>
        <v>3</v>
      </c>
      <c r="O397" t="str">
        <f ca="1"/>
        <v>DAY</v>
      </c>
      <c r="P397" s="211">
        <f ca="1"/>
        <v>0.91428571428571426</v>
      </c>
      <c r="Q397">
        <f ca="1"/>
        <v>210</v>
      </c>
      <c r="R397">
        <f ca="1"/>
        <v>0</v>
      </c>
    </row>
    <row r="398" spans="2:18">
      <c r="B398" t="str">
        <f ca="1"/>
        <v>C6-JULY</v>
      </c>
      <c r="C398" s="209">
        <f ca="1"/>
        <v>46234</v>
      </c>
      <c r="D398" t="str">
        <f ca="1"/>
        <v>chakki1,2,3</v>
      </c>
      <c r="E398" t="str">
        <f ca="1"/>
        <v>New Plant</v>
      </c>
      <c r="F398" t="str">
        <f ca="1"/>
        <v>protein atta</v>
      </c>
      <c r="G398" s="210">
        <f ca="1"/>
        <v>4171</v>
      </c>
      <c r="H398" s="210">
        <f ca="1"/>
        <v>2</v>
      </c>
      <c r="I398" s="210">
        <f ca="1"/>
        <v>137</v>
      </c>
      <c r="J398" s="210">
        <f ca="1"/>
        <v>3</v>
      </c>
      <c r="K398" s="210">
        <f ca="1"/>
        <v>119</v>
      </c>
      <c r="L398" s="210">
        <f ca="1"/>
        <v>261</v>
      </c>
      <c r="M398" s="210">
        <f ca="1"/>
        <v>3910</v>
      </c>
      <c r="N398" s="210">
        <f ca="1"/>
        <v>3</v>
      </c>
      <c r="O398" t="str">
        <f ca="1"/>
        <v>DAY</v>
      </c>
      <c r="P398" s="211">
        <f ca="1"/>
        <v>0.93742507791896423</v>
      </c>
      <c r="Q398">
        <f ca="1"/>
        <v>4171</v>
      </c>
      <c r="R398">
        <f ca="1"/>
        <v>0</v>
      </c>
    </row>
    <row r="399" spans="2:18">
      <c r="B399" t="str">
        <f ca="1"/>
        <v>C39-JULY</v>
      </c>
      <c r="C399" s="209">
        <f ca="1"/>
        <v>46204</v>
      </c>
      <c r="D399" t="str">
        <f ca="1"/>
        <v>1,2,3,4</v>
      </c>
      <c r="E399" t="str">
        <f ca="1"/>
        <v>C39</v>
      </c>
      <c r="F399" t="str">
        <f ca="1"/>
        <v>multgrain</v>
      </c>
      <c r="G399" s="210">
        <f ca="1"/>
        <v>6650</v>
      </c>
      <c r="H399" s="210">
        <f ca="1"/>
        <v>80</v>
      </c>
      <c r="I399" s="210">
        <f ca="1"/>
        <v>193</v>
      </c>
      <c r="J399" s="210">
        <f ca="1"/>
        <v>42</v>
      </c>
      <c r="K399" s="210">
        <f ca="1"/>
        <v>195</v>
      </c>
      <c r="L399" s="210">
        <f ca="1"/>
        <v>510</v>
      </c>
      <c r="M399" s="210">
        <f ca="1"/>
        <v>6140</v>
      </c>
      <c r="N399" s="210">
        <f ca="1"/>
        <v>5</v>
      </c>
      <c r="O399" t="str">
        <f ca="1"/>
        <v>Day</v>
      </c>
      <c r="P399" s="211">
        <f ca="1"/>
        <v>0.92330827067669174</v>
      </c>
      <c r="Q399">
        <f ca="1"/>
        <v>6650</v>
      </c>
      <c r="R399">
        <f ca="1"/>
        <v>0</v>
      </c>
    </row>
    <row r="400" spans="2:18">
      <c r="B400" t="str">
        <f ca="1"/>
        <v>C39-JULY</v>
      </c>
      <c r="C400" s="209">
        <f ca="1"/>
        <v>46205</v>
      </c>
      <c r="D400" t="str">
        <f ca="1"/>
        <v>1,2,3,4</v>
      </c>
      <c r="E400" t="str">
        <f ca="1"/>
        <v>C39</v>
      </c>
      <c r="F400" t="str">
        <f ca="1"/>
        <v>multgrain</v>
      </c>
      <c r="G400" s="210">
        <f ca="1"/>
        <v>5900</v>
      </c>
      <c r="H400" s="210">
        <f ca="1"/>
        <v>71</v>
      </c>
      <c r="I400" s="210">
        <f ca="1"/>
        <v>240</v>
      </c>
      <c r="J400" s="210">
        <f ca="1"/>
        <v>35</v>
      </c>
      <c r="K400" s="210">
        <f ca="1"/>
        <v>120</v>
      </c>
      <c r="L400" s="210">
        <f ca="1"/>
        <v>466</v>
      </c>
      <c r="M400" s="210">
        <f ca="1"/>
        <v>5434</v>
      </c>
      <c r="N400" s="210">
        <f ca="1"/>
        <v>5</v>
      </c>
      <c r="O400" t="str">
        <f ca="1"/>
        <v>Day</v>
      </c>
      <c r="P400" s="211">
        <f ca="1"/>
        <v>0.9210169491525424</v>
      </c>
      <c r="Q400">
        <f ca="1"/>
        <v>5900</v>
      </c>
      <c r="R400">
        <f ca="1"/>
        <v>0</v>
      </c>
    </row>
    <row r="401" spans="2:18">
      <c r="B401" t="str">
        <f ca="1"/>
        <v>C39-JULY</v>
      </c>
      <c r="C401" s="209">
        <f ca="1"/>
        <v>46206</v>
      </c>
      <c r="D401" t="str">
        <f ca="1"/>
        <v>1,2,3,4</v>
      </c>
      <c r="E401" t="str">
        <f ca="1"/>
        <v>C39</v>
      </c>
      <c r="F401" t="str">
        <f ca="1"/>
        <v>multgrain</v>
      </c>
      <c r="G401" s="210">
        <f ca="1"/>
        <v>4900</v>
      </c>
      <c r="H401" s="210">
        <f ca="1"/>
        <v>98</v>
      </c>
      <c r="I401" s="210">
        <f ca="1"/>
        <v>180</v>
      </c>
      <c r="J401" s="210">
        <f ca="1"/>
        <v>28</v>
      </c>
      <c r="K401" s="210">
        <f ca="1"/>
        <v>94</v>
      </c>
      <c r="L401" s="210">
        <f ca="1"/>
        <v>400</v>
      </c>
      <c r="M401" s="210">
        <f ca="1"/>
        <v>4500</v>
      </c>
      <c r="N401" s="210">
        <f ca="1"/>
        <v>5</v>
      </c>
      <c r="O401" t="str">
        <f ca="1"/>
        <v>Day</v>
      </c>
      <c r="P401" s="211">
        <f ca="1"/>
        <v>0.91836734693877553</v>
      </c>
      <c r="Q401">
        <f ca="1"/>
        <v>4900</v>
      </c>
      <c r="R401">
        <f ca="1"/>
        <v>0</v>
      </c>
    </row>
    <row r="402" spans="2:18">
      <c r="B402" t="str">
        <f ca="1"/>
        <v>C39-JULY</v>
      </c>
      <c r="C402" s="209">
        <f ca="1"/>
        <v>46207</v>
      </c>
      <c r="D402" t="str">
        <f ca="1"/>
        <v>1,2,3,4</v>
      </c>
      <c r="E402" t="str">
        <f ca="1"/>
        <v>C39</v>
      </c>
      <c r="F402" t="str">
        <f ca="1"/>
        <v>multgrain</v>
      </c>
      <c r="G402" s="210">
        <f ca="1"/>
        <v>7500</v>
      </c>
      <c r="H402" s="210">
        <f ca="1"/>
        <v>130</v>
      </c>
      <c r="I402" s="210">
        <f ca="1"/>
        <v>245</v>
      </c>
      <c r="J402" s="210">
        <f ca="1"/>
        <v>50</v>
      </c>
      <c r="K402" s="210">
        <f ca="1"/>
        <v>166</v>
      </c>
      <c r="L402" s="210">
        <f ca="1"/>
        <v>591</v>
      </c>
      <c r="M402" s="210">
        <f ca="1"/>
        <v>6909</v>
      </c>
      <c r="N402" s="210">
        <f ca="1"/>
        <v>5</v>
      </c>
      <c r="O402" t="str">
        <f ca="1"/>
        <v>Day</v>
      </c>
      <c r="P402" s="211">
        <f ca="1"/>
        <v>0.92120000000000002</v>
      </c>
      <c r="Q402">
        <f ca="1"/>
        <v>7500</v>
      </c>
      <c r="R402">
        <f ca="1"/>
        <v>0</v>
      </c>
    </row>
    <row r="403" spans="2:18">
      <c r="B403" t="str">
        <f ca="1"/>
        <v>C39-JULY</v>
      </c>
      <c r="C403" s="209">
        <f ca="1"/>
        <v>46209</v>
      </c>
      <c r="D403" t="str">
        <f ca="1"/>
        <v>1,2,3,4</v>
      </c>
      <c r="E403" t="str">
        <f ca="1"/>
        <v>C39</v>
      </c>
      <c r="F403" t="str">
        <f ca="1"/>
        <v>multgrain</v>
      </c>
      <c r="G403" s="210">
        <f ca="1"/>
        <v>8300</v>
      </c>
      <c r="H403" s="210">
        <f ca="1"/>
        <v>108</v>
      </c>
      <c r="I403" s="210">
        <f ca="1"/>
        <v>320</v>
      </c>
      <c r="J403" s="210">
        <f ca="1"/>
        <v>40</v>
      </c>
      <c r="K403" s="210">
        <f ca="1"/>
        <v>182</v>
      </c>
      <c r="L403" s="210">
        <f ca="1"/>
        <v>650</v>
      </c>
      <c r="M403" s="210">
        <f ca="1"/>
        <v>7650</v>
      </c>
      <c r="N403" s="210">
        <f ca="1"/>
        <v>5</v>
      </c>
      <c r="O403" t="str">
        <f ca="1"/>
        <v>Day</v>
      </c>
      <c r="P403" s="211">
        <f ca="1"/>
        <v>0.92168674698795183</v>
      </c>
      <c r="Q403">
        <f ca="1"/>
        <v>8300</v>
      </c>
      <c r="R403">
        <f ca="1"/>
        <v>0</v>
      </c>
    </row>
    <row r="404" spans="2:18">
      <c r="B404" t="str">
        <f ca="1"/>
        <v>C39-JULY</v>
      </c>
      <c r="C404" s="209">
        <f ca="1"/>
        <v>46210</v>
      </c>
      <c r="D404" t="str">
        <f ca="1"/>
        <v>1,2,3,4</v>
      </c>
      <c r="E404" t="str">
        <f ca="1"/>
        <v>C39</v>
      </c>
      <c r="F404" t="str">
        <f ca="1"/>
        <v>multgrain</v>
      </c>
      <c r="G404" s="210">
        <f ca="1"/>
        <v>7500</v>
      </c>
      <c r="H404" s="210">
        <f ca="1"/>
        <v>125</v>
      </c>
      <c r="I404" s="210">
        <f ca="1"/>
        <v>240</v>
      </c>
      <c r="J404" s="210">
        <f ca="1"/>
        <v>38</v>
      </c>
      <c r="K404" s="210">
        <f ca="1"/>
        <v>197</v>
      </c>
      <c r="L404" s="210">
        <f ca="1"/>
        <v>600</v>
      </c>
      <c r="M404" s="210">
        <f ca="1"/>
        <v>6900</v>
      </c>
      <c r="N404" s="210">
        <f ca="1"/>
        <v>5</v>
      </c>
      <c r="O404" t="str">
        <f ca="1"/>
        <v>Day</v>
      </c>
      <c r="P404" s="211">
        <f ca="1"/>
        <v>0.92</v>
      </c>
      <c r="Q404">
        <f ca="1"/>
        <v>7500</v>
      </c>
      <c r="R404">
        <f ca="1"/>
        <v>0</v>
      </c>
    </row>
    <row r="405" spans="2:18">
      <c r="B405" t="str">
        <f ca="1"/>
        <v>C39-JULY</v>
      </c>
      <c r="C405" s="209">
        <f ca="1"/>
        <v>46211</v>
      </c>
      <c r="D405">
        <f ca="1"/>
        <v>1</v>
      </c>
      <c r="E405" t="str">
        <f ca="1"/>
        <v>Blender</v>
      </c>
      <c r="F405" t="str">
        <f ca="1"/>
        <v>besan</v>
      </c>
      <c r="G405" s="210">
        <f ca="1"/>
        <v>600</v>
      </c>
      <c r="H405" s="210">
        <f ca="1"/>
        <v>0</v>
      </c>
      <c r="I405" s="210">
        <f ca="1"/>
        <v>4.2</v>
      </c>
      <c r="J405" s="210">
        <f ca="1"/>
        <v>5.7</v>
      </c>
      <c r="K405" s="210">
        <f ca="1"/>
        <v>10.1</v>
      </c>
      <c r="L405" s="210">
        <f ca="1"/>
        <v>20</v>
      </c>
      <c r="M405" s="210">
        <f ca="1"/>
        <v>580</v>
      </c>
      <c r="N405" s="210">
        <f ca="1"/>
        <v>1</v>
      </c>
      <c r="O405" t="str">
        <f ca="1"/>
        <v>Day</v>
      </c>
      <c r="P405" s="211">
        <f ca="1"/>
        <v>0.96599999999999997</v>
      </c>
      <c r="Q405">
        <f ca="1"/>
        <v>600</v>
      </c>
      <c r="R405">
        <f ca="1"/>
        <v>0</v>
      </c>
    </row>
    <row r="406" spans="2:18">
      <c r="B406" t="str">
        <f ca="1"/>
        <v>C39-JULY</v>
      </c>
      <c r="C406" s="209">
        <f ca="1"/>
        <v>46211</v>
      </c>
      <c r="D406" t="str">
        <f ca="1"/>
        <v>1,2,3,4</v>
      </c>
      <c r="E406" t="str">
        <f ca="1"/>
        <v>C39</v>
      </c>
      <c r="F406" t="str">
        <f ca="1"/>
        <v>multgrain</v>
      </c>
      <c r="G406" s="210">
        <f ca="1"/>
        <v>4150</v>
      </c>
      <c r="H406" s="210">
        <f ca="1"/>
        <v>72</v>
      </c>
      <c r="I406" s="210">
        <f ca="1"/>
        <v>173</v>
      </c>
      <c r="J406" s="210">
        <f ca="1"/>
        <v>36</v>
      </c>
      <c r="K406" s="210">
        <f ca="1"/>
        <v>119</v>
      </c>
      <c r="L406" s="210">
        <f ca="1"/>
        <v>400</v>
      </c>
      <c r="M406" s="210">
        <f ca="1"/>
        <v>3750</v>
      </c>
      <c r="N406" s="210">
        <f ca="1"/>
        <v>5</v>
      </c>
      <c r="O406" t="str">
        <f ca="1"/>
        <v>Day</v>
      </c>
      <c r="P406" s="211">
        <f ca="1"/>
        <v>0.90361445783132532</v>
      </c>
      <c r="Q406">
        <f ca="1"/>
        <v>4150</v>
      </c>
      <c r="R406">
        <f ca="1"/>
        <v>0</v>
      </c>
    </row>
    <row r="407" spans="2:18">
      <c r="B407" t="str">
        <f ca="1"/>
        <v>C39-JULY</v>
      </c>
      <c r="C407" s="209">
        <f ca="1"/>
        <v>46212</v>
      </c>
      <c r="D407">
        <f ca="1"/>
        <v>1</v>
      </c>
      <c r="E407" t="str">
        <f ca="1"/>
        <v>Blender</v>
      </c>
      <c r="F407" t="str">
        <f ca="1"/>
        <v>besan</v>
      </c>
      <c r="G407" s="210">
        <f ca="1"/>
        <v>360</v>
      </c>
      <c r="H407" s="210">
        <f ca="1"/>
        <v>0</v>
      </c>
      <c r="I407" s="210">
        <f ca="1"/>
        <v>3.9</v>
      </c>
      <c r="J407" s="210">
        <f ca="1"/>
        <v>4.8</v>
      </c>
      <c r="K407" s="210">
        <f ca="1"/>
        <v>11.3</v>
      </c>
      <c r="L407" s="210">
        <f ca="1"/>
        <v>20</v>
      </c>
      <c r="M407" s="210">
        <f ca="1"/>
        <v>340</v>
      </c>
      <c r="N407" s="210">
        <f ca="1"/>
        <v>1</v>
      </c>
      <c r="O407" t="str">
        <f ca="1"/>
        <v>Day</v>
      </c>
      <c r="P407" s="211">
        <f ca="1"/>
        <v>0.94444444444444442</v>
      </c>
      <c r="Q407">
        <f ca="1"/>
        <v>360</v>
      </c>
      <c r="R407">
        <f ca="1"/>
        <v>0</v>
      </c>
    </row>
    <row r="408" spans="2:18">
      <c r="B408" t="str">
        <f ca="1"/>
        <v>C39-JULY</v>
      </c>
      <c r="C408" s="209">
        <f ca="1"/>
        <v>46213</v>
      </c>
      <c r="D408" t="str">
        <f ca="1"/>
        <v>1,2,3,4</v>
      </c>
      <c r="E408" t="str">
        <f ca="1"/>
        <v>C39</v>
      </c>
      <c r="F408" t="str">
        <f ca="1"/>
        <v>multgrain</v>
      </c>
      <c r="G408" s="210">
        <f ca="1"/>
        <v>6200</v>
      </c>
      <c r="H408" s="210">
        <f ca="1"/>
        <v>58</v>
      </c>
      <c r="I408" s="210">
        <f ca="1"/>
        <v>210</v>
      </c>
      <c r="J408" s="210">
        <f ca="1"/>
        <v>34</v>
      </c>
      <c r="K408" s="210">
        <f ca="1"/>
        <v>148</v>
      </c>
      <c r="L408" s="210">
        <f ca="1"/>
        <v>450</v>
      </c>
      <c r="M408" s="210">
        <f ca="1"/>
        <v>5750</v>
      </c>
      <c r="N408" s="210">
        <f ca="1"/>
        <v>5</v>
      </c>
      <c r="O408" t="str">
        <f ca="1"/>
        <v>Day</v>
      </c>
      <c r="P408" s="211">
        <f ca="1"/>
        <v>0.92741935483870963</v>
      </c>
      <c r="Q408">
        <f ca="1"/>
        <v>6200</v>
      </c>
      <c r="R408">
        <f ca="1"/>
        <v>0</v>
      </c>
    </row>
    <row r="409" spans="2:18">
      <c r="B409" t="str">
        <f ca="1"/>
        <v>C39-JULY</v>
      </c>
      <c r="C409" s="209">
        <f ca="1"/>
        <v>46213</v>
      </c>
      <c r="D409">
        <f ca="1"/>
        <v>1</v>
      </c>
      <c r="E409" t="str">
        <f ca="1"/>
        <v>Blender</v>
      </c>
      <c r="F409" t="str">
        <f ca="1"/>
        <v>besan</v>
      </c>
      <c r="G409" s="210">
        <f ca="1"/>
        <v>650</v>
      </c>
      <c r="H409" s="210">
        <f ca="1"/>
        <v>0</v>
      </c>
      <c r="I409" s="210">
        <f ca="1"/>
        <v>5.6</v>
      </c>
      <c r="J409" s="210">
        <f ca="1"/>
        <v>3.7</v>
      </c>
      <c r="K409" s="210">
        <f ca="1"/>
        <v>8.6999999999999993</v>
      </c>
      <c r="L409" s="210">
        <f ca="1"/>
        <v>20</v>
      </c>
      <c r="M409" s="210">
        <f ca="1"/>
        <v>630</v>
      </c>
      <c r="N409" s="210">
        <f ca="1"/>
        <v>1</v>
      </c>
      <c r="O409" t="str">
        <f ca="1"/>
        <v>Day</v>
      </c>
      <c r="P409" s="211">
        <f ca="1"/>
        <v>0.96923076923076923</v>
      </c>
      <c r="Q409">
        <f ca="1"/>
        <v>650</v>
      </c>
      <c r="R409">
        <f ca="1"/>
        <v>0</v>
      </c>
    </row>
    <row r="410" spans="2:18">
      <c r="B410" t="str">
        <f ca="1"/>
        <v>C39-JULY</v>
      </c>
      <c r="C410" s="209">
        <f ca="1"/>
        <v>46214</v>
      </c>
      <c r="D410" t="str">
        <f ca="1"/>
        <v>1,2,3,4</v>
      </c>
      <c r="E410" t="str">
        <f ca="1"/>
        <v>C39</v>
      </c>
      <c r="F410" t="str">
        <f ca="1"/>
        <v>multgrain</v>
      </c>
      <c r="G410" s="210">
        <f ca="1"/>
        <v>5450</v>
      </c>
      <c r="H410" s="210">
        <f ca="1"/>
        <v>85</v>
      </c>
      <c r="I410" s="210">
        <f ca="1"/>
        <v>247</v>
      </c>
      <c r="J410" s="210">
        <f ca="1"/>
        <v>29</v>
      </c>
      <c r="K410" s="210">
        <f ca="1"/>
        <v>139</v>
      </c>
      <c r="L410" s="210">
        <f ca="1"/>
        <v>500</v>
      </c>
      <c r="M410" s="210">
        <f ca="1"/>
        <v>4950</v>
      </c>
      <c r="N410" s="210">
        <f ca="1"/>
        <v>5</v>
      </c>
      <c r="O410" t="str">
        <f ca="1"/>
        <v>Day</v>
      </c>
      <c r="P410" s="211">
        <f ca="1"/>
        <v>0.90825688073394495</v>
      </c>
      <c r="Q410">
        <f ca="1"/>
        <v>5450</v>
      </c>
      <c r="R410">
        <f ca="1"/>
        <v>0</v>
      </c>
    </row>
    <row r="411" spans="2:18">
      <c r="B411" t="str">
        <f ca="1"/>
        <v>C39-JULY</v>
      </c>
      <c r="C411" s="209">
        <f ca="1"/>
        <v>46216</v>
      </c>
      <c r="D411" t="str">
        <f ca="1"/>
        <v>1,2,3,4</v>
      </c>
      <c r="E411" t="str">
        <f ca="1"/>
        <v>C39</v>
      </c>
      <c r="F411" t="str">
        <f ca="1"/>
        <v>multgrain</v>
      </c>
      <c r="G411" s="210">
        <f ca="1"/>
        <v>6900</v>
      </c>
      <c r="H411" s="210">
        <f ca="1"/>
        <v>118</v>
      </c>
      <c r="I411" s="210">
        <f ca="1"/>
        <v>250</v>
      </c>
      <c r="J411" s="210">
        <f ca="1"/>
        <v>28</v>
      </c>
      <c r="K411" s="210">
        <f ca="1"/>
        <v>234</v>
      </c>
      <c r="L411" s="210">
        <f ca="1"/>
        <v>630</v>
      </c>
      <c r="M411" s="210">
        <f ca="1"/>
        <v>6270</v>
      </c>
      <c r="N411" s="210">
        <f ca="1"/>
        <v>5</v>
      </c>
      <c r="O411" t="str">
        <f ca="1"/>
        <v>Day</v>
      </c>
      <c r="P411" s="211">
        <f ca="1"/>
        <v>0.90869565217391302</v>
      </c>
      <c r="Q411">
        <f ca="1"/>
        <v>6900</v>
      </c>
      <c r="R411">
        <f ca="1"/>
        <v>0</v>
      </c>
    </row>
    <row r="412" spans="2:18">
      <c r="B412" t="str">
        <f ca="1"/>
        <v>C39-JULY</v>
      </c>
      <c r="C412" s="209">
        <f ca="1"/>
        <v>46217</v>
      </c>
      <c r="D412" t="str">
        <f ca="1"/>
        <v>1,2,3,4</v>
      </c>
      <c r="E412" t="str">
        <f ca="1"/>
        <v>C39</v>
      </c>
      <c r="F412" t="str">
        <f ca="1"/>
        <v>multgrain</v>
      </c>
      <c r="G412" s="210">
        <f ca="1"/>
        <v>7000</v>
      </c>
      <c r="H412" s="210">
        <f ca="1"/>
        <v>148</v>
      </c>
      <c r="I412" s="210">
        <f ca="1"/>
        <v>321</v>
      </c>
      <c r="J412" s="210">
        <f ca="1"/>
        <v>45</v>
      </c>
      <c r="K412" s="210">
        <f ca="1"/>
        <v>286</v>
      </c>
      <c r="L412" s="210">
        <f ca="1"/>
        <v>800</v>
      </c>
      <c r="M412" s="210">
        <f ca="1"/>
        <v>6200</v>
      </c>
      <c r="N412" s="210">
        <f ca="1"/>
        <v>5</v>
      </c>
      <c r="O412" t="str">
        <f ca="1"/>
        <v>Day</v>
      </c>
      <c r="P412" s="211">
        <f ca="1"/>
        <v>0.88571428571428568</v>
      </c>
      <c r="Q412">
        <f ca="1"/>
        <v>7000</v>
      </c>
      <c r="R412">
        <f ca="1"/>
        <v>0</v>
      </c>
    </row>
    <row r="413" spans="2:18">
      <c r="B413" t="str">
        <f ca="1"/>
        <v>C39-JULY</v>
      </c>
      <c r="C413" s="209">
        <f ca="1"/>
        <v>46218</v>
      </c>
      <c r="D413" t="str">
        <f ca="1"/>
        <v>1,2,3,4</v>
      </c>
      <c r="E413" t="str">
        <f ca="1"/>
        <v>C39</v>
      </c>
      <c r="F413" t="str">
        <f ca="1"/>
        <v>multgrain</v>
      </c>
      <c r="G413" s="210">
        <f ca="1"/>
        <v>9350</v>
      </c>
      <c r="H413" s="210">
        <f ca="1"/>
        <v>48</v>
      </c>
      <c r="I413" s="210">
        <f ca="1"/>
        <v>423</v>
      </c>
      <c r="J413" s="210">
        <f ca="1"/>
        <v>39</v>
      </c>
      <c r="K413" s="210">
        <f ca="1"/>
        <v>236</v>
      </c>
      <c r="L413" s="210">
        <f ca="1"/>
        <v>750</v>
      </c>
      <c r="M413" s="210">
        <f ca="1"/>
        <v>8600</v>
      </c>
      <c r="N413" s="210">
        <f ca="1"/>
        <v>5</v>
      </c>
      <c r="O413" t="str">
        <f ca="1"/>
        <v>DAY</v>
      </c>
      <c r="P413" s="211">
        <f ca="1"/>
        <v>0.91969999999999996</v>
      </c>
      <c r="Q413">
        <f ca="1"/>
        <v>9350</v>
      </c>
      <c r="R413">
        <f ca="1"/>
        <v>0</v>
      </c>
    </row>
    <row r="414" spans="2:18">
      <c r="B414" t="str">
        <f ca="1"/>
        <v>C39-JULY</v>
      </c>
      <c r="C414" s="209">
        <f ca="1"/>
        <v>46219</v>
      </c>
      <c r="D414" t="str">
        <f ca="1"/>
        <v>1,2,3,4</v>
      </c>
      <c r="E414" t="str">
        <f ca="1"/>
        <v>C39</v>
      </c>
      <c r="F414" t="str">
        <f ca="1"/>
        <v>multgrain</v>
      </c>
      <c r="G414" s="210">
        <f ca="1"/>
        <v>6000</v>
      </c>
      <c r="H414" s="210">
        <f ca="1"/>
        <v>0</v>
      </c>
      <c r="I414" s="210">
        <f ca="1"/>
        <v>300</v>
      </c>
      <c r="J414" s="210">
        <f ca="1"/>
        <v>46</v>
      </c>
      <c r="K414" s="210">
        <f ca="1"/>
        <v>154</v>
      </c>
      <c r="L414" s="210">
        <f ca="1"/>
        <v>500</v>
      </c>
      <c r="M414" s="210">
        <f ca="1"/>
        <v>5500</v>
      </c>
      <c r="N414" s="210">
        <f ca="1"/>
        <v>5</v>
      </c>
      <c r="O414" t="str">
        <f ca="1"/>
        <v>Day</v>
      </c>
      <c r="P414" s="211">
        <f ca="1"/>
        <v>0.91666666666666663</v>
      </c>
      <c r="Q414">
        <f ca="1"/>
        <v>6000</v>
      </c>
      <c r="R414">
        <f ca="1"/>
        <v>0</v>
      </c>
    </row>
    <row r="415" spans="2:18">
      <c r="B415" t="str">
        <f ca="1"/>
        <v>C39-JULY</v>
      </c>
      <c r="C415" s="209">
        <f ca="1"/>
        <v>46222</v>
      </c>
      <c r="D415" t="str">
        <f ca="1"/>
        <v>1,2,3,4</v>
      </c>
      <c r="E415" t="str">
        <f ca="1"/>
        <v>C39</v>
      </c>
      <c r="F415" t="str">
        <f ca="1"/>
        <v>khapli</v>
      </c>
      <c r="G415" s="210">
        <f ca="1"/>
        <v>5200</v>
      </c>
      <c r="H415" s="210">
        <f ca="1"/>
        <v>48</v>
      </c>
      <c r="I415" s="210">
        <f ca="1"/>
        <v>137</v>
      </c>
      <c r="J415" s="210">
        <f ca="1"/>
        <v>29</v>
      </c>
      <c r="K415" s="210">
        <f ca="1"/>
        <v>186</v>
      </c>
      <c r="L415" s="210">
        <f ca="1"/>
        <v>400</v>
      </c>
      <c r="M415" s="210">
        <f ca="1"/>
        <v>4800</v>
      </c>
      <c r="N415" s="210">
        <f ca="1"/>
        <v>5</v>
      </c>
      <c r="O415" t="str">
        <f ca="1"/>
        <v>Day</v>
      </c>
      <c r="P415" s="211">
        <f ca="1"/>
        <v>0.92307692307692313</v>
      </c>
      <c r="Q415">
        <f ca="1"/>
        <v>5200</v>
      </c>
      <c r="R415">
        <f ca="1"/>
        <v>0</v>
      </c>
    </row>
    <row r="416" spans="2:18">
      <c r="B416" t="str">
        <f ca="1"/>
        <v>C39-JULY</v>
      </c>
      <c r="C416" s="209">
        <f ca="1"/>
        <v>46223</v>
      </c>
      <c r="D416" t="str">
        <f ca="1"/>
        <v>1,2,3,4</v>
      </c>
      <c r="E416" t="str">
        <f ca="1"/>
        <v>C39</v>
      </c>
      <c r="F416" t="str">
        <f ca="1"/>
        <v>khapli</v>
      </c>
      <c r="G416" s="210">
        <f ca="1"/>
        <v>11500</v>
      </c>
      <c r="H416" s="210">
        <f ca="1"/>
        <v>160</v>
      </c>
      <c r="I416" s="210">
        <f ca="1"/>
        <v>519</v>
      </c>
      <c r="J416" s="210">
        <f ca="1"/>
        <v>42</v>
      </c>
      <c r="K416" s="210">
        <f ca="1"/>
        <v>279</v>
      </c>
      <c r="L416" s="210">
        <f ca="1"/>
        <v>1000</v>
      </c>
      <c r="M416" s="210">
        <f ca="1"/>
        <v>10500</v>
      </c>
      <c r="N416" s="210">
        <f ca="1"/>
        <v>5</v>
      </c>
      <c r="O416" t="str">
        <f ca="1"/>
        <v>Day</v>
      </c>
      <c r="P416" s="211">
        <f ca="1"/>
        <v>0.91304347826086951</v>
      </c>
      <c r="Q416">
        <f ca="1"/>
        <v>11500</v>
      </c>
      <c r="R416">
        <f ca="1"/>
        <v>0</v>
      </c>
    </row>
    <row r="417" spans="2:18">
      <c r="B417" t="str">
        <f ca="1"/>
        <v>C39-JULY</v>
      </c>
      <c r="C417" s="209">
        <f ca="1"/>
        <v>46224</v>
      </c>
      <c r="D417" t="str">
        <f ca="1"/>
        <v>1,2,3,4</v>
      </c>
      <c r="E417" t="str">
        <f ca="1"/>
        <v>C39</v>
      </c>
      <c r="F417" t="str">
        <f ca="1"/>
        <v>khapli</v>
      </c>
      <c r="G417" s="210">
        <f ca="1"/>
        <v>9120</v>
      </c>
      <c r="H417" s="210">
        <f ca="1"/>
        <v>55</v>
      </c>
      <c r="I417" s="210">
        <f ca="1"/>
        <v>114</v>
      </c>
      <c r="J417" s="210">
        <f ca="1"/>
        <v>25</v>
      </c>
      <c r="K417" s="210">
        <f ca="1"/>
        <v>406</v>
      </c>
      <c r="L417" s="210">
        <f ca="1"/>
        <v>600</v>
      </c>
      <c r="M417" s="210">
        <f ca="1"/>
        <v>8520</v>
      </c>
      <c r="N417" s="210">
        <f ca="1"/>
        <v>5</v>
      </c>
      <c r="O417" t="str">
        <f ca="1"/>
        <v>Day</v>
      </c>
      <c r="P417" s="211">
        <f ca="1"/>
        <v>0.93421052631578949</v>
      </c>
      <c r="Q417">
        <f ca="1"/>
        <v>9120</v>
      </c>
      <c r="R417">
        <f ca="1"/>
        <v>0</v>
      </c>
    </row>
    <row r="418" spans="2:18">
      <c r="B418" t="str">
        <f ca="1"/>
        <v>C39-JULY</v>
      </c>
      <c r="C418" s="209">
        <f ca="1"/>
        <v>46224</v>
      </c>
      <c r="D418" t="str">
        <f ca="1"/>
        <v>1,2,3,4</v>
      </c>
      <c r="E418" t="str">
        <f ca="1"/>
        <v>C39</v>
      </c>
      <c r="F418" t="str">
        <f ca="1"/>
        <v>khapli</v>
      </c>
      <c r="G418" s="210">
        <f ca="1"/>
        <v>3550</v>
      </c>
      <c r="H418" s="210">
        <f ca="1"/>
        <v>28</v>
      </c>
      <c r="I418" s="210">
        <f ca="1"/>
        <v>140</v>
      </c>
      <c r="J418" s="210">
        <f ca="1"/>
        <v>24</v>
      </c>
      <c r="K418" s="210">
        <f ca="1"/>
        <v>108</v>
      </c>
      <c r="L418" s="210">
        <f ca="1"/>
        <v>300</v>
      </c>
      <c r="M418" s="210">
        <f ca="1"/>
        <v>3250</v>
      </c>
      <c r="N418" s="210">
        <f ca="1"/>
        <v>5</v>
      </c>
      <c r="O418" t="str">
        <f ca="1"/>
        <v>Night</v>
      </c>
      <c r="P418" s="211">
        <f ca="1"/>
        <v>0.91549295774647887</v>
      </c>
      <c r="Q418">
        <f ca="1"/>
        <v>3550</v>
      </c>
      <c r="R418">
        <f ca="1"/>
        <v>0</v>
      </c>
    </row>
    <row r="419" spans="2:18">
      <c r="B419" t="str">
        <f ca="1"/>
        <v>C39-JULY</v>
      </c>
      <c r="C419" s="209">
        <f ca="1"/>
        <v>46225</v>
      </c>
      <c r="D419" t="str">
        <f ca="1"/>
        <v>1,2,3,4</v>
      </c>
      <c r="E419" t="str">
        <f ca="1"/>
        <v>C39</v>
      </c>
      <c r="F419" t="str">
        <f ca="1"/>
        <v>multgrain</v>
      </c>
      <c r="G419" s="210">
        <f ca="1"/>
        <v>9200</v>
      </c>
      <c r="H419" s="210">
        <f ca="1"/>
        <v>0</v>
      </c>
      <c r="I419" s="210">
        <f ca="1"/>
        <v>551</v>
      </c>
      <c r="J419" s="210">
        <f ca="1"/>
        <v>88</v>
      </c>
      <c r="K419" s="210">
        <f ca="1"/>
        <v>161</v>
      </c>
      <c r="L419" s="210">
        <f ca="1"/>
        <v>800</v>
      </c>
      <c r="M419" s="210">
        <f ca="1"/>
        <v>8400</v>
      </c>
      <c r="N419" s="210">
        <f ca="1"/>
        <v>8</v>
      </c>
      <c r="O419" t="str">
        <f ca="1"/>
        <v>Day</v>
      </c>
      <c r="P419" s="211">
        <f ca="1"/>
        <v>0.91304347826086951</v>
      </c>
      <c r="Q419">
        <f ca="1"/>
        <v>9200</v>
      </c>
      <c r="R419">
        <f ca="1"/>
        <v>0</v>
      </c>
    </row>
    <row r="420" spans="2:18">
      <c r="B420" t="str">
        <f ca="1"/>
        <v>C39-JULY</v>
      </c>
      <c r="C420" s="209">
        <f ca="1"/>
        <v>46226</v>
      </c>
      <c r="D420" t="str">
        <f ca="1"/>
        <v>1,2,3,4</v>
      </c>
      <c r="E420" t="str">
        <f ca="1"/>
        <v>C39</v>
      </c>
      <c r="F420" t="str">
        <f ca="1"/>
        <v>multgrain</v>
      </c>
      <c r="G420" s="210">
        <f ca="1"/>
        <v>7850</v>
      </c>
      <c r="H420" s="210">
        <f ca="1"/>
        <v>30</v>
      </c>
      <c r="I420" s="210">
        <f ca="1"/>
        <v>498</v>
      </c>
      <c r="J420" s="210">
        <f ca="1"/>
        <v>53</v>
      </c>
      <c r="K420" s="210">
        <f ca="1"/>
        <v>219</v>
      </c>
      <c r="L420" s="210">
        <f ca="1"/>
        <v>800</v>
      </c>
      <c r="M420" s="210">
        <f ca="1"/>
        <v>7050</v>
      </c>
      <c r="N420" s="210">
        <f ca="1"/>
        <v>7</v>
      </c>
      <c r="O420" t="str">
        <f ca="1"/>
        <v>DAY</v>
      </c>
      <c r="P420" s="211">
        <f ca="1"/>
        <v>0.89808917197452232</v>
      </c>
      <c r="Q420">
        <f ca="1"/>
        <v>7850</v>
      </c>
      <c r="R420">
        <f ca="1"/>
        <v>0</v>
      </c>
    </row>
    <row r="421" spans="2:18">
      <c r="B421" t="str">
        <f ca="1"/>
        <v>C39-JULY</v>
      </c>
      <c r="C421" s="209">
        <f ca="1"/>
        <v>46227</v>
      </c>
      <c r="D421" t="str">
        <f ca="1"/>
        <v>1,2,3,4</v>
      </c>
      <c r="E421" t="str">
        <f ca="1"/>
        <v>C39</v>
      </c>
      <c r="F421" t="str">
        <f ca="1"/>
        <v>multgrain</v>
      </c>
      <c r="G421" s="210">
        <f ca="1"/>
        <v>4880</v>
      </c>
      <c r="H421" s="210">
        <f ca="1"/>
        <v>18</v>
      </c>
      <c r="I421" s="210">
        <f ca="1"/>
        <v>197</v>
      </c>
      <c r="J421" s="210">
        <f ca="1"/>
        <v>26</v>
      </c>
      <c r="K421" s="210">
        <f ca="1"/>
        <v>149</v>
      </c>
      <c r="L421" s="210">
        <f ca="1"/>
        <v>390</v>
      </c>
      <c r="M421" s="210">
        <f ca="1"/>
        <v>4490</v>
      </c>
      <c r="N421" s="210">
        <f ca="1"/>
        <v>5</v>
      </c>
      <c r="O421" t="str">
        <f ca="1"/>
        <v>Day</v>
      </c>
      <c r="P421" s="211">
        <f ca="1"/>
        <v>0.92008196721311475</v>
      </c>
      <c r="Q421">
        <f ca="1"/>
        <v>4880</v>
      </c>
      <c r="R421">
        <f ca="1"/>
        <v>0</v>
      </c>
    </row>
    <row r="422" spans="2:18">
      <c r="B422" t="str">
        <f ca="1"/>
        <v>C39-JULY</v>
      </c>
      <c r="C422" s="209">
        <f ca="1"/>
        <v>46228</v>
      </c>
      <c r="D422" t="str">
        <f ca="1"/>
        <v>1,2,3,4</v>
      </c>
      <c r="E422" t="str">
        <f ca="1"/>
        <v>C39</v>
      </c>
      <c r="F422" t="str">
        <f ca="1"/>
        <v>multgrain</v>
      </c>
      <c r="G422" s="210">
        <f ca="1"/>
        <v>3800</v>
      </c>
      <c r="H422" s="210">
        <f ca="1"/>
        <v>15</v>
      </c>
      <c r="I422" s="210">
        <f ca="1"/>
        <v>208</v>
      </c>
      <c r="J422" s="210">
        <f ca="1"/>
        <v>11</v>
      </c>
      <c r="K422" s="210">
        <f ca="1"/>
        <v>100</v>
      </c>
      <c r="L422" s="210">
        <f ca="1"/>
        <v>334</v>
      </c>
      <c r="M422" s="210">
        <f ca="1"/>
        <v>3466</v>
      </c>
      <c r="N422" s="210">
        <f ca="1"/>
        <v>5</v>
      </c>
      <c r="O422" t="str">
        <f ca="1"/>
        <v>Day</v>
      </c>
      <c r="P422" s="211">
        <f ca="1"/>
        <v>0.91210526315789475</v>
      </c>
      <c r="Q422">
        <f ca="1"/>
        <v>3800</v>
      </c>
      <c r="R422">
        <f ca="1"/>
        <v>0</v>
      </c>
    </row>
    <row r="423" spans="2:18">
      <c r="B423" t="str">
        <f ca="1"/>
        <v>C39-JULY</v>
      </c>
      <c r="C423" s="209">
        <f ca="1"/>
        <v>46230</v>
      </c>
      <c r="D423" t="str">
        <f ca="1"/>
        <v>1,2,3,4</v>
      </c>
      <c r="E423" t="str">
        <f ca="1"/>
        <v>C39</v>
      </c>
      <c r="F423" t="str">
        <f ca="1"/>
        <v>multgrain</v>
      </c>
      <c r="G423" s="210">
        <f ca="1"/>
        <v>6600</v>
      </c>
      <c r="H423" s="210">
        <f ca="1"/>
        <v>10</v>
      </c>
      <c r="I423" s="210">
        <f ca="1"/>
        <v>226</v>
      </c>
      <c r="J423" s="210">
        <f ca="1"/>
        <v>26</v>
      </c>
      <c r="K423" s="210">
        <f ca="1"/>
        <v>138</v>
      </c>
      <c r="L423" s="210">
        <f ca="1"/>
        <v>400</v>
      </c>
      <c r="M423" s="210">
        <f ca="1"/>
        <v>6200</v>
      </c>
      <c r="N423" s="210">
        <f ca="1"/>
        <v>5</v>
      </c>
      <c r="O423" t="str">
        <f ca="1"/>
        <v>Day</v>
      </c>
      <c r="P423" s="211">
        <f ca="1"/>
        <v>0.93939393939393945</v>
      </c>
      <c r="Q423">
        <f ca="1"/>
        <v>6600</v>
      </c>
      <c r="R423">
        <f ca="1"/>
        <v>0</v>
      </c>
    </row>
    <row r="424" spans="2:18">
      <c r="B424" t="str">
        <f ca="1"/>
        <v>C39-JULY</v>
      </c>
      <c r="C424" s="209">
        <f ca="1"/>
        <v>46231</v>
      </c>
      <c r="D424" t="str">
        <f ca="1"/>
        <v>1,2,3,4</v>
      </c>
      <c r="E424" t="str">
        <f ca="1"/>
        <v>C39</v>
      </c>
      <c r="F424" t="str">
        <f ca="1"/>
        <v>multgrain</v>
      </c>
      <c r="G424" s="210">
        <f ca="1"/>
        <v>3900</v>
      </c>
      <c r="H424" s="210">
        <f ca="1"/>
        <v>12</v>
      </c>
      <c r="I424" s="210">
        <f ca="1"/>
        <v>165</v>
      </c>
      <c r="J424" s="210">
        <f ca="1"/>
        <v>18</v>
      </c>
      <c r="K424" s="210">
        <f ca="1"/>
        <v>135</v>
      </c>
      <c r="L424" s="210">
        <f ca="1"/>
        <v>330</v>
      </c>
      <c r="M424" s="210">
        <f ca="1"/>
        <v>3570</v>
      </c>
      <c r="N424" s="210">
        <f ca="1"/>
        <v>5</v>
      </c>
      <c r="O424" t="str">
        <f ca="1"/>
        <v>DAY</v>
      </c>
      <c r="P424" s="211">
        <f ca="1"/>
        <v>0.91538461538461535</v>
      </c>
      <c r="Q424">
        <f ca="1"/>
        <v>3900</v>
      </c>
      <c r="R424">
        <f ca="1"/>
        <v>0</v>
      </c>
    </row>
    <row r="425" spans="2:18">
      <c r="B425" t="str">
        <f ca="1"/>
        <v>C39-JULY</v>
      </c>
      <c r="C425" s="209">
        <f ca="1"/>
        <v>46232</v>
      </c>
      <c r="D425" t="str">
        <f ca="1"/>
        <v>1,2,3,4</v>
      </c>
      <c r="E425" t="str">
        <f ca="1"/>
        <v>C39</v>
      </c>
      <c r="F425" t="str">
        <f ca="1"/>
        <v>multgrain</v>
      </c>
      <c r="G425" s="210">
        <f ca="1"/>
        <v>6600</v>
      </c>
      <c r="H425" s="210">
        <f ca="1"/>
        <v>14</v>
      </c>
      <c r="I425" s="210">
        <f ca="1"/>
        <v>178</v>
      </c>
      <c r="J425" s="210">
        <f ca="1"/>
        <v>28</v>
      </c>
      <c r="K425" s="210">
        <f ca="1"/>
        <v>180</v>
      </c>
      <c r="L425" s="210">
        <f ca="1"/>
        <v>400</v>
      </c>
      <c r="M425" s="210">
        <f ca="1"/>
        <v>6200</v>
      </c>
      <c r="N425" s="210">
        <f ca="1"/>
        <v>7</v>
      </c>
      <c r="O425" t="str">
        <f ca="1"/>
        <v>DAY</v>
      </c>
      <c r="P425" s="211">
        <f ca="1"/>
        <v>0.93939393939393945</v>
      </c>
      <c r="Q425">
        <f ca="1"/>
        <v>6600</v>
      </c>
      <c r="R425">
        <f ca="1"/>
        <v>0</v>
      </c>
    </row>
    <row r="426" spans="2:18">
      <c r="B426" t="str">
        <f ca="1"/>
        <v>C39-JULY</v>
      </c>
      <c r="C426" s="209">
        <f ca="1"/>
        <v>46233</v>
      </c>
      <c r="D426" t="str">
        <f ca="1"/>
        <v>1,2,3,4</v>
      </c>
      <c r="E426" t="str">
        <f ca="1"/>
        <v>C39</v>
      </c>
      <c r="F426" t="str">
        <f ca="1"/>
        <v>multgrain</v>
      </c>
      <c r="G426" s="210">
        <f ca="1"/>
        <v>8250</v>
      </c>
      <c r="H426" s="210">
        <f ca="1"/>
        <v>28</v>
      </c>
      <c r="I426" s="210">
        <f ca="1"/>
        <v>497</v>
      </c>
      <c r="J426" s="210">
        <f ca="1"/>
        <v>39</v>
      </c>
      <c r="K426" s="210">
        <f ca="1"/>
        <v>186</v>
      </c>
      <c r="L426" s="210">
        <f ca="1"/>
        <v>750</v>
      </c>
      <c r="M426" s="210">
        <f ca="1"/>
        <v>7500</v>
      </c>
      <c r="N426" s="210">
        <f ca="1"/>
        <v>7</v>
      </c>
      <c r="O426" t="str">
        <f ca="1"/>
        <v>Day</v>
      </c>
      <c r="P426" s="211">
        <f ca="1"/>
        <v>0.90909090909090906</v>
      </c>
      <c r="Q426">
        <f ca="1"/>
        <v>8250</v>
      </c>
      <c r="R426">
        <f ca="1"/>
        <v>0</v>
      </c>
    </row>
    <row r="427" spans="2:18">
      <c r="B427" t="str">
        <f ca="1"/>
        <v>C39-JULY</v>
      </c>
      <c r="C427" s="209">
        <f ca="1"/>
        <v>46234</v>
      </c>
      <c r="D427" t="str">
        <f ca="1"/>
        <v>1,2,3,4</v>
      </c>
      <c r="E427" t="str">
        <f ca="1"/>
        <v>C39</v>
      </c>
      <c r="F427" t="str">
        <f ca="1"/>
        <v>multgrain</v>
      </c>
      <c r="G427" s="210">
        <f ca="1"/>
        <v>3950</v>
      </c>
      <c r="H427" s="210">
        <f ca="1"/>
        <v>25</v>
      </c>
      <c r="I427" s="210">
        <f ca="1"/>
        <v>246</v>
      </c>
      <c r="J427" s="210">
        <f ca="1"/>
        <v>27</v>
      </c>
      <c r="K427" s="210">
        <f ca="1"/>
        <v>52</v>
      </c>
      <c r="L427" s="210">
        <f ca="1"/>
        <v>350</v>
      </c>
      <c r="M427" s="210">
        <f ca="1"/>
        <v>3600</v>
      </c>
      <c r="N427" s="210">
        <f ca="1"/>
        <v>7</v>
      </c>
      <c r="O427" t="str">
        <f ca="1"/>
        <v>day</v>
      </c>
      <c r="P427" s="211">
        <f ca="1"/>
        <v>0.91139240506329111</v>
      </c>
      <c r="Q427">
        <f ca="1"/>
        <v>3950</v>
      </c>
      <c r="R427">
        <f ca="1"/>
        <v>0</v>
      </c>
    </row>
    <row r="428" spans="2:18">
      <c r="B428" t="str">
        <f ca="1"/>
        <v>C6-AUG</v>
      </c>
      <c r="C428" s="209">
        <f ca="1"/>
        <v>46235</v>
      </c>
      <c r="D428" t="str">
        <f ca="1"/>
        <v>chakki1,2,3</v>
      </c>
      <c r="E428" t="str">
        <f ca="1"/>
        <v>C6 New Plant</v>
      </c>
      <c r="F428" t="str">
        <f ca="1"/>
        <v>Khapli Protein Grains</v>
      </c>
      <c r="G428" s="210">
        <f ca="1"/>
        <v>2570.5</v>
      </c>
      <c r="H428" s="210">
        <f ca="1"/>
        <v>0</v>
      </c>
      <c r="I428" s="210">
        <f ca="1"/>
        <v>82</v>
      </c>
      <c r="J428" s="210">
        <f ca="1"/>
        <v>3</v>
      </c>
      <c r="K428" s="210">
        <f ca="1"/>
        <v>76.5</v>
      </c>
      <c r="L428" s="210">
        <f ca="1"/>
        <v>161.5</v>
      </c>
      <c r="M428" s="210">
        <f ca="1"/>
        <v>2409</v>
      </c>
      <c r="N428" s="210">
        <f ca="1"/>
        <v>3</v>
      </c>
      <c r="O428" t="str">
        <f ca="1"/>
        <v>Day</v>
      </c>
      <c r="P428" s="211">
        <f ca="1"/>
        <v>0.9371717564676133</v>
      </c>
      <c r="Q428">
        <f ca="1"/>
        <v>2570.5</v>
      </c>
      <c r="R428">
        <f ca="1"/>
        <v>0</v>
      </c>
    </row>
    <row r="429" spans="2:18">
      <c r="B429" t="str">
        <f ca="1"/>
        <v>C6-AUG</v>
      </c>
      <c r="C429" s="209">
        <f ca="1"/>
        <v>46235</v>
      </c>
      <c r="D429" t="str">
        <f ca="1"/>
        <v>chakki1,2,3</v>
      </c>
      <c r="E429" t="str">
        <f ca="1"/>
        <v>C6 Old Plant</v>
      </c>
      <c r="F429" t="str">
        <f ca="1"/>
        <v>Jowar Grains</v>
      </c>
      <c r="G429" s="210">
        <f ca="1"/>
        <v>914</v>
      </c>
      <c r="H429" s="210">
        <f ca="1"/>
        <v>0</v>
      </c>
      <c r="I429" s="210">
        <f ca="1"/>
        <v>12</v>
      </c>
      <c r="J429" s="210">
        <f ca="1"/>
        <v>2</v>
      </c>
      <c r="K429" s="210">
        <f ca="1"/>
        <v>60</v>
      </c>
      <c r="L429" s="210">
        <f ca="1"/>
        <v>74</v>
      </c>
      <c r="M429" s="210">
        <f ca="1"/>
        <v>840</v>
      </c>
      <c r="N429" s="210">
        <f ca="1"/>
        <v>3</v>
      </c>
      <c r="O429" t="str">
        <f ca="1"/>
        <v>Day</v>
      </c>
      <c r="P429" s="211">
        <f ca="1"/>
        <v>0.91903719912472648</v>
      </c>
      <c r="Q429">
        <f ca="1"/>
        <v>914</v>
      </c>
      <c r="R429">
        <f ca="1"/>
        <v>0</v>
      </c>
    </row>
    <row r="430" spans="2:18">
      <c r="B430" t="str">
        <f ca="1"/>
        <v>C6-AUG</v>
      </c>
      <c r="C430" s="209">
        <f ca="1"/>
        <v>46237</v>
      </c>
      <c r="D430" t="str">
        <f ca="1"/>
        <v>chakki1,2,3</v>
      </c>
      <c r="E430" t="str">
        <f ca="1"/>
        <v>C6 New Plant</v>
      </c>
      <c r="F430" t="str">
        <f ca="1"/>
        <v>Khapli Protein Grains</v>
      </c>
      <c r="G430" s="210">
        <f ca="1"/>
        <v>3977</v>
      </c>
      <c r="H430" s="210">
        <f ca="1"/>
        <v>0</v>
      </c>
      <c r="I430" s="210">
        <f ca="1"/>
        <v>123</v>
      </c>
      <c r="J430" s="210">
        <f ca="1"/>
        <v>3</v>
      </c>
      <c r="K430" s="210">
        <f ca="1"/>
        <v>161</v>
      </c>
      <c r="L430" s="210">
        <f ca="1"/>
        <v>287</v>
      </c>
      <c r="M430" s="210">
        <f ca="1"/>
        <v>3690</v>
      </c>
      <c r="N430" s="210">
        <f ca="1"/>
        <v>2</v>
      </c>
      <c r="O430" t="str">
        <f ca="1"/>
        <v>Day</v>
      </c>
      <c r="P430" s="211">
        <f ca="1"/>
        <v>0.92783505154639179</v>
      </c>
      <c r="Q430">
        <f ca="1"/>
        <v>3977</v>
      </c>
      <c r="R430">
        <f ca="1"/>
        <v>0</v>
      </c>
    </row>
    <row r="431" spans="2:18">
      <c r="B431" t="str">
        <f ca="1"/>
        <v>C6-AUG</v>
      </c>
      <c r="C431" s="209">
        <f ca="1"/>
        <v>46237</v>
      </c>
      <c r="D431" t="str">
        <f ca="1"/>
        <v>chakki1,2,3</v>
      </c>
      <c r="E431" t="str">
        <f ca="1"/>
        <v>C6 Old Plant</v>
      </c>
      <c r="F431" t="str">
        <f ca="1"/>
        <v>Jowar Grains</v>
      </c>
      <c r="G431" s="210">
        <f ca="1"/>
        <v>850</v>
      </c>
      <c r="H431" s="210">
        <f ca="1"/>
        <v>0</v>
      </c>
      <c r="I431" s="210">
        <f ca="1"/>
        <v>3</v>
      </c>
      <c r="J431" s="210">
        <f ca="1"/>
        <v>1</v>
      </c>
      <c r="K431" s="210">
        <f ca="1"/>
        <v>31</v>
      </c>
      <c r="L431" s="210">
        <f ca="1"/>
        <v>35</v>
      </c>
      <c r="M431" s="210">
        <f ca="1"/>
        <v>815</v>
      </c>
      <c r="N431" s="210">
        <f ca="1"/>
        <v>2</v>
      </c>
      <c r="O431" t="str">
        <f ca="1"/>
        <v>Day</v>
      </c>
      <c r="P431" s="211">
        <f ca="1"/>
        <v>0.95882352941176474</v>
      </c>
      <c r="Q431">
        <f ca="1"/>
        <v>850</v>
      </c>
      <c r="R431">
        <f ca="1"/>
        <v>0</v>
      </c>
    </row>
    <row r="432" spans="2:18">
      <c r="B432" t="str">
        <f ca="1"/>
        <v>C6-AUG</v>
      </c>
      <c r="C432" s="209">
        <f ca="1"/>
        <v>46238</v>
      </c>
      <c r="D432" t="str">
        <f ca="1"/>
        <v>chakki1,2,3</v>
      </c>
      <c r="E432" t="str">
        <f ca="1"/>
        <v>C6 New Plant</v>
      </c>
      <c r="F432" t="str">
        <f ca="1"/>
        <v>Khapli Protein Grains</v>
      </c>
      <c r="G432" s="210">
        <f ca="1"/>
        <v>3977</v>
      </c>
      <c r="H432" s="210">
        <f ca="1"/>
        <v>1</v>
      </c>
      <c r="I432" s="210">
        <f ca="1"/>
        <v>111</v>
      </c>
      <c r="J432" s="210">
        <f ca="1"/>
        <v>3</v>
      </c>
      <c r="K432" s="210">
        <f ca="1"/>
        <v>112</v>
      </c>
      <c r="L432" s="210">
        <f ca="1"/>
        <v>227</v>
      </c>
      <c r="M432" s="210">
        <f ca="1"/>
        <v>3750</v>
      </c>
      <c r="N432" s="210">
        <f ca="1"/>
        <v>3</v>
      </c>
      <c r="O432" t="str">
        <f ca="1"/>
        <v>Day</v>
      </c>
      <c r="P432" s="211">
        <f ca="1"/>
        <v>0.94292180035202411</v>
      </c>
      <c r="Q432">
        <f ca="1"/>
        <v>3977</v>
      </c>
      <c r="R432">
        <f ca="1"/>
        <v>0</v>
      </c>
    </row>
    <row r="433" spans="2:18">
      <c r="B433" t="str">
        <f ca="1"/>
        <v>C6-AUG</v>
      </c>
      <c r="C433" s="209">
        <f ca="1"/>
        <v>46238</v>
      </c>
      <c r="D433" t="str">
        <f ca="1"/>
        <v>chakki1,2,3</v>
      </c>
      <c r="E433" t="str">
        <f ca="1"/>
        <v>C6 Old Plant</v>
      </c>
      <c r="F433" t="str">
        <f ca="1"/>
        <v>Jowar Grains</v>
      </c>
      <c r="G433" s="210">
        <f ca="1"/>
        <v>1600</v>
      </c>
      <c r="H433" s="210">
        <f ca="1"/>
        <v>0</v>
      </c>
      <c r="I433" s="210">
        <f ca="1"/>
        <v>6</v>
      </c>
      <c r="J433" s="210">
        <f ca="1"/>
        <v>2</v>
      </c>
      <c r="K433" s="210">
        <f ca="1"/>
        <v>48</v>
      </c>
      <c r="L433" s="210">
        <f ca="1"/>
        <v>56</v>
      </c>
      <c r="M433" s="210">
        <f ca="1"/>
        <v>1544</v>
      </c>
      <c r="N433" s="210">
        <f ca="1"/>
        <v>3</v>
      </c>
      <c r="O433" t="str">
        <f ca="1"/>
        <v>Day</v>
      </c>
      <c r="P433" s="211">
        <f ca="1"/>
        <v>0.96499999999999997</v>
      </c>
      <c r="Q433">
        <f ca="1"/>
        <v>1600</v>
      </c>
      <c r="R433">
        <f ca="1"/>
        <v>0</v>
      </c>
    </row>
    <row r="434" spans="2:18">
      <c r="B434" t="str">
        <f ca="1"/>
        <v>C6-AUG</v>
      </c>
      <c r="C434" s="209">
        <f ca="1"/>
        <v>46239</v>
      </c>
      <c r="D434" t="str">
        <f ca="1"/>
        <v>chakki1,2,3</v>
      </c>
      <c r="E434" t="str">
        <f ca="1"/>
        <v>C6 Old Plant</v>
      </c>
      <c r="F434" t="str">
        <f ca="1"/>
        <v>Khapli Protein Grains</v>
      </c>
      <c r="G434" s="210">
        <f ca="1"/>
        <v>4462</v>
      </c>
      <c r="H434" s="210">
        <f ca="1"/>
        <v>1</v>
      </c>
      <c r="I434" s="210">
        <f ca="1"/>
        <v>173</v>
      </c>
      <c r="J434" s="210">
        <f ca="1"/>
        <v>2</v>
      </c>
      <c r="K434" s="210">
        <f ca="1"/>
        <v>193</v>
      </c>
      <c r="L434" s="210">
        <f ca="1"/>
        <v>369</v>
      </c>
      <c r="M434" s="210">
        <f ca="1"/>
        <v>4093</v>
      </c>
      <c r="N434" s="210">
        <f ca="1"/>
        <v>3</v>
      </c>
      <c r="O434" t="str">
        <f ca="1"/>
        <v>Day</v>
      </c>
      <c r="P434" s="211">
        <f ca="1"/>
        <v>0.91730165844912592</v>
      </c>
      <c r="Q434">
        <f ca="1"/>
        <v>4462</v>
      </c>
      <c r="R434">
        <f ca="1"/>
        <v>0</v>
      </c>
    </row>
    <row r="435" spans="2:18">
      <c r="B435" t="str">
        <f ca="1"/>
        <v>C6-AUG</v>
      </c>
      <c r="C435" s="209">
        <f ca="1"/>
        <v>46241</v>
      </c>
      <c r="D435" t="str">
        <f ca="1"/>
        <v>chakki1,2,3</v>
      </c>
      <c r="E435" t="str">
        <f ca="1"/>
        <v>C6 New Plant</v>
      </c>
      <c r="F435" t="str">
        <f ca="1"/>
        <v>Khapli Protein Grains 60%</v>
      </c>
      <c r="G435" s="210">
        <f ca="1"/>
        <v>2565</v>
      </c>
      <c r="H435" s="210">
        <f ca="1"/>
        <v>1</v>
      </c>
      <c r="I435" s="210">
        <f ca="1"/>
        <v>91</v>
      </c>
      <c r="J435" s="210">
        <f ca="1"/>
        <v>2</v>
      </c>
      <c r="K435" s="210">
        <f ca="1"/>
        <v>31</v>
      </c>
      <c r="L435" s="210">
        <f ca="1"/>
        <v>125</v>
      </c>
      <c r="M435" s="210">
        <f ca="1"/>
        <v>2440</v>
      </c>
      <c r="N435" s="210">
        <f ca="1"/>
        <v>3</v>
      </c>
      <c r="O435" t="str">
        <f ca="1"/>
        <v>Day</v>
      </c>
      <c r="P435" s="211">
        <f ca="1"/>
        <v>0.95126705653021437</v>
      </c>
      <c r="Q435">
        <f ca="1"/>
        <v>2565</v>
      </c>
      <c r="R435">
        <f ca="1"/>
        <v>0</v>
      </c>
    </row>
    <row r="436" spans="2:18">
      <c r="B436" t="str">
        <f ca="1"/>
        <v>C6-AUG</v>
      </c>
      <c r="C436" s="209">
        <f ca="1"/>
        <v>46241</v>
      </c>
      <c r="D436" t="str">
        <f ca="1"/>
        <v>chakki1,2,3</v>
      </c>
      <c r="E436" t="str">
        <f ca="1"/>
        <v>C6 New Plant</v>
      </c>
      <c r="F436" t="str">
        <f ca="1"/>
        <v>Khapli Protein Grains</v>
      </c>
      <c r="G436" s="210">
        <f ca="1"/>
        <v>1697.5</v>
      </c>
      <c r="H436" s="210">
        <f ca="1"/>
        <v>0</v>
      </c>
      <c r="I436" s="210">
        <f ca="1"/>
        <v>56</v>
      </c>
      <c r="J436" s="210">
        <f ca="1"/>
        <v>2</v>
      </c>
      <c r="K436" s="210">
        <f ca="1"/>
        <v>83.5</v>
      </c>
      <c r="L436" s="210">
        <f ca="1"/>
        <v>141.5</v>
      </c>
      <c r="M436" s="210">
        <f ca="1"/>
        <v>1556</v>
      </c>
      <c r="N436" s="210">
        <f ca="1"/>
        <v>3</v>
      </c>
      <c r="O436" t="str">
        <f ca="1"/>
        <v>Day</v>
      </c>
      <c r="P436" s="211">
        <f ca="1"/>
        <v>0.91664212076583207</v>
      </c>
      <c r="Q436">
        <f ca="1"/>
        <v>1697.5</v>
      </c>
      <c r="R436">
        <f ca="1"/>
        <v>0</v>
      </c>
    </row>
    <row r="437" spans="2:18">
      <c r="B437" t="str">
        <f ca="1"/>
        <v>C6-AUG</v>
      </c>
      <c r="C437" s="209">
        <f ca="1"/>
        <v>46242</v>
      </c>
      <c r="D437" t="str">
        <f ca="1"/>
        <v>chakki1,2,3</v>
      </c>
      <c r="E437" t="str">
        <f ca="1"/>
        <v>C6 New Plant</v>
      </c>
      <c r="F437" t="str">
        <f ca="1"/>
        <v>Khapli Protein Grains 60%</v>
      </c>
      <c r="G437" s="210">
        <f ca="1"/>
        <v>2422.5</v>
      </c>
      <c r="H437" s="210">
        <f ca="1"/>
        <v>0</v>
      </c>
      <c r="I437" s="210">
        <f ca="1"/>
        <v>52</v>
      </c>
      <c r="J437" s="210">
        <f ca="1"/>
        <v>2</v>
      </c>
      <c r="K437" s="210">
        <f ca="1"/>
        <v>59.5</v>
      </c>
      <c r="L437" s="210">
        <f ca="1"/>
        <v>113.5</v>
      </c>
      <c r="M437" s="210">
        <f ca="1"/>
        <v>2309</v>
      </c>
      <c r="N437" s="210">
        <f ca="1"/>
        <v>3</v>
      </c>
      <c r="O437" t="str">
        <f ca="1"/>
        <v>Day</v>
      </c>
      <c r="P437" s="211">
        <f ca="1"/>
        <v>0.95314757481940149</v>
      </c>
      <c r="Q437">
        <f ca="1"/>
        <v>2422.5</v>
      </c>
      <c r="R437">
        <f ca="1"/>
        <v>0</v>
      </c>
    </row>
    <row r="438" spans="2:18">
      <c r="B438" t="str">
        <f ca="1"/>
        <v>C6-AUG</v>
      </c>
      <c r="C438" s="209">
        <f ca="1"/>
        <v>46242</v>
      </c>
      <c r="D438" t="str">
        <f ca="1"/>
        <v>chakki1,2,3</v>
      </c>
      <c r="E438" t="str">
        <f ca="1"/>
        <v>C6 Old Plant</v>
      </c>
      <c r="F438" t="str">
        <f ca="1"/>
        <v>Khapli Protein Grains</v>
      </c>
      <c r="G438" s="210">
        <f ca="1"/>
        <v>1503.5</v>
      </c>
      <c r="H438" s="210">
        <f ca="1"/>
        <v>1</v>
      </c>
      <c r="I438" s="210">
        <f ca="1"/>
        <v>49</v>
      </c>
      <c r="J438" s="210">
        <f ca="1"/>
        <v>2</v>
      </c>
      <c r="K438" s="210">
        <f ca="1"/>
        <v>59.5</v>
      </c>
      <c r="L438" s="210">
        <f ca="1"/>
        <v>111.5</v>
      </c>
      <c r="M438" s="210">
        <f ca="1"/>
        <v>1392</v>
      </c>
      <c r="N438" s="210">
        <f ca="1"/>
        <v>3</v>
      </c>
      <c r="O438" t="str">
        <f ca="1"/>
        <v>Day</v>
      </c>
      <c r="P438" s="211">
        <f ca="1"/>
        <v>0.92583970734951782</v>
      </c>
      <c r="Q438">
        <f ca="1"/>
        <v>1503.5</v>
      </c>
      <c r="R438">
        <f ca="1"/>
        <v>0</v>
      </c>
    </row>
    <row r="439" spans="2:18">
      <c r="B439" t="str">
        <f ca="1"/>
        <v>C6-AUG</v>
      </c>
      <c r="C439" s="209">
        <f ca="1"/>
        <v>46243</v>
      </c>
      <c r="D439" t="str">
        <f ca="1"/>
        <v>chakki1,2,3</v>
      </c>
      <c r="E439" t="str">
        <f ca="1"/>
        <v>C6 Old Plant</v>
      </c>
      <c r="F439" t="str">
        <f ca="1"/>
        <v>Khapli Protein Grains</v>
      </c>
      <c r="G439" s="210">
        <f ca="1"/>
        <v>3201</v>
      </c>
      <c r="H439" s="210">
        <f ca="1"/>
        <v>1</v>
      </c>
      <c r="I439" s="210">
        <f ca="1"/>
        <v>63</v>
      </c>
      <c r="J439" s="210">
        <f ca="1"/>
        <v>6</v>
      </c>
      <c r="K439" s="210">
        <f ca="1"/>
        <v>185</v>
      </c>
      <c r="L439" s="210">
        <f ca="1"/>
        <v>255</v>
      </c>
      <c r="M439" s="210">
        <f ca="1"/>
        <v>2946</v>
      </c>
      <c r="N439" s="210">
        <f ca="1"/>
        <v>3</v>
      </c>
      <c r="O439" t="str">
        <f ca="1"/>
        <v>Day</v>
      </c>
      <c r="P439" s="211">
        <f ca="1"/>
        <v>0.92033739456419872</v>
      </c>
      <c r="Q439">
        <f ca="1"/>
        <v>3201</v>
      </c>
      <c r="R439">
        <f ca="1"/>
        <v>0</v>
      </c>
    </row>
    <row r="440" spans="2:18">
      <c r="B440" t="str">
        <f ca="1"/>
        <v>C6-AUG</v>
      </c>
      <c r="C440" s="209">
        <f ca="1"/>
        <v>46244</v>
      </c>
      <c r="D440" t="str">
        <f ca="1"/>
        <v>chakki1,2,3</v>
      </c>
      <c r="E440" t="str">
        <f ca="1"/>
        <v>C6 New Plant</v>
      </c>
      <c r="F440" t="str">
        <f ca="1"/>
        <v>Khapli Protein Grains</v>
      </c>
      <c r="G440" s="210">
        <f ca="1"/>
        <v>4025.5</v>
      </c>
      <c r="H440" s="210">
        <f ca="1"/>
        <v>1</v>
      </c>
      <c r="I440" s="210">
        <f ca="1"/>
        <v>101</v>
      </c>
      <c r="J440" s="210">
        <f ca="1"/>
        <v>3</v>
      </c>
      <c r="K440" s="210">
        <f ca="1"/>
        <v>141.5</v>
      </c>
      <c r="L440" s="210">
        <f ca="1"/>
        <v>246.5</v>
      </c>
      <c r="M440" s="210">
        <f ca="1"/>
        <v>3779</v>
      </c>
      <c r="N440" s="210">
        <f ca="1"/>
        <v>3</v>
      </c>
      <c r="O440" t="str">
        <f ca="1"/>
        <v>Day</v>
      </c>
      <c r="P440" s="211">
        <f ca="1"/>
        <v>0.9387653707613961</v>
      </c>
      <c r="Q440">
        <f ca="1"/>
        <v>4025.5</v>
      </c>
      <c r="R440">
        <f ca="1"/>
        <v>0</v>
      </c>
    </row>
    <row r="441" spans="2:18">
      <c r="B441" t="str">
        <f ca="1"/>
        <v>C6-AUG</v>
      </c>
      <c r="C441" s="209">
        <f ca="1"/>
        <v>46245</v>
      </c>
      <c r="D441" t="str">
        <f ca="1"/>
        <v>chakki1,2,3</v>
      </c>
      <c r="E441" t="str">
        <f ca="1"/>
        <v>C6 New Plant</v>
      </c>
      <c r="F441" t="str">
        <f ca="1"/>
        <v>Khapli Protein Grains</v>
      </c>
      <c r="G441" s="210">
        <f ca="1"/>
        <v>3783</v>
      </c>
      <c r="H441" s="210">
        <f ca="1"/>
        <v>1</v>
      </c>
      <c r="I441" s="210">
        <f ca="1"/>
        <v>106</v>
      </c>
      <c r="J441" s="210">
        <f ca="1"/>
        <v>2</v>
      </c>
      <c r="K441" s="210">
        <f ca="1"/>
        <v>66</v>
      </c>
      <c r="L441" s="210">
        <f ca="1"/>
        <v>175</v>
      </c>
      <c r="M441" s="210">
        <f ca="1"/>
        <v>3608</v>
      </c>
      <c r="N441" s="210">
        <f ca="1"/>
        <v>3</v>
      </c>
      <c r="O441" t="str">
        <f ca="1"/>
        <v>Day</v>
      </c>
      <c r="P441" s="211">
        <f ca="1"/>
        <v>0.95374041765794348</v>
      </c>
      <c r="Q441">
        <f ca="1"/>
        <v>3783</v>
      </c>
      <c r="R441">
        <f ca="1"/>
        <v>0</v>
      </c>
    </row>
    <row r="442" spans="2:18">
      <c r="B442" t="str">
        <f ca="1"/>
        <v>C6-AUG</v>
      </c>
      <c r="C442" s="209">
        <f ca="1"/>
        <v>46246</v>
      </c>
      <c r="D442" t="str">
        <f ca="1"/>
        <v>chakki1,2,3</v>
      </c>
      <c r="E442" t="str">
        <f ca="1"/>
        <v>C6 New Plant</v>
      </c>
      <c r="F442" t="str">
        <f ca="1"/>
        <v>Khapli Protein Grains</v>
      </c>
      <c r="G442" s="210">
        <f ca="1"/>
        <v>3346.5</v>
      </c>
      <c r="H442" s="210">
        <f ca="1"/>
        <v>1</v>
      </c>
      <c r="I442" s="210">
        <f ca="1"/>
        <v>74</v>
      </c>
      <c r="J442" s="210">
        <f ca="1"/>
        <v>2</v>
      </c>
      <c r="K442" s="210">
        <f ca="1"/>
        <v>149.5</v>
      </c>
      <c r="L442" s="210">
        <f ca="1"/>
        <v>226.5</v>
      </c>
      <c r="M442" s="210">
        <f ca="1"/>
        <v>3120</v>
      </c>
      <c r="N442" s="210">
        <f ca="1"/>
        <v>4</v>
      </c>
      <c r="O442" t="str">
        <f ca="1"/>
        <v>Day</v>
      </c>
      <c r="P442" s="211">
        <f ca="1"/>
        <v>0.93231734648139852</v>
      </c>
      <c r="Q442">
        <f ca="1"/>
        <v>3346.5</v>
      </c>
      <c r="R442">
        <f ca="1"/>
        <v>0</v>
      </c>
    </row>
    <row r="443" spans="2:18">
      <c r="B443" t="str">
        <f ca="1"/>
        <v>C6-AUG</v>
      </c>
      <c r="C443" s="209">
        <f ca="1"/>
        <v>46246</v>
      </c>
      <c r="D443" t="str">
        <f ca="1"/>
        <v>chakki1,2,3</v>
      </c>
      <c r="E443" t="str">
        <f ca="1"/>
        <v>C6 Old Plant</v>
      </c>
      <c r="F443" t="str">
        <f ca="1"/>
        <v>Khapli Protein Grains</v>
      </c>
      <c r="G443" s="210">
        <f ca="1"/>
        <v>1406.5</v>
      </c>
      <c r="H443" s="210">
        <f ca="1"/>
        <v>0</v>
      </c>
      <c r="I443" s="210">
        <f ca="1"/>
        <v>12</v>
      </c>
      <c r="J443" s="210">
        <f ca="1"/>
        <v>2</v>
      </c>
      <c r="K443" s="210">
        <f ca="1"/>
        <v>55.5</v>
      </c>
      <c r="L443" s="210">
        <f ca="1"/>
        <v>69.5</v>
      </c>
      <c r="M443" s="210">
        <f ca="1"/>
        <v>1337</v>
      </c>
      <c r="N443" s="210">
        <f ca="1"/>
        <v>4</v>
      </c>
      <c r="O443" t="str">
        <f ca="1"/>
        <v>Day</v>
      </c>
      <c r="P443" s="211">
        <f ca="1"/>
        <v>0.9505865623889086</v>
      </c>
      <c r="Q443">
        <f ca="1"/>
        <v>1406.5</v>
      </c>
      <c r="R443">
        <f ca="1"/>
        <v>0</v>
      </c>
    </row>
    <row r="444" spans="2:18">
      <c r="B444" t="str">
        <f ca="1"/>
        <v>C6-AUG</v>
      </c>
      <c r="C444" s="209">
        <f ca="1"/>
        <v>46247</v>
      </c>
      <c r="D444" t="str">
        <f ca="1"/>
        <v>chakki1,2,3</v>
      </c>
      <c r="E444" t="str">
        <f ca="1"/>
        <v>C6 New Plant</v>
      </c>
      <c r="F444" t="str">
        <f ca="1"/>
        <v>Khapli Protein Grains 60%</v>
      </c>
      <c r="G444" s="210">
        <f ca="1"/>
        <v>1615</v>
      </c>
      <c r="H444" s="210">
        <f ca="1"/>
        <v>2</v>
      </c>
      <c r="I444" s="210">
        <f ca="1"/>
        <v>23</v>
      </c>
      <c r="J444" s="210">
        <f ca="1"/>
        <v>1</v>
      </c>
      <c r="K444" s="210">
        <f ca="1"/>
        <v>69</v>
      </c>
      <c r="L444" s="210">
        <f ca="1"/>
        <v>95</v>
      </c>
      <c r="M444" s="210">
        <f ca="1"/>
        <v>1520</v>
      </c>
      <c r="N444" s="210">
        <f ca="1"/>
        <v>4</v>
      </c>
      <c r="O444" t="str">
        <f ca="1"/>
        <v>Day</v>
      </c>
      <c r="P444" s="211">
        <f ca="1"/>
        <v>0.94117647058823528</v>
      </c>
      <c r="Q444">
        <f ca="1"/>
        <v>1615</v>
      </c>
      <c r="R444">
        <f ca="1"/>
        <v>0</v>
      </c>
    </row>
    <row r="445" spans="2:18">
      <c r="B445" t="str">
        <f ca="1"/>
        <v>C6-AUG</v>
      </c>
      <c r="C445" s="209">
        <f ca="1"/>
        <v>46248</v>
      </c>
      <c r="D445" t="str">
        <f ca="1"/>
        <v>chakki1,2,3</v>
      </c>
      <c r="E445" t="str">
        <f ca="1"/>
        <v>C6 Old Plant</v>
      </c>
      <c r="F445" t="str">
        <f ca="1"/>
        <v>Khapli Protein Grains</v>
      </c>
      <c r="G445" s="210">
        <f ca="1"/>
        <v>630.5</v>
      </c>
      <c r="H445" s="210">
        <f ca="1"/>
        <v>0</v>
      </c>
      <c r="I445" s="210">
        <f ca="1"/>
        <v>4</v>
      </c>
      <c r="J445" s="210">
        <f ca="1"/>
        <v>1</v>
      </c>
      <c r="K445" s="210">
        <f ca="1"/>
        <v>27.5</v>
      </c>
      <c r="L445" s="210">
        <f ca="1"/>
        <v>32.5</v>
      </c>
      <c r="M445" s="210">
        <f ca="1"/>
        <v>598</v>
      </c>
      <c r="N445" s="210">
        <f ca="1"/>
        <v>3</v>
      </c>
      <c r="O445" t="str">
        <f ca="1"/>
        <v>Day</v>
      </c>
      <c r="P445" s="211">
        <f ca="1"/>
        <v>0.94845360824742264</v>
      </c>
      <c r="Q445">
        <f ca="1"/>
        <v>630.5</v>
      </c>
      <c r="R445">
        <f ca="1"/>
        <v>0</v>
      </c>
    </row>
    <row r="446" spans="2:18">
      <c r="B446" t="str">
        <f ca="1"/>
        <v>C6-AUG</v>
      </c>
      <c r="C446" s="209">
        <f ca="1"/>
        <v>46248</v>
      </c>
      <c r="D446" t="str">
        <f ca="1"/>
        <v>chakki1,2,3</v>
      </c>
      <c r="E446" t="str">
        <f ca="1"/>
        <v>C6 New Plant</v>
      </c>
      <c r="F446" t="str">
        <f ca="1"/>
        <v>Khapli Protein Grains</v>
      </c>
      <c r="G446" s="210">
        <f ca="1"/>
        <v>4171</v>
      </c>
      <c r="H446" s="210">
        <f ca="1"/>
        <v>0</v>
      </c>
      <c r="I446" s="210">
        <f ca="1"/>
        <v>130</v>
      </c>
      <c r="J446" s="210">
        <f ca="1"/>
        <v>2</v>
      </c>
      <c r="K446" s="210">
        <f ca="1"/>
        <v>98</v>
      </c>
      <c r="L446" s="210">
        <f ca="1"/>
        <v>230</v>
      </c>
      <c r="M446" s="210">
        <f ca="1"/>
        <v>3941</v>
      </c>
      <c r="N446" s="210">
        <f ca="1"/>
        <v>3</v>
      </c>
      <c r="O446" t="str">
        <f ca="1"/>
        <v>Day</v>
      </c>
      <c r="P446" s="211">
        <f ca="1"/>
        <v>0.94485734835770796</v>
      </c>
      <c r="Q446">
        <f ca="1"/>
        <v>4171</v>
      </c>
      <c r="R446">
        <f ca="1"/>
        <v>0</v>
      </c>
    </row>
    <row r="447" spans="2:18">
      <c r="B447" t="str">
        <f ca="1"/>
        <v>C6-AUG</v>
      </c>
      <c r="C447" s="209">
        <f ca="1"/>
        <v>46248</v>
      </c>
      <c r="D447" t="str">
        <f ca="1"/>
        <v>chakki1,2,3</v>
      </c>
      <c r="E447" t="str">
        <f ca="1"/>
        <v>C6 Old Plant</v>
      </c>
      <c r="F447" t="str">
        <f ca="1"/>
        <v>khapli atta</v>
      </c>
      <c r="G447" s="210">
        <f ca="1"/>
        <v>150</v>
      </c>
      <c r="H447" s="210">
        <f ca="1"/>
        <v>0</v>
      </c>
      <c r="I447" s="210">
        <f ca="1"/>
        <v>0</v>
      </c>
      <c r="J447" s="210">
        <f ca="1"/>
        <v>0</v>
      </c>
      <c r="K447" s="210">
        <f ca="1"/>
        <v>13</v>
      </c>
      <c r="L447" s="210">
        <f ca="1"/>
        <v>13</v>
      </c>
      <c r="M447" s="210">
        <f ca="1"/>
        <v>137</v>
      </c>
      <c r="N447" s="210">
        <f ca="1"/>
        <v>1</v>
      </c>
      <c r="O447" t="str">
        <f ca="1"/>
        <v>Day</v>
      </c>
      <c r="P447" s="211">
        <f ca="1"/>
        <v>0.91333333333333333</v>
      </c>
      <c r="Q447">
        <f ca="1"/>
        <v>150</v>
      </c>
      <c r="R447">
        <f ca="1"/>
        <v>0</v>
      </c>
    </row>
    <row r="448" spans="2:18">
      <c r="B448" t="str">
        <f ca="1"/>
        <v>C6-AUG</v>
      </c>
      <c r="C448" s="209">
        <f ca="1"/>
        <v>46251</v>
      </c>
      <c r="D448" t="str">
        <f ca="1"/>
        <v>chakki1,2,3</v>
      </c>
      <c r="E448" t="str">
        <f ca="1"/>
        <v>C6 New Plant</v>
      </c>
      <c r="F448" t="str">
        <f ca="1"/>
        <v>Khapli Protein Grains</v>
      </c>
      <c r="G448" s="210">
        <f ca="1"/>
        <v>2958.5</v>
      </c>
      <c r="H448" s="210">
        <f ca="1"/>
        <v>0</v>
      </c>
      <c r="I448" s="210">
        <f ca="1"/>
        <v>70</v>
      </c>
      <c r="J448" s="210">
        <f ca="1"/>
        <v>3</v>
      </c>
      <c r="K448" s="210">
        <f ca="1"/>
        <v>85.5</v>
      </c>
      <c r="L448" s="210">
        <f ca="1"/>
        <v>158.5</v>
      </c>
      <c r="M448" s="210">
        <f ca="1"/>
        <v>2800</v>
      </c>
      <c r="N448" s="210">
        <f ca="1"/>
        <v>1</v>
      </c>
      <c r="O448" t="str">
        <f ca="1"/>
        <v>Day</v>
      </c>
      <c r="P448" s="211">
        <f ca="1"/>
        <v>0.94642555348994428</v>
      </c>
      <c r="Q448">
        <f ca="1"/>
        <v>2958.5</v>
      </c>
      <c r="R448">
        <f ca="1"/>
        <v>0</v>
      </c>
    </row>
    <row r="449" spans="2:18">
      <c r="B449" t="str">
        <f ca="1"/>
        <v>C6-AUG</v>
      </c>
      <c r="C449" s="209">
        <f ca="1"/>
        <v>46251</v>
      </c>
      <c r="D449" t="str">
        <f ca="1"/>
        <v>chakki1,2,3</v>
      </c>
      <c r="E449" t="str">
        <f ca="1"/>
        <v>C6 Old Plant</v>
      </c>
      <c r="F449" t="str">
        <f ca="1"/>
        <v>khapli atta</v>
      </c>
      <c r="G449" s="210">
        <f ca="1"/>
        <v>3400</v>
      </c>
      <c r="H449" s="210">
        <f ca="1"/>
        <v>0</v>
      </c>
      <c r="I449" s="210">
        <f ca="1"/>
        <v>22</v>
      </c>
      <c r="J449" s="210">
        <f ca="1"/>
        <v>3</v>
      </c>
      <c r="K449" s="210">
        <f ca="1"/>
        <v>197</v>
      </c>
      <c r="L449" s="210">
        <f ca="1"/>
        <v>222</v>
      </c>
      <c r="M449" s="210">
        <f ca="1"/>
        <v>3178</v>
      </c>
      <c r="N449" s="210">
        <f ca="1"/>
        <v>4</v>
      </c>
      <c r="O449" t="str">
        <f ca="1"/>
        <v>Day</v>
      </c>
      <c r="P449" s="211">
        <f ca="1"/>
        <v>0.93470588235294116</v>
      </c>
      <c r="Q449">
        <f ca="1"/>
        <v>3400</v>
      </c>
      <c r="R449">
        <f ca="1"/>
        <v>0</v>
      </c>
    </row>
    <row r="450" spans="2:18">
      <c r="B450" t="str">
        <f ca="1"/>
        <v>C6-AUG</v>
      </c>
      <c r="C450" s="209">
        <f ca="1"/>
        <v>46252</v>
      </c>
      <c r="D450" t="str">
        <f ca="1"/>
        <v>chakki1,2,3</v>
      </c>
      <c r="E450" t="str">
        <f ca="1"/>
        <v>C6 New Plant</v>
      </c>
      <c r="F450" t="str">
        <f ca="1"/>
        <v>khapli atta</v>
      </c>
      <c r="G450" s="210">
        <f ca="1"/>
        <v>3850</v>
      </c>
      <c r="H450" s="210">
        <f ca="1"/>
        <v>1</v>
      </c>
      <c r="I450" s="210">
        <f ca="1"/>
        <v>30</v>
      </c>
      <c r="J450" s="210">
        <f ca="1"/>
        <v>3</v>
      </c>
      <c r="K450" s="210">
        <f ca="1"/>
        <v>176</v>
      </c>
      <c r="L450" s="210">
        <f ca="1"/>
        <v>210</v>
      </c>
      <c r="M450" s="210">
        <f ca="1"/>
        <v>3640</v>
      </c>
      <c r="N450" s="210">
        <f ca="1"/>
        <v>4</v>
      </c>
      <c r="O450" t="str">
        <f ca="1"/>
        <v>Day</v>
      </c>
      <c r="P450" s="211">
        <f ca="1"/>
        <v>0.94545454545454544</v>
      </c>
      <c r="Q450">
        <f ca="1"/>
        <v>3850</v>
      </c>
      <c r="R450">
        <f ca="1"/>
        <v>0</v>
      </c>
    </row>
    <row r="451" spans="2:18">
      <c r="B451" t="str">
        <f ca="1"/>
        <v>C6-AUG</v>
      </c>
      <c r="C451" s="209">
        <f ca="1"/>
        <v>46252</v>
      </c>
      <c r="D451" t="str">
        <f ca="1"/>
        <v>chakki1,2,3</v>
      </c>
      <c r="E451" t="str">
        <f ca="1"/>
        <v>C6 New Plant</v>
      </c>
      <c r="F451" t="str">
        <f ca="1"/>
        <v>Khapli Protein Grains</v>
      </c>
      <c r="G451" s="210">
        <f ca="1"/>
        <v>3637</v>
      </c>
      <c r="H451" s="210">
        <f ca="1"/>
        <v>1</v>
      </c>
      <c r="I451" s="210">
        <f ca="1"/>
        <v>147</v>
      </c>
      <c r="J451" s="210">
        <f ca="1"/>
        <v>3</v>
      </c>
      <c r="K451" s="210">
        <f ca="1"/>
        <v>132</v>
      </c>
      <c r="L451" s="210">
        <f ca="1"/>
        <v>283</v>
      </c>
      <c r="M451" s="210">
        <f ca="1"/>
        <v>3354</v>
      </c>
      <c r="N451" s="210">
        <f ca="1"/>
        <v>4</v>
      </c>
      <c r="O451" t="str">
        <f ca="1"/>
        <v>Day</v>
      </c>
      <c r="P451" s="211">
        <f ca="1"/>
        <v>0.92218861699202637</v>
      </c>
      <c r="Q451">
        <f ca="1"/>
        <v>3637</v>
      </c>
      <c r="R451">
        <f ca="1"/>
        <v>0</v>
      </c>
    </row>
    <row r="452" spans="2:18">
      <c r="B452" t="str">
        <f ca="1"/>
        <v>C6-AUG</v>
      </c>
      <c r="C452" s="209">
        <f ca="1"/>
        <v>46253</v>
      </c>
      <c r="D452" t="str">
        <f ca="1"/>
        <v>chakki1,2,3</v>
      </c>
      <c r="E452" t="str">
        <f ca="1"/>
        <v>C6 Old Plant</v>
      </c>
      <c r="F452" t="str">
        <f ca="1"/>
        <v>khapli atta</v>
      </c>
      <c r="G452" s="210">
        <f ca="1"/>
        <v>3000</v>
      </c>
      <c r="H452" s="210">
        <f ca="1"/>
        <v>1</v>
      </c>
      <c r="I452" s="210">
        <f ca="1"/>
        <v>125</v>
      </c>
      <c r="J452" s="210">
        <f ca="1"/>
        <v>2</v>
      </c>
      <c r="K452" s="210">
        <f ca="1"/>
        <v>72</v>
      </c>
      <c r="L452" s="210">
        <f ca="1"/>
        <v>200</v>
      </c>
      <c r="M452" s="210">
        <f ca="1"/>
        <v>2800</v>
      </c>
      <c r="N452" s="210">
        <f ca="1"/>
        <v>4</v>
      </c>
      <c r="O452" t="str">
        <f ca="1"/>
        <v>Day</v>
      </c>
      <c r="P452" s="211">
        <f ca="1"/>
        <v>0.93333333333333335</v>
      </c>
      <c r="Q452">
        <f ca="1"/>
        <v>3000</v>
      </c>
      <c r="R452">
        <f ca="1"/>
        <v>0</v>
      </c>
    </row>
    <row r="453" spans="2:18">
      <c r="B453" t="str">
        <f ca="1"/>
        <v>C6-AUG</v>
      </c>
      <c r="C453" s="209">
        <f ca="1"/>
        <v>46254</v>
      </c>
      <c r="D453" t="str">
        <f ca="1"/>
        <v>chakki1,2,3</v>
      </c>
      <c r="E453" t="str">
        <f ca="1"/>
        <v>C6 Old Plant</v>
      </c>
      <c r="F453" t="str">
        <f ca="1"/>
        <v>Jowar Grains</v>
      </c>
      <c r="G453" s="210">
        <f ca="1"/>
        <v>950</v>
      </c>
      <c r="H453" s="210">
        <f ca="1"/>
        <v>1</v>
      </c>
      <c r="I453" s="210">
        <f ca="1"/>
        <v>12</v>
      </c>
      <c r="J453" s="210">
        <f ca="1"/>
        <v>1</v>
      </c>
      <c r="K453" s="210">
        <f ca="1"/>
        <v>52</v>
      </c>
      <c r="L453" s="210">
        <f ca="1"/>
        <v>66</v>
      </c>
      <c r="M453" s="210">
        <f ca="1"/>
        <v>884</v>
      </c>
      <c r="N453" s="210">
        <f ca="1"/>
        <v>3</v>
      </c>
      <c r="O453" t="str">
        <f ca="1"/>
        <v>Day</v>
      </c>
      <c r="P453" s="211">
        <f ca="1"/>
        <v>0.93052631578947365</v>
      </c>
      <c r="Q453">
        <f ca="1"/>
        <v>950</v>
      </c>
      <c r="R453">
        <f ca="1"/>
        <v>0</v>
      </c>
    </row>
    <row r="454" spans="2:18">
      <c r="B454" t="str">
        <f ca="1"/>
        <v>C6-AUG</v>
      </c>
      <c r="C454" s="209">
        <f ca="1"/>
        <v>46255</v>
      </c>
      <c r="D454" t="str">
        <f ca="1"/>
        <v>chakki1,2,3</v>
      </c>
      <c r="E454" t="str">
        <f ca="1"/>
        <v>C6 New Plant</v>
      </c>
      <c r="F454" t="str">
        <f ca="1"/>
        <v>Khapli Protein Grains</v>
      </c>
      <c r="G454" s="210">
        <f ca="1"/>
        <v>3055.5</v>
      </c>
      <c r="H454" s="210">
        <f ca="1"/>
        <v>1</v>
      </c>
      <c r="I454" s="210">
        <f ca="1"/>
        <v>56</v>
      </c>
      <c r="J454" s="210">
        <f ca="1"/>
        <v>2</v>
      </c>
      <c r="K454" s="210">
        <f ca="1"/>
        <v>143.5</v>
      </c>
      <c r="L454" s="210">
        <f ca="1"/>
        <v>202.5</v>
      </c>
      <c r="M454" s="210">
        <f ca="1"/>
        <v>2853</v>
      </c>
      <c r="N454" s="210">
        <f ca="1"/>
        <v>4</v>
      </c>
      <c r="O454" t="str">
        <f ca="1"/>
        <v>Day</v>
      </c>
      <c r="P454" s="211">
        <f ca="1"/>
        <v>0.93372606774668632</v>
      </c>
      <c r="Q454">
        <f ca="1"/>
        <v>3055.5</v>
      </c>
      <c r="R454">
        <f ca="1"/>
        <v>0</v>
      </c>
    </row>
    <row r="455" spans="2:18">
      <c r="B455" t="str">
        <f ca="1"/>
        <v>C6-AUG</v>
      </c>
      <c r="C455" s="209">
        <f ca="1"/>
        <v>46256</v>
      </c>
      <c r="D455" t="str">
        <f ca="1"/>
        <v>chakki1,2,3</v>
      </c>
      <c r="E455" t="str">
        <f ca="1"/>
        <v>C6 New Plant</v>
      </c>
      <c r="F455" t="str">
        <f ca="1"/>
        <v>Khapli Protein Grains</v>
      </c>
      <c r="G455" s="210">
        <f ca="1"/>
        <v>4510.5</v>
      </c>
      <c r="H455" s="210">
        <f ca="1"/>
        <v>1</v>
      </c>
      <c r="I455" s="210">
        <f ca="1"/>
        <v>165</v>
      </c>
      <c r="J455" s="210">
        <f ca="1"/>
        <v>3</v>
      </c>
      <c r="K455" s="210">
        <f ca="1"/>
        <v>141.5</v>
      </c>
      <c r="L455" s="210">
        <f ca="1"/>
        <v>310.5</v>
      </c>
      <c r="M455" s="210">
        <f ca="1"/>
        <v>4200</v>
      </c>
      <c r="N455" s="210">
        <f ca="1"/>
        <v>4</v>
      </c>
      <c r="O455" t="str">
        <f ca="1"/>
        <v>Day</v>
      </c>
      <c r="P455" s="211">
        <f ca="1"/>
        <v>0.93116062520784837</v>
      </c>
      <c r="Q455">
        <f ca="1"/>
        <v>4510.5</v>
      </c>
      <c r="R455">
        <f ca="1"/>
        <v>0</v>
      </c>
    </row>
    <row r="456" spans="2:18">
      <c r="B456" t="str">
        <f ca="1"/>
        <v>C6-AUG</v>
      </c>
      <c r="C456" s="209">
        <f ca="1"/>
        <v>46258</v>
      </c>
      <c r="D456" t="str">
        <f ca="1"/>
        <v>chakki1,2,3</v>
      </c>
      <c r="E456" t="str">
        <f ca="1"/>
        <v>C6 New Plant</v>
      </c>
      <c r="F456" t="str">
        <f ca="1"/>
        <v>Khapli Protein Grains</v>
      </c>
      <c r="G456" s="210">
        <f ca="1"/>
        <v>2231</v>
      </c>
      <c r="H456" s="210">
        <f ca="1"/>
        <v>1</v>
      </c>
      <c r="I456" s="210">
        <f ca="1"/>
        <v>69</v>
      </c>
      <c r="J456" s="210">
        <f ca="1"/>
        <v>3</v>
      </c>
      <c r="K456" s="210">
        <f ca="1"/>
        <v>68</v>
      </c>
      <c r="L456" s="210">
        <f ca="1"/>
        <v>141</v>
      </c>
      <c r="M456" s="210">
        <f ca="1"/>
        <v>2090</v>
      </c>
      <c r="N456" s="210">
        <f ca="1"/>
        <v>4</v>
      </c>
      <c r="O456" t="str">
        <f ca="1"/>
        <v>Day</v>
      </c>
      <c r="P456" s="211">
        <f ca="1"/>
        <v>0.93679964141640515</v>
      </c>
      <c r="Q456">
        <f ca="1"/>
        <v>2231</v>
      </c>
      <c r="R456">
        <f ca="1"/>
        <v>0</v>
      </c>
    </row>
    <row r="457" spans="2:18">
      <c r="B457" t="str">
        <f ca="1"/>
        <v>C6-AUG</v>
      </c>
      <c r="C457" s="209">
        <f ca="1"/>
        <v>46258</v>
      </c>
      <c r="D457" t="str">
        <f ca="1"/>
        <v>chakki1,2,3</v>
      </c>
      <c r="E457" t="str">
        <f ca="1"/>
        <v>C6 Old Plant</v>
      </c>
      <c r="F457" t="str">
        <f ca="1"/>
        <v>khapli atta</v>
      </c>
      <c r="G457" s="210">
        <f ca="1"/>
        <v>450</v>
      </c>
      <c r="H457" s="210">
        <f ca="1"/>
        <v>0</v>
      </c>
      <c r="I457" s="210">
        <f ca="1"/>
        <v>5</v>
      </c>
      <c r="J457" s="210">
        <f ca="1"/>
        <v>1</v>
      </c>
      <c r="K457" s="210">
        <f ca="1"/>
        <v>35</v>
      </c>
      <c r="L457" s="210">
        <f ca="1"/>
        <v>41</v>
      </c>
      <c r="M457" s="210">
        <f ca="1"/>
        <v>409</v>
      </c>
      <c r="N457" s="210">
        <f ca="1"/>
        <v>4</v>
      </c>
      <c r="O457" t="str">
        <f ca="1"/>
        <v>Day</v>
      </c>
      <c r="P457" s="211">
        <f ca="1"/>
        <v>0.90888888888888886</v>
      </c>
      <c r="Q457">
        <f ca="1"/>
        <v>450</v>
      </c>
      <c r="R457">
        <f ca="1"/>
        <v>0</v>
      </c>
    </row>
    <row r="458" spans="2:18">
      <c r="B458" t="str">
        <f ca="1"/>
        <v>C6-AUG</v>
      </c>
      <c r="C458" s="209">
        <f ca="1"/>
        <v>46256</v>
      </c>
      <c r="D458" t="str">
        <f ca="1"/>
        <v>chakki1,2,3</v>
      </c>
      <c r="E458" t="str">
        <f ca="1"/>
        <v>C6 Old Plant</v>
      </c>
      <c r="F458" t="str">
        <f ca="1"/>
        <v>Khapli Protein Grains</v>
      </c>
      <c r="G458" s="210">
        <f ca="1"/>
        <v>4200</v>
      </c>
      <c r="H458" s="210">
        <f ca="1"/>
        <v>1</v>
      </c>
      <c r="I458" s="210">
        <f ca="1"/>
        <v>193</v>
      </c>
      <c r="J458" s="210">
        <f ca="1"/>
        <v>3</v>
      </c>
      <c r="K458" s="210">
        <f ca="1"/>
        <v>153</v>
      </c>
      <c r="L458" s="210">
        <f ca="1"/>
        <v>350</v>
      </c>
      <c r="M458" s="210">
        <f ca="1"/>
        <v>3850</v>
      </c>
      <c r="N458" s="210">
        <f ca="1"/>
        <v>4</v>
      </c>
      <c r="O458" t="str">
        <f ca="1"/>
        <v>Day</v>
      </c>
      <c r="P458" s="211">
        <f ca="1"/>
        <v>0.91666666666666663</v>
      </c>
      <c r="Q458">
        <f ca="1"/>
        <v>4200</v>
      </c>
      <c r="R458">
        <f ca="1"/>
        <v>0</v>
      </c>
    </row>
    <row r="459" spans="2:18">
      <c r="B459" t="str">
        <f ca="1"/>
        <v>C6-AUG</v>
      </c>
      <c r="C459" s="209">
        <f ca="1"/>
        <v>46259</v>
      </c>
      <c r="D459" t="str">
        <f ca="1"/>
        <v>chakki1,2,3</v>
      </c>
      <c r="E459" t="str">
        <f ca="1"/>
        <v>C6 New Plant</v>
      </c>
      <c r="F459" t="str">
        <f ca="1"/>
        <v>khapli atta</v>
      </c>
      <c r="G459" s="210">
        <f ca="1"/>
        <v>3100</v>
      </c>
      <c r="H459" s="210">
        <f ca="1"/>
        <v>1</v>
      </c>
      <c r="I459" s="210">
        <f ca="1"/>
        <v>54</v>
      </c>
      <c r="J459" s="210">
        <f ca="1"/>
        <v>2</v>
      </c>
      <c r="K459" s="210">
        <f ca="1"/>
        <v>89</v>
      </c>
      <c r="L459" s="210">
        <f ca="1"/>
        <v>146</v>
      </c>
      <c r="M459" s="210">
        <f ca="1"/>
        <v>2954</v>
      </c>
      <c r="N459" s="210">
        <f ca="1"/>
        <v>4</v>
      </c>
      <c r="O459" t="str">
        <f ca="1"/>
        <v>Day</v>
      </c>
      <c r="P459" s="211">
        <f ca="1"/>
        <v>0.95290322580645159</v>
      </c>
      <c r="Q459">
        <f ca="1"/>
        <v>3100</v>
      </c>
      <c r="R459">
        <f ca="1"/>
        <v>0</v>
      </c>
    </row>
    <row r="460" spans="2:18">
      <c r="B460" t="str">
        <f ca="1"/>
        <v>C6-AUG</v>
      </c>
      <c r="C460" s="209">
        <f ca="1"/>
        <v>46259</v>
      </c>
      <c r="D460" t="str">
        <f ca="1"/>
        <v>chakki1,2,3</v>
      </c>
      <c r="E460" t="str">
        <f ca="1"/>
        <v>C6 Old Plant</v>
      </c>
      <c r="F460" t="str">
        <f ca="1"/>
        <v>BAJARA ATTA</v>
      </c>
      <c r="G460" s="210">
        <f ca="1"/>
        <v>700</v>
      </c>
      <c r="H460" s="210">
        <f ca="1"/>
        <v>0</v>
      </c>
      <c r="I460" s="210">
        <f ca="1"/>
        <v>0</v>
      </c>
      <c r="J460" s="210">
        <f ca="1"/>
        <v>0.5</v>
      </c>
      <c r="K460" s="210">
        <f ca="1"/>
        <v>26.5</v>
      </c>
      <c r="L460" s="210">
        <f ca="1"/>
        <v>27</v>
      </c>
      <c r="M460" s="210">
        <f ca="1"/>
        <v>673</v>
      </c>
      <c r="N460" s="210">
        <f ca="1"/>
        <v>4</v>
      </c>
      <c r="O460" t="str">
        <f ca="1"/>
        <v>Day</v>
      </c>
      <c r="P460" s="211">
        <f ca="1"/>
        <v>0.96142857142857141</v>
      </c>
      <c r="Q460">
        <f ca="1"/>
        <v>700</v>
      </c>
      <c r="R460">
        <f ca="1"/>
        <v>0</v>
      </c>
    </row>
    <row r="461" spans="2:18">
      <c r="B461" t="str">
        <f ca="1"/>
        <v>C6-AUG</v>
      </c>
      <c r="C461" s="209">
        <f ca="1"/>
        <v>46260</v>
      </c>
      <c r="D461" t="str">
        <f ca="1"/>
        <v>chakki1,2,3</v>
      </c>
      <c r="E461" t="str">
        <f ca="1"/>
        <v>C6 New Plant</v>
      </c>
      <c r="F461" t="str">
        <f ca="1"/>
        <v>khapli atta</v>
      </c>
      <c r="G461" s="210">
        <f ca="1"/>
        <v>1700</v>
      </c>
      <c r="H461" s="210">
        <f ca="1"/>
        <v>0</v>
      </c>
      <c r="I461" s="210">
        <f ca="1"/>
        <v>29</v>
      </c>
      <c r="J461" s="210">
        <f ca="1"/>
        <v>1</v>
      </c>
      <c r="K461" s="210">
        <f ca="1"/>
        <v>65</v>
      </c>
      <c r="L461" s="210">
        <f ca="1"/>
        <v>95</v>
      </c>
      <c r="M461" s="210">
        <f ca="1"/>
        <v>1605</v>
      </c>
      <c r="N461" s="210">
        <f ca="1"/>
        <v>3</v>
      </c>
      <c r="O461" t="str">
        <f ca="1"/>
        <v>Day</v>
      </c>
      <c r="P461" s="211">
        <f ca="1"/>
        <v>0.94411764705882351</v>
      </c>
      <c r="Q461">
        <f ca="1"/>
        <v>1700</v>
      </c>
      <c r="R461">
        <f ca="1"/>
        <v>0</v>
      </c>
    </row>
    <row r="462" spans="2:18">
      <c r="B462" t="str">
        <f ca="1"/>
        <v>C6-AUG</v>
      </c>
      <c r="C462" s="209">
        <f ca="1"/>
        <v>46260</v>
      </c>
      <c r="D462" t="str">
        <f ca="1"/>
        <v>chakki1,2,3</v>
      </c>
      <c r="E462" t="str">
        <f ca="1"/>
        <v>C6 Old Plant</v>
      </c>
      <c r="F462" t="str">
        <f ca="1"/>
        <v>Khapli Protein Grains</v>
      </c>
      <c r="G462" s="210">
        <f ca="1"/>
        <v>1843</v>
      </c>
      <c r="H462" s="210">
        <f ca="1"/>
        <v>1</v>
      </c>
      <c r="I462" s="210">
        <f ca="1"/>
        <v>51</v>
      </c>
      <c r="J462" s="210">
        <f ca="1"/>
        <v>2</v>
      </c>
      <c r="K462" s="210">
        <f ca="1"/>
        <v>115</v>
      </c>
      <c r="L462" s="210">
        <f ca="1"/>
        <v>169</v>
      </c>
      <c r="M462" s="210">
        <f ca="1"/>
        <v>1674</v>
      </c>
      <c r="N462" s="210">
        <f ca="1"/>
        <v>3</v>
      </c>
      <c r="O462" t="str">
        <f ca="1"/>
        <v>Day</v>
      </c>
      <c r="P462" s="211">
        <f ca="1"/>
        <v>0.90830168204015194</v>
      </c>
      <c r="Q462">
        <f ca="1"/>
        <v>1843</v>
      </c>
      <c r="R462">
        <f ca="1"/>
        <v>0</v>
      </c>
    </row>
    <row r="463" spans="2:18">
      <c r="B463" t="str">
        <f ca="1"/>
        <v>C6-AUG</v>
      </c>
      <c r="C463" s="209">
        <f ca="1"/>
        <v>46261</v>
      </c>
      <c r="D463" t="str">
        <f ca="1"/>
        <v>chakki1,2,3</v>
      </c>
      <c r="E463" t="str">
        <f ca="1"/>
        <v>C6 New Plant</v>
      </c>
      <c r="F463" t="str">
        <f ca="1"/>
        <v>Khapli Protein Grains</v>
      </c>
      <c r="G463" s="210">
        <f ca="1"/>
        <v>4607.5</v>
      </c>
      <c r="H463" s="210">
        <f ca="1"/>
        <v>1</v>
      </c>
      <c r="I463" s="210">
        <f ca="1"/>
        <v>192</v>
      </c>
      <c r="J463" s="210">
        <f ca="1"/>
        <v>3</v>
      </c>
      <c r="K463" s="210">
        <f ca="1"/>
        <v>177.5</v>
      </c>
      <c r="L463" s="210">
        <f ca="1"/>
        <v>373.5</v>
      </c>
      <c r="M463" s="210">
        <f ca="1"/>
        <v>4234</v>
      </c>
      <c r="N463" s="210">
        <f ca="1"/>
        <v>4</v>
      </c>
      <c r="O463" t="str">
        <f ca="1"/>
        <v>Day</v>
      </c>
      <c r="P463" s="211">
        <f ca="1"/>
        <v>0.91893651654910469</v>
      </c>
      <c r="Q463">
        <f ca="1"/>
        <v>4607.5</v>
      </c>
      <c r="R463">
        <f ca="1"/>
        <v>0</v>
      </c>
    </row>
    <row r="464" spans="2:18">
      <c r="B464" t="str">
        <f ca="1"/>
        <v>C6-AUG</v>
      </c>
      <c r="C464" s="209">
        <f ca="1"/>
        <v>46261</v>
      </c>
      <c r="D464" t="str">
        <f ca="1"/>
        <v>chakki1,2,3</v>
      </c>
      <c r="E464" t="str">
        <f ca="1"/>
        <v>C6 Old Plant</v>
      </c>
      <c r="F464" t="str">
        <f ca="1"/>
        <v>Jowar Grains</v>
      </c>
      <c r="G464" s="210">
        <f ca="1"/>
        <v>1000</v>
      </c>
      <c r="H464" s="210">
        <f ca="1"/>
        <v>0</v>
      </c>
      <c r="I464" s="210">
        <f ca="1"/>
        <v>6</v>
      </c>
      <c r="J464" s="210">
        <f ca="1"/>
        <v>1</v>
      </c>
      <c r="K464" s="210">
        <f ca="1"/>
        <v>46</v>
      </c>
      <c r="L464" s="210">
        <f ca="1"/>
        <v>53</v>
      </c>
      <c r="M464" s="210">
        <f ca="1"/>
        <v>947</v>
      </c>
      <c r="N464" s="210">
        <f ca="1"/>
        <v>5</v>
      </c>
      <c r="O464" t="str">
        <f ca="1"/>
        <v>Day</v>
      </c>
      <c r="P464" s="211">
        <f ca="1"/>
        <v>0.94699999999999995</v>
      </c>
      <c r="Q464">
        <f ca="1"/>
        <v>1000</v>
      </c>
      <c r="R464">
        <f ca="1"/>
        <v>0</v>
      </c>
    </row>
    <row r="465" spans="2:18">
      <c r="B465" t="str">
        <f ca="1"/>
        <v>C6-AUG</v>
      </c>
      <c r="C465" s="209">
        <f ca="1"/>
        <v>46262</v>
      </c>
      <c r="D465" t="str">
        <f ca="1"/>
        <v>chakki1,2,3</v>
      </c>
      <c r="E465" t="str">
        <f ca="1"/>
        <v>C6 New Plant</v>
      </c>
      <c r="F465" t="str">
        <f ca="1"/>
        <v>Khapli Protein Grains</v>
      </c>
      <c r="G465" s="210">
        <f ca="1"/>
        <v>3201</v>
      </c>
      <c r="H465" s="210">
        <f ca="1"/>
        <v>1</v>
      </c>
      <c r="I465" s="210">
        <f ca="1"/>
        <v>127</v>
      </c>
      <c r="J465" s="210">
        <f ca="1"/>
        <v>5</v>
      </c>
      <c r="K465" s="210">
        <f ca="1"/>
        <v>115</v>
      </c>
      <c r="L465" s="210">
        <f ca="1"/>
        <v>248</v>
      </c>
      <c r="M465" s="210">
        <f ca="1"/>
        <v>2953</v>
      </c>
      <c r="N465" s="210">
        <f ca="1"/>
        <v>3</v>
      </c>
      <c r="O465" t="str">
        <f ca="1"/>
        <v>Day</v>
      </c>
      <c r="P465" s="211">
        <f ca="1"/>
        <v>0.92252421118400496</v>
      </c>
      <c r="Q465">
        <f ca="1"/>
        <v>3201</v>
      </c>
      <c r="R465">
        <f ca="1"/>
        <v>0</v>
      </c>
    </row>
    <row r="466" spans="2:18">
      <c r="B466" t="str">
        <f ca="1"/>
        <v>C6-AUG</v>
      </c>
      <c r="C466" s="209">
        <f ca="1"/>
        <v>46263</v>
      </c>
      <c r="D466" t="str">
        <f ca="1"/>
        <v>chakki1,2,3</v>
      </c>
      <c r="E466" t="str">
        <f ca="1"/>
        <v>C6 Old Plant</v>
      </c>
      <c r="F466" t="str">
        <f ca="1"/>
        <v>Khapli Protein Grains</v>
      </c>
      <c r="G466" s="210">
        <f ca="1"/>
        <v>3734</v>
      </c>
      <c r="H466" s="210">
        <f ca="1"/>
        <v>1</v>
      </c>
      <c r="I466" s="210">
        <f ca="1"/>
        <v>170</v>
      </c>
      <c r="J466" s="210">
        <f ca="1"/>
        <v>5</v>
      </c>
      <c r="K466" s="210">
        <f ca="1"/>
        <v>28</v>
      </c>
      <c r="L466" s="210">
        <f ca="1"/>
        <v>204</v>
      </c>
      <c r="M466" s="210">
        <f ca="1"/>
        <v>3530</v>
      </c>
      <c r="N466" s="210">
        <f ca="1"/>
        <v>3</v>
      </c>
      <c r="O466" t="str">
        <f ca="1"/>
        <v>Day</v>
      </c>
      <c r="P466" s="211">
        <f ca="1"/>
        <v>0.94536689876807711</v>
      </c>
      <c r="Q466">
        <f ca="1"/>
        <v>3734</v>
      </c>
      <c r="R466">
        <f ca="1"/>
        <v>0</v>
      </c>
    </row>
    <row r="467" spans="2:18">
      <c r="B467" t="str">
        <f ca="1"/>
        <v>C6-AUG</v>
      </c>
      <c r="C467" s="209">
        <f ca="1"/>
        <v>46265</v>
      </c>
      <c r="D467" t="str">
        <f ca="1"/>
        <v>chakki1,2,3</v>
      </c>
      <c r="E467" t="str">
        <f ca="1"/>
        <v>C6 New Plant</v>
      </c>
      <c r="F467" t="str">
        <f ca="1"/>
        <v>Khapli Protein Grains</v>
      </c>
      <c r="G467" s="210">
        <f ca="1"/>
        <v>4801</v>
      </c>
      <c r="H467" s="210">
        <f ca="1"/>
        <v>0</v>
      </c>
      <c r="I467" s="210">
        <f ca="1"/>
        <v>335</v>
      </c>
      <c r="J467" s="210">
        <f ca="1"/>
        <v>0</v>
      </c>
      <c r="K467" s="210">
        <f ca="1"/>
        <v>106</v>
      </c>
      <c r="L467" s="210">
        <f ca="1"/>
        <v>441</v>
      </c>
      <c r="M467" s="210">
        <f ca="1"/>
        <v>4360</v>
      </c>
      <c r="N467" s="210">
        <f ca="1"/>
        <v>3</v>
      </c>
      <c r="O467" t="str">
        <f ca="1"/>
        <v>Day</v>
      </c>
      <c r="P467" s="211">
        <f ca="1"/>
        <v>0.90814413663820037</v>
      </c>
      <c r="Q467">
        <f ca="1"/>
        <v>4801</v>
      </c>
      <c r="R467">
        <f ca="1"/>
        <v>0</v>
      </c>
    </row>
    <row r="468" spans="2:18">
      <c r="B468" t="str">
        <f ca="1"/>
        <v>C39-AUG</v>
      </c>
      <c r="C468" s="209">
        <f ca="1"/>
        <v>46235</v>
      </c>
      <c r="D468" t="str">
        <f ca="1"/>
        <v>1,2,3,4</v>
      </c>
      <c r="E468" t="str">
        <f ca="1"/>
        <v>C39</v>
      </c>
      <c r="F468" t="str">
        <f ca="1"/>
        <v>multigrain</v>
      </c>
      <c r="G468" s="210">
        <f ca="1"/>
        <v>3900</v>
      </c>
      <c r="H468" s="210">
        <f ca="1"/>
        <v>28</v>
      </c>
      <c r="I468" s="210">
        <f ca="1"/>
        <v>176</v>
      </c>
      <c r="J468" s="210">
        <f ca="1"/>
        <v>26</v>
      </c>
      <c r="K468" s="210">
        <f ca="1"/>
        <v>120</v>
      </c>
      <c r="L468" s="210">
        <f ca="1"/>
        <v>350</v>
      </c>
      <c r="M468" s="210">
        <f ca="1"/>
        <v>3550</v>
      </c>
      <c r="N468" s="210">
        <f ca="1"/>
        <v>7</v>
      </c>
      <c r="O468" t="str">
        <f ca="1"/>
        <v>DAY</v>
      </c>
      <c r="P468" s="211">
        <f ca="1"/>
        <v>0.91025641025641024</v>
      </c>
      <c r="Q468">
        <f ca="1"/>
        <v>3900</v>
      </c>
      <c r="R468">
        <f ca="1"/>
        <v>0</v>
      </c>
    </row>
    <row r="469" spans="2:18">
      <c r="B469" t="str">
        <f ca="1"/>
        <v>C39-AUG</v>
      </c>
      <c r="C469" s="209">
        <f ca="1"/>
        <v>46237</v>
      </c>
      <c r="D469" t="str">
        <f ca="1"/>
        <v>1,2,3,4</v>
      </c>
      <c r="E469" t="str">
        <f ca="1"/>
        <v>C39</v>
      </c>
      <c r="F469" t="str">
        <f ca="1"/>
        <v>multigrain</v>
      </c>
      <c r="G469" s="210">
        <f ca="1"/>
        <v>7500</v>
      </c>
      <c r="H469" s="210">
        <f ca="1"/>
        <v>41</v>
      </c>
      <c r="I469" s="210">
        <f ca="1"/>
        <v>273</v>
      </c>
      <c r="J469" s="210">
        <f ca="1"/>
        <v>43</v>
      </c>
      <c r="K469" s="210">
        <f ca="1"/>
        <v>243</v>
      </c>
      <c r="L469" s="210">
        <f ca="1"/>
        <v>600</v>
      </c>
      <c r="M469" s="210">
        <f ca="1"/>
        <v>6900</v>
      </c>
      <c r="N469" s="210">
        <f ca="1"/>
        <v>7</v>
      </c>
      <c r="O469" t="str">
        <f ca="1"/>
        <v>DAY</v>
      </c>
      <c r="P469" s="211">
        <f ca="1"/>
        <v>0.92</v>
      </c>
      <c r="Q469">
        <f ca="1"/>
        <v>7500</v>
      </c>
      <c r="R469">
        <f ca="1"/>
        <v>0</v>
      </c>
    </row>
    <row r="470" spans="2:18">
      <c r="B470" t="str">
        <f ca="1"/>
        <v>C39-AUG</v>
      </c>
      <c r="C470" s="209">
        <f ca="1"/>
        <v>46237</v>
      </c>
      <c r="D470" t="str">
        <f ca="1"/>
        <v>blendar</v>
      </c>
      <c r="E470" t="str">
        <f ca="1"/>
        <v>C39</v>
      </c>
      <c r="F470" t="str">
        <f ca="1"/>
        <v>besan</v>
      </c>
      <c r="G470" s="210">
        <f ca="1"/>
        <v>510</v>
      </c>
      <c r="H470" s="210">
        <f ca="1"/>
        <v>0</v>
      </c>
      <c r="I470" s="210">
        <f ca="1"/>
        <v>0</v>
      </c>
      <c r="J470" s="210">
        <f ca="1"/>
        <v>2.5</v>
      </c>
      <c r="K470" s="210">
        <f ca="1"/>
        <v>17.5</v>
      </c>
      <c r="L470" s="210">
        <f ca="1"/>
        <v>20</v>
      </c>
      <c r="M470" s="210">
        <f ca="1"/>
        <v>490</v>
      </c>
      <c r="N470" s="210">
        <f ca="1"/>
        <v>1</v>
      </c>
      <c r="O470" t="str">
        <f ca="1"/>
        <v>DAY</v>
      </c>
      <c r="P470" s="211">
        <f ca="1"/>
        <v>0.96078431372549022</v>
      </c>
      <c r="Q470">
        <f ca="1"/>
        <v>510</v>
      </c>
      <c r="R470">
        <f ca="1"/>
        <v>0</v>
      </c>
    </row>
    <row r="471" spans="2:18">
      <c r="B471" t="str">
        <f ca="1"/>
        <v>C39-AUG</v>
      </c>
      <c r="C471" s="209">
        <f ca="1"/>
        <v>46238</v>
      </c>
      <c r="D471" t="str">
        <f ca="1"/>
        <v>1,2,3,4</v>
      </c>
      <c r="E471" t="str">
        <f ca="1"/>
        <v>C39</v>
      </c>
      <c r="F471" t="str">
        <f ca="1"/>
        <v>multigrain</v>
      </c>
      <c r="G471" s="210">
        <f ca="1"/>
        <v>8300</v>
      </c>
      <c r="H471" s="210">
        <f ca="1"/>
        <v>38</v>
      </c>
      <c r="I471" s="210">
        <f ca="1"/>
        <v>452</v>
      </c>
      <c r="J471" s="210">
        <f ca="1"/>
        <v>38</v>
      </c>
      <c r="K471" s="210">
        <f ca="1"/>
        <v>147</v>
      </c>
      <c r="L471" s="210">
        <f ca="1"/>
        <v>675</v>
      </c>
      <c r="M471" s="210">
        <f ca="1"/>
        <v>7625</v>
      </c>
      <c r="N471" s="210">
        <f ca="1"/>
        <v>7</v>
      </c>
      <c r="O471" t="str">
        <f ca="1"/>
        <v>DAY</v>
      </c>
      <c r="P471" s="211">
        <f ca="1"/>
        <v>0.91867469879518071</v>
      </c>
      <c r="Q471">
        <f ca="1"/>
        <v>8300</v>
      </c>
      <c r="R471">
        <f ca="1"/>
        <v>0</v>
      </c>
    </row>
    <row r="472" spans="2:18">
      <c r="B472" t="str">
        <f ca="1"/>
        <v>C39-AUG</v>
      </c>
      <c r="C472" s="209">
        <f ca="1"/>
        <v>46238</v>
      </c>
      <c r="D472" t="str">
        <f ca="1"/>
        <v>blendar</v>
      </c>
      <c r="E472" t="str">
        <f ca="1"/>
        <v>C39</v>
      </c>
      <c r="F472" t="str">
        <f ca="1"/>
        <v>BESAN</v>
      </c>
      <c r="G472" s="210">
        <f ca="1"/>
        <v>800</v>
      </c>
      <c r="H472" s="210">
        <f ca="1"/>
        <v>0</v>
      </c>
      <c r="I472" s="210">
        <f ca="1"/>
        <v>0</v>
      </c>
      <c r="J472" s="210">
        <f ca="1"/>
        <v>6</v>
      </c>
      <c r="K472" s="210">
        <f ca="1"/>
        <v>49</v>
      </c>
      <c r="L472" s="210">
        <f ca="1"/>
        <v>55</v>
      </c>
      <c r="M472" s="210">
        <f ca="1"/>
        <v>745</v>
      </c>
      <c r="N472" s="210">
        <f ca="1"/>
        <v>1</v>
      </c>
      <c r="O472" t="str">
        <f ca="1"/>
        <v>DAY</v>
      </c>
      <c r="P472" s="211">
        <f ca="1"/>
        <v>0.93125000000000002</v>
      </c>
      <c r="Q472">
        <f ca="1"/>
        <v>800</v>
      </c>
      <c r="R472">
        <f ca="1"/>
        <v>0</v>
      </c>
    </row>
    <row r="473" spans="2:18">
      <c r="B473" t="str">
        <f ca="1"/>
        <v>C39-AUG</v>
      </c>
      <c r="C473" s="209">
        <f ca="1"/>
        <v>46239</v>
      </c>
      <c r="D473" t="str">
        <f ca="1"/>
        <v>1,2,3,4</v>
      </c>
      <c r="E473" t="str">
        <f ca="1"/>
        <v>C39</v>
      </c>
      <c r="F473" t="str">
        <f ca="1"/>
        <v>multigrain</v>
      </c>
      <c r="G473" s="210">
        <f ca="1"/>
        <v>5850</v>
      </c>
      <c r="H473" s="210">
        <f ca="1"/>
        <v>22</v>
      </c>
      <c r="I473" s="210">
        <f ca="1"/>
        <v>343</v>
      </c>
      <c r="J473" s="210">
        <f ca="1"/>
        <v>26</v>
      </c>
      <c r="K473" s="210">
        <f ca="1"/>
        <v>109</v>
      </c>
      <c r="L473" s="210">
        <f ca="1"/>
        <v>500</v>
      </c>
      <c r="M473" s="210">
        <f ca="1"/>
        <v>5350</v>
      </c>
      <c r="N473" s="210">
        <f ca="1"/>
        <v>7</v>
      </c>
      <c r="O473" t="str">
        <f ca="1"/>
        <v>DAY</v>
      </c>
      <c r="P473" s="211">
        <f ca="1"/>
        <v>0.9145299145299145</v>
      </c>
      <c r="Q473">
        <f ca="1"/>
        <v>5850</v>
      </c>
      <c r="R473">
        <f ca="1"/>
        <v>0</v>
      </c>
    </row>
    <row r="474" spans="2:18">
      <c r="B474" t="str">
        <f ca="1"/>
        <v>C39-AUG</v>
      </c>
      <c r="C474" s="209">
        <f ca="1"/>
        <v>46239</v>
      </c>
      <c r="D474" t="str">
        <f ca="1"/>
        <v>blendar</v>
      </c>
      <c r="E474" t="str">
        <f ca="1"/>
        <v>C39</v>
      </c>
      <c r="F474" t="str">
        <f ca="1"/>
        <v>Besan</v>
      </c>
      <c r="G474" s="210">
        <f ca="1"/>
        <v>630</v>
      </c>
      <c r="H474" s="210">
        <f ca="1"/>
        <v>0</v>
      </c>
      <c r="I474" s="210">
        <f ca="1"/>
        <v>0</v>
      </c>
      <c r="J474" s="210">
        <f ca="1"/>
        <v>4</v>
      </c>
      <c r="K474" s="210">
        <f ca="1"/>
        <v>36</v>
      </c>
      <c r="L474" s="210">
        <f ca="1"/>
        <v>40</v>
      </c>
      <c r="M474" s="210">
        <f ca="1"/>
        <v>590</v>
      </c>
      <c r="N474" s="210">
        <f ca="1"/>
        <v>1</v>
      </c>
      <c r="O474" t="str">
        <f ca="1"/>
        <v>DAY</v>
      </c>
      <c r="P474" s="211">
        <f ca="1"/>
        <v>0.93650793650793651</v>
      </c>
      <c r="Q474">
        <f ca="1"/>
        <v>630</v>
      </c>
      <c r="R474">
        <f ca="1"/>
        <v>0</v>
      </c>
    </row>
    <row r="475" spans="2:18">
      <c r="B475" t="str">
        <f ca="1"/>
        <v>C39-AUG</v>
      </c>
      <c r="C475" s="209">
        <f ca="1"/>
        <v>46240</v>
      </c>
      <c r="D475" t="str">
        <f ca="1"/>
        <v>1,2,34</v>
      </c>
      <c r="E475" t="str">
        <f ca="1"/>
        <v>C39</v>
      </c>
      <c r="F475" t="str">
        <f ca="1"/>
        <v>multigrain</v>
      </c>
      <c r="G475" s="210">
        <f ca="1"/>
        <v>5500</v>
      </c>
      <c r="H475" s="210">
        <f ca="1"/>
        <v>19</v>
      </c>
      <c r="I475" s="210">
        <f ca="1"/>
        <v>295</v>
      </c>
      <c r="J475" s="210">
        <f ca="1"/>
        <v>19.5</v>
      </c>
      <c r="K475" s="210">
        <f ca="1"/>
        <v>96.5</v>
      </c>
      <c r="L475" s="210">
        <f ca="1"/>
        <v>430</v>
      </c>
      <c r="M475" s="210">
        <f ca="1"/>
        <v>5070</v>
      </c>
      <c r="N475" s="210">
        <f ca="1"/>
        <v>7</v>
      </c>
      <c r="O475" t="str">
        <f ca="1"/>
        <v>DAY</v>
      </c>
      <c r="P475" s="211">
        <f ca="1"/>
        <v>0.92181818181818187</v>
      </c>
      <c r="Q475">
        <f ca="1"/>
        <v>5500</v>
      </c>
      <c r="R475">
        <f ca="1"/>
        <v>0</v>
      </c>
    </row>
    <row r="476" spans="2:18">
      <c r="B476" t="str">
        <f ca="1"/>
        <v>C39-AUG</v>
      </c>
      <c r="C476" s="209">
        <f ca="1"/>
        <v>46241</v>
      </c>
      <c r="D476" t="str">
        <f ca="1"/>
        <v>1,2,3,4</v>
      </c>
      <c r="E476" t="str">
        <f ca="1"/>
        <v>C39</v>
      </c>
      <c r="F476" t="str">
        <f ca="1"/>
        <v>multigrain</v>
      </c>
      <c r="G476" s="210">
        <f ca="1"/>
        <v>2500</v>
      </c>
      <c r="H476" s="210">
        <f ca="1"/>
        <v>9</v>
      </c>
      <c r="I476" s="210">
        <f ca="1"/>
        <v>98</v>
      </c>
      <c r="J476" s="210">
        <f ca="1"/>
        <v>12.6</v>
      </c>
      <c r="K476" s="210">
        <f ca="1"/>
        <v>65.400000000000006</v>
      </c>
      <c r="L476" s="210">
        <f ca="1"/>
        <v>185</v>
      </c>
      <c r="M476" s="210">
        <f ca="1"/>
        <v>2315</v>
      </c>
      <c r="N476" s="210">
        <f ca="1"/>
        <v>7</v>
      </c>
      <c r="O476" t="str">
        <f ca="1"/>
        <v>Day</v>
      </c>
      <c r="P476" s="211">
        <f ca="1"/>
        <v>0.92600000000000005</v>
      </c>
      <c r="Q476">
        <f ca="1"/>
        <v>2500</v>
      </c>
      <c r="R476">
        <f ca="1"/>
        <v>0</v>
      </c>
    </row>
    <row r="477" spans="2:18">
      <c r="B477" t="str">
        <f ca="1"/>
        <v>C39-AUG</v>
      </c>
      <c r="C477" s="209">
        <f ca="1"/>
        <v>46241</v>
      </c>
      <c r="D477" t="str">
        <f ca="1"/>
        <v>1,2,3,4</v>
      </c>
      <c r="E477" t="str">
        <f ca="1"/>
        <v>C39</v>
      </c>
      <c r="F477" t="str">
        <f ca="1"/>
        <v>multigrain 60%</v>
      </c>
      <c r="G477" s="210">
        <f ca="1"/>
        <v>3200</v>
      </c>
      <c r="H477" s="210">
        <f ca="1"/>
        <v>5</v>
      </c>
      <c r="I477" s="210">
        <f ca="1"/>
        <v>153.19999999999999</v>
      </c>
      <c r="J477" s="210">
        <f ca="1"/>
        <v>9.8000000000000007</v>
      </c>
      <c r="K477" s="210">
        <f ca="1"/>
        <v>52</v>
      </c>
      <c r="L477" s="210">
        <f ca="1"/>
        <v>220</v>
      </c>
      <c r="M477" s="210">
        <f ca="1"/>
        <v>2980</v>
      </c>
      <c r="N477" s="210">
        <f ca="1"/>
        <v>7</v>
      </c>
      <c r="O477" t="str">
        <f ca="1"/>
        <v>Day</v>
      </c>
      <c r="P477" s="211">
        <f ca="1"/>
        <v>0.93125000000000002</v>
      </c>
      <c r="Q477">
        <f ca="1"/>
        <v>3200</v>
      </c>
      <c r="R477">
        <f ca="1"/>
        <v>0</v>
      </c>
    </row>
    <row r="478" spans="2:18">
      <c r="B478" t="str">
        <f ca="1"/>
        <v>C39-AUG</v>
      </c>
      <c r="C478" s="209">
        <f ca="1"/>
        <v>46242</v>
      </c>
      <c r="D478" t="str">
        <f ca="1"/>
        <v>1,2,3,4</v>
      </c>
      <c r="E478" t="str">
        <f ca="1"/>
        <v>C39</v>
      </c>
      <c r="F478" t="str">
        <f ca="1"/>
        <v>multigrain</v>
      </c>
      <c r="G478" s="210">
        <f ca="1"/>
        <v>6900</v>
      </c>
      <c r="H478" s="210">
        <f ca="1"/>
        <v>15</v>
      </c>
      <c r="I478" s="210">
        <f ca="1"/>
        <v>380</v>
      </c>
      <c r="J478" s="210">
        <f ca="1"/>
        <v>16</v>
      </c>
      <c r="K478" s="210">
        <f ca="1"/>
        <v>114</v>
      </c>
      <c r="L478" s="210">
        <f ca="1"/>
        <v>525</v>
      </c>
      <c r="M478" s="210">
        <f ca="1"/>
        <v>6375</v>
      </c>
      <c r="N478" s="210">
        <f ca="1"/>
        <v>7</v>
      </c>
      <c r="O478" t="str">
        <f ca="1"/>
        <v>Day</v>
      </c>
      <c r="P478" s="211">
        <f ca="1"/>
        <v>0.92391304347826086</v>
      </c>
      <c r="Q478">
        <f ca="1"/>
        <v>6900</v>
      </c>
      <c r="R478">
        <f ca="1"/>
        <v>0</v>
      </c>
    </row>
    <row r="479" spans="2:18">
      <c r="B479" t="str">
        <f ca="1"/>
        <v>C39-AUG</v>
      </c>
      <c r="C479" s="209">
        <f ca="1"/>
        <v>46242</v>
      </c>
      <c r="D479" t="str">
        <f ca="1"/>
        <v>blendar</v>
      </c>
      <c r="E479" t="str">
        <f ca="1"/>
        <v>C39</v>
      </c>
      <c r="F479" t="str">
        <f ca="1"/>
        <v>besan</v>
      </c>
      <c r="G479" s="210">
        <f ca="1"/>
        <v>422</v>
      </c>
      <c r="H479" s="210">
        <f ca="1"/>
        <v>0</v>
      </c>
      <c r="I479" s="210">
        <f ca="1"/>
        <v>0</v>
      </c>
      <c r="J479" s="210">
        <f ca="1"/>
        <v>2</v>
      </c>
      <c r="K479" s="210">
        <f ca="1"/>
        <v>25</v>
      </c>
      <c r="L479" s="210">
        <f ca="1"/>
        <v>27</v>
      </c>
      <c r="M479" s="210">
        <f ca="1"/>
        <v>395</v>
      </c>
      <c r="N479" s="210">
        <f ca="1"/>
        <v>1</v>
      </c>
      <c r="O479" t="str">
        <f ca="1"/>
        <v>Day</v>
      </c>
      <c r="P479" s="211">
        <f ca="1"/>
        <v>0.93601895734597151</v>
      </c>
      <c r="Q479">
        <f ca="1"/>
        <v>422</v>
      </c>
      <c r="R479">
        <f ca="1"/>
        <v>0</v>
      </c>
    </row>
    <row r="480" spans="2:18">
      <c r="B480" t="str">
        <f ca="1"/>
        <v>C39-AUG</v>
      </c>
      <c r="C480" s="209">
        <f ca="1"/>
        <v>46243</v>
      </c>
      <c r="D480" t="str">
        <f ca="1"/>
        <v>1,2,3,4</v>
      </c>
      <c r="E480" t="str">
        <f ca="1"/>
        <v>C39</v>
      </c>
      <c r="F480" t="str">
        <f ca="1"/>
        <v>multigrain</v>
      </c>
      <c r="G480" s="210">
        <f ca="1"/>
        <v>4950</v>
      </c>
      <c r="H480" s="210">
        <f ca="1"/>
        <v>19</v>
      </c>
      <c r="I480" s="210">
        <f ca="1"/>
        <v>252</v>
      </c>
      <c r="J480" s="210">
        <f ca="1"/>
        <v>21</v>
      </c>
      <c r="K480" s="210">
        <f ca="1"/>
        <v>118</v>
      </c>
      <c r="L480" s="210">
        <f ca="1"/>
        <v>410</v>
      </c>
      <c r="M480" s="210">
        <f ca="1"/>
        <v>4540</v>
      </c>
      <c r="N480" s="210">
        <f ca="1"/>
        <v>7</v>
      </c>
      <c r="O480" t="str">
        <f ca="1"/>
        <v>Day</v>
      </c>
      <c r="P480" s="211">
        <f ca="1"/>
        <v>0.91717171717171719</v>
      </c>
      <c r="Q480">
        <f ca="1"/>
        <v>4950</v>
      </c>
      <c r="R480">
        <f ca="1"/>
        <v>0</v>
      </c>
    </row>
    <row r="481" spans="2:18">
      <c r="B481" t="str">
        <f ca="1"/>
        <v>C39-AUG</v>
      </c>
      <c r="C481" s="209">
        <f ca="1"/>
        <v>46244</v>
      </c>
      <c r="D481" t="str">
        <f ca="1"/>
        <v>1,2,3,4</v>
      </c>
      <c r="E481" t="str">
        <f ca="1"/>
        <v>C39</v>
      </c>
      <c r="F481" t="str">
        <f ca="1"/>
        <v>multigrain</v>
      </c>
      <c r="G481" s="210">
        <f ca="1"/>
        <v>2900</v>
      </c>
      <c r="H481" s="210">
        <f ca="1"/>
        <v>8</v>
      </c>
      <c r="I481" s="210">
        <f ca="1"/>
        <v>135.5</v>
      </c>
      <c r="J481" s="210">
        <f ca="1"/>
        <v>16.5</v>
      </c>
      <c r="K481" s="210">
        <f ca="1"/>
        <v>90</v>
      </c>
      <c r="L481" s="210">
        <f ca="1"/>
        <v>250</v>
      </c>
      <c r="M481" s="210">
        <f ca="1"/>
        <v>2650</v>
      </c>
      <c r="N481" s="210">
        <f ca="1"/>
        <v>7</v>
      </c>
      <c r="O481" t="str">
        <f ca="1"/>
        <v>Day</v>
      </c>
      <c r="P481" s="211">
        <f ca="1"/>
        <v>0.91379310344827591</v>
      </c>
      <c r="Q481">
        <f ca="1"/>
        <v>2900</v>
      </c>
      <c r="R481">
        <f ca="1"/>
        <v>0</v>
      </c>
    </row>
    <row r="482" spans="2:18">
      <c r="B482" t="str">
        <f ca="1"/>
        <v>C39-AUG</v>
      </c>
      <c r="C482" s="209">
        <f ca="1"/>
        <v>46245</v>
      </c>
      <c r="D482" t="str">
        <f ca="1"/>
        <v>1,2,3,4</v>
      </c>
      <c r="E482" t="str">
        <f ca="1"/>
        <v>C39</v>
      </c>
      <c r="F482" t="str">
        <f ca="1"/>
        <v>Multigrain</v>
      </c>
      <c r="G482" s="210">
        <f ca="1"/>
        <v>6950</v>
      </c>
      <c r="H482" s="210">
        <f ca="1"/>
        <v>29</v>
      </c>
      <c r="I482" s="210">
        <f ca="1"/>
        <v>372</v>
      </c>
      <c r="J482" s="210">
        <f ca="1"/>
        <v>25</v>
      </c>
      <c r="K482" s="210">
        <f ca="1"/>
        <v>174</v>
      </c>
      <c r="L482" s="210">
        <f ca="1"/>
        <v>600</v>
      </c>
      <c r="M482" s="210">
        <f ca="1"/>
        <v>6350</v>
      </c>
      <c r="N482" s="210">
        <f ca="1"/>
        <v>7</v>
      </c>
      <c r="O482" t="str">
        <f ca="1"/>
        <v>Day</v>
      </c>
      <c r="P482" s="211">
        <f ca="1"/>
        <v>0.91366906474820142</v>
      </c>
      <c r="Q482">
        <f ca="1"/>
        <v>6950</v>
      </c>
      <c r="R482">
        <f ca="1"/>
        <v>0</v>
      </c>
    </row>
    <row r="483" spans="2:18">
      <c r="B483" t="str">
        <f ca="1"/>
        <v>C39-AUG</v>
      </c>
      <c r="C483" s="209">
        <f ca="1"/>
        <v>46245</v>
      </c>
      <c r="D483" t="str">
        <f ca="1"/>
        <v>Blendar</v>
      </c>
      <c r="E483" t="str">
        <f ca="1"/>
        <v>C39</v>
      </c>
      <c r="F483" t="str">
        <f ca="1"/>
        <v>Besan</v>
      </c>
      <c r="G483" s="210">
        <f ca="1"/>
        <v>450</v>
      </c>
      <c r="H483" s="210">
        <f ca="1"/>
        <v>0</v>
      </c>
      <c r="I483" s="210">
        <f ca="1"/>
        <v>0</v>
      </c>
      <c r="J483" s="210">
        <f ca="1"/>
        <v>4.5</v>
      </c>
      <c r="K483" s="210">
        <f ca="1"/>
        <v>25.5</v>
      </c>
      <c r="L483" s="210">
        <f ca="1"/>
        <v>30</v>
      </c>
      <c r="M483" s="210">
        <f ca="1"/>
        <v>420</v>
      </c>
      <c r="N483" s="210">
        <f ca="1"/>
        <v>1</v>
      </c>
      <c r="O483" t="str">
        <f ca="1"/>
        <v>Day</v>
      </c>
      <c r="P483" s="211">
        <f ca="1"/>
        <v>0.93333333333333335</v>
      </c>
      <c r="Q483">
        <f ca="1"/>
        <v>450</v>
      </c>
      <c r="R483">
        <f ca="1"/>
        <v>0</v>
      </c>
    </row>
    <row r="484" spans="2:18">
      <c r="B484" t="str">
        <f ca="1"/>
        <v>C39-AUG</v>
      </c>
      <c r="C484" s="209">
        <f ca="1"/>
        <v>46246</v>
      </c>
      <c r="D484" t="str">
        <f ca="1"/>
        <v>1,2,3,4</v>
      </c>
      <c r="E484" t="str">
        <f ca="1"/>
        <v>C39</v>
      </c>
      <c r="F484" t="str">
        <f ca="1"/>
        <v>Multigrain</v>
      </c>
      <c r="G484" s="210">
        <f ca="1"/>
        <v>6500</v>
      </c>
      <c r="H484" s="210">
        <f ca="1"/>
        <v>26</v>
      </c>
      <c r="I484" s="210">
        <f ca="1"/>
        <v>297.39999999999998</v>
      </c>
      <c r="J484" s="210">
        <f ca="1"/>
        <v>18.600000000000001</v>
      </c>
      <c r="K484" s="210">
        <f ca="1"/>
        <v>108</v>
      </c>
      <c r="L484" s="210">
        <f ca="1"/>
        <v>450</v>
      </c>
      <c r="M484" s="210">
        <f ca="1"/>
        <v>6050</v>
      </c>
      <c r="N484" s="210">
        <f ca="1"/>
        <v>7</v>
      </c>
      <c r="O484" t="str">
        <f ca="1"/>
        <v>Day</v>
      </c>
      <c r="P484" s="211">
        <f ca="1"/>
        <v>0.93076923076923079</v>
      </c>
      <c r="Q484">
        <f ca="1"/>
        <v>6500</v>
      </c>
      <c r="R484">
        <f ca="1"/>
        <v>0</v>
      </c>
    </row>
    <row r="485" spans="2:18">
      <c r="B485" t="str">
        <f ca="1"/>
        <v>C39-AUG</v>
      </c>
      <c r="C485" s="209">
        <f ca="1"/>
        <v>46247</v>
      </c>
      <c r="D485" t="str">
        <f ca="1"/>
        <v>1,2,3,4</v>
      </c>
      <c r="E485" t="str">
        <f ca="1"/>
        <v>C39</v>
      </c>
      <c r="F485" t="str">
        <f ca="1"/>
        <v>Multigrain</v>
      </c>
      <c r="G485" s="210">
        <f ca="1"/>
        <v>6100</v>
      </c>
      <c r="H485" s="210">
        <f ca="1"/>
        <v>17</v>
      </c>
      <c r="I485" s="210">
        <f ca="1"/>
        <v>271</v>
      </c>
      <c r="J485" s="210">
        <f ca="1"/>
        <v>26</v>
      </c>
      <c r="K485" s="210">
        <f ca="1"/>
        <v>86</v>
      </c>
      <c r="L485" s="210">
        <f ca="1"/>
        <v>400</v>
      </c>
      <c r="M485" s="210">
        <f ca="1"/>
        <v>5700</v>
      </c>
      <c r="N485" s="210">
        <f ca="1"/>
        <v>7</v>
      </c>
      <c r="O485" t="str">
        <f ca="1"/>
        <v>Day</v>
      </c>
      <c r="P485" s="211">
        <f ca="1"/>
        <v>0.93442622950819676</v>
      </c>
      <c r="Q485">
        <f ca="1"/>
        <v>6100</v>
      </c>
      <c r="R485">
        <f ca="1"/>
        <v>0</v>
      </c>
    </row>
    <row r="486" spans="2:18">
      <c r="B486" t="str">
        <f ca="1"/>
        <v>C39-AUG</v>
      </c>
      <c r="C486" s="209">
        <f ca="1"/>
        <v>46248</v>
      </c>
      <c r="D486" t="str">
        <f ca="1"/>
        <v>1,2,3,4</v>
      </c>
      <c r="E486" t="str">
        <f ca="1"/>
        <v>C39</v>
      </c>
      <c r="F486" t="str">
        <f ca="1"/>
        <v>Multigrain</v>
      </c>
      <c r="G486" s="210">
        <f ca="1"/>
        <v>4400</v>
      </c>
      <c r="H486" s="210">
        <f ca="1"/>
        <v>27</v>
      </c>
      <c r="I486" s="210">
        <f ca="1"/>
        <v>208</v>
      </c>
      <c r="J486" s="210">
        <f ca="1"/>
        <v>32</v>
      </c>
      <c r="K486" s="210">
        <f ca="1"/>
        <v>133</v>
      </c>
      <c r="L486" s="210">
        <f ca="1"/>
        <v>400</v>
      </c>
      <c r="M486" s="210">
        <f ca="1"/>
        <v>4000</v>
      </c>
      <c r="N486" s="210">
        <f ca="1"/>
        <v>7</v>
      </c>
      <c r="O486" t="str">
        <f ca="1"/>
        <v>Day</v>
      </c>
      <c r="P486" s="211">
        <f ca="1"/>
        <v>0.90909090909090906</v>
      </c>
      <c r="Q486">
        <f ca="1"/>
        <v>4400</v>
      </c>
      <c r="R486">
        <f ca="1"/>
        <v>0</v>
      </c>
    </row>
    <row r="487" spans="2:18">
      <c r="B487" t="str">
        <f ca="1"/>
        <v>C39-AUG</v>
      </c>
      <c r="C487" s="209">
        <f ca="1"/>
        <v>46250</v>
      </c>
      <c r="D487" t="str">
        <f ca="1"/>
        <v>1,2,3,4</v>
      </c>
      <c r="E487" t="str">
        <f ca="1"/>
        <v>C39</v>
      </c>
      <c r="F487" t="str">
        <f ca="1"/>
        <v>Multigrain</v>
      </c>
      <c r="G487" s="210">
        <f ca="1"/>
        <v>3160</v>
      </c>
      <c r="H487" s="210">
        <f ca="1"/>
        <v>13</v>
      </c>
      <c r="I487" s="210">
        <f ca="1"/>
        <v>171</v>
      </c>
      <c r="J487" s="210">
        <f ca="1"/>
        <v>19</v>
      </c>
      <c r="K487" s="210">
        <f ca="1"/>
        <v>87</v>
      </c>
      <c r="L487" s="210">
        <f ca="1"/>
        <v>290</v>
      </c>
      <c r="M487" s="210">
        <f ca="1"/>
        <v>2870</v>
      </c>
      <c r="N487" s="210">
        <f ca="1"/>
        <v>7</v>
      </c>
      <c r="O487" t="str">
        <f ca="1"/>
        <v>Day</v>
      </c>
      <c r="P487" s="211">
        <f ca="1"/>
        <v>0.90822784810126578</v>
      </c>
      <c r="Q487">
        <f ca="1"/>
        <v>3160</v>
      </c>
      <c r="R487">
        <f ca="1"/>
        <v>0</v>
      </c>
    </row>
    <row r="488" spans="2:18">
      <c r="B488" t="str">
        <f ca="1"/>
        <v>C39-AUG</v>
      </c>
      <c r="C488" s="209">
        <f ca="1"/>
        <v>46251</v>
      </c>
      <c r="D488" t="str">
        <f ca="1"/>
        <v>1,2,3,4</v>
      </c>
      <c r="E488" t="str">
        <f ca="1"/>
        <v>C39</v>
      </c>
      <c r="F488" t="str">
        <f ca="1"/>
        <v>Multigrain</v>
      </c>
      <c r="G488" s="210">
        <f ca="1"/>
        <v>8650</v>
      </c>
      <c r="H488" s="210">
        <f ca="1"/>
        <v>38</v>
      </c>
      <c r="I488" s="210">
        <f ca="1"/>
        <v>457</v>
      </c>
      <c r="J488" s="210">
        <f ca="1"/>
        <v>29</v>
      </c>
      <c r="K488" s="210">
        <f ca="1"/>
        <v>126</v>
      </c>
      <c r="L488" s="210">
        <f ca="1"/>
        <v>650</v>
      </c>
      <c r="M488" s="210">
        <f ca="1"/>
        <v>8000</v>
      </c>
      <c r="N488" s="210">
        <f ca="1"/>
        <v>7</v>
      </c>
      <c r="O488" t="str">
        <f ca="1"/>
        <v>Day</v>
      </c>
      <c r="P488" s="211">
        <f ca="1"/>
        <v>0.92485549132947975</v>
      </c>
      <c r="Q488">
        <f ca="1"/>
        <v>8650</v>
      </c>
      <c r="R488">
        <f ca="1"/>
        <v>0</v>
      </c>
    </row>
    <row r="489" spans="2:18">
      <c r="B489" t="str">
        <f ca="1"/>
        <v>C39-AUG</v>
      </c>
      <c r="C489" s="209">
        <f ca="1"/>
        <v>46252</v>
      </c>
      <c r="D489" t="str">
        <f ca="1"/>
        <v>1,2,3,4</v>
      </c>
      <c r="E489" t="str">
        <f ca="1"/>
        <v>C39</v>
      </c>
      <c r="F489" t="str">
        <f ca="1"/>
        <v>Multigrain</v>
      </c>
      <c r="G489" s="210">
        <f ca="1"/>
        <v>5820</v>
      </c>
      <c r="H489" s="210">
        <f ca="1"/>
        <v>28</v>
      </c>
      <c r="I489" s="210">
        <f ca="1"/>
        <v>313</v>
      </c>
      <c r="J489" s="210">
        <f ca="1"/>
        <v>32</v>
      </c>
      <c r="K489" s="210">
        <f ca="1"/>
        <v>147</v>
      </c>
      <c r="L489" s="210">
        <f ca="1"/>
        <v>520</v>
      </c>
      <c r="M489" s="210">
        <f ca="1"/>
        <v>5300</v>
      </c>
      <c r="N489" s="210">
        <f ca="1"/>
        <v>7</v>
      </c>
      <c r="O489" t="str">
        <f ca="1"/>
        <v>Day</v>
      </c>
      <c r="P489" s="211">
        <f ca="1"/>
        <v>0.9106529209621993</v>
      </c>
      <c r="Q489">
        <f ca="1"/>
        <v>5820</v>
      </c>
      <c r="R489">
        <f ca="1"/>
        <v>0</v>
      </c>
    </row>
    <row r="490" spans="2:18">
      <c r="B490" t="str">
        <f ca="1"/>
        <v>C39-AUG</v>
      </c>
      <c r="C490" s="209">
        <f ca="1"/>
        <v>46253</v>
      </c>
      <c r="D490" t="str">
        <f ca="1"/>
        <v>1,2,3,4</v>
      </c>
      <c r="E490" t="str">
        <f ca="1"/>
        <v>C39</v>
      </c>
      <c r="F490" t="str">
        <f ca="1"/>
        <v>Multigrain</v>
      </c>
      <c r="G490" s="210">
        <f ca="1"/>
        <v>9100</v>
      </c>
      <c r="H490" s="210">
        <f ca="1"/>
        <v>36</v>
      </c>
      <c r="I490" s="210">
        <f ca="1"/>
        <v>570</v>
      </c>
      <c r="J490" s="210">
        <f ca="1"/>
        <v>38</v>
      </c>
      <c r="K490" s="210">
        <f ca="1"/>
        <v>156</v>
      </c>
      <c r="L490" s="210">
        <f ca="1"/>
        <v>800</v>
      </c>
      <c r="M490" s="210">
        <f ca="1"/>
        <v>8300</v>
      </c>
      <c r="N490" s="210">
        <f ca="1"/>
        <v>7</v>
      </c>
      <c r="O490" t="str">
        <f ca="1"/>
        <v>Day</v>
      </c>
      <c r="P490" s="211">
        <f ca="1"/>
        <v>0.91208791208791207</v>
      </c>
      <c r="Q490">
        <f ca="1"/>
        <v>9100</v>
      </c>
      <c r="R490">
        <f ca="1"/>
        <v>0</v>
      </c>
    </row>
    <row r="491" spans="2:18">
      <c r="B491" t="str">
        <f ca="1"/>
        <v>C39-AUG</v>
      </c>
      <c r="C491" s="209">
        <f ca="1"/>
        <v>46254</v>
      </c>
      <c r="D491" t="str">
        <f ca="1"/>
        <v>1,2,3,4</v>
      </c>
      <c r="E491" t="str">
        <f ca="1"/>
        <v>C39</v>
      </c>
      <c r="F491" t="str">
        <f ca="1"/>
        <v>Multigrain</v>
      </c>
      <c r="G491" s="210">
        <f ca="1"/>
        <v>7970</v>
      </c>
      <c r="H491" s="210">
        <f ca="1"/>
        <v>29</v>
      </c>
      <c r="I491" s="210">
        <f ca="1"/>
        <v>510</v>
      </c>
      <c r="J491" s="210">
        <f ca="1"/>
        <v>22</v>
      </c>
      <c r="K491" s="210">
        <f ca="1"/>
        <v>108</v>
      </c>
      <c r="L491" s="210">
        <f ca="1"/>
        <v>670</v>
      </c>
      <c r="M491" s="210">
        <f ca="1"/>
        <v>7300</v>
      </c>
      <c r="N491" s="210">
        <f ca="1"/>
        <v>7</v>
      </c>
      <c r="O491" t="str">
        <f ca="1"/>
        <v>Day</v>
      </c>
      <c r="P491" s="211">
        <f ca="1"/>
        <v>0.91593475533249691</v>
      </c>
      <c r="Q491">
        <f ca="1"/>
        <v>7970</v>
      </c>
      <c r="R491">
        <f ca="1"/>
        <v>0</v>
      </c>
    </row>
    <row r="492" spans="2:18">
      <c r="B492" t="str">
        <f ca="1"/>
        <v>C39-AUG</v>
      </c>
      <c r="C492" s="209">
        <f ca="1"/>
        <v>46255</v>
      </c>
      <c r="D492" t="str">
        <f ca="1"/>
        <v>1,2,3,4</v>
      </c>
      <c r="E492" t="str">
        <f ca="1"/>
        <v>C39</v>
      </c>
      <c r="F492" t="str">
        <f ca="1"/>
        <v>Multigrain</v>
      </c>
      <c r="G492" s="210">
        <f ca="1"/>
        <v>9400</v>
      </c>
      <c r="H492" s="210">
        <f ca="1"/>
        <v>36</v>
      </c>
      <c r="I492" s="210">
        <f ca="1"/>
        <v>716</v>
      </c>
      <c r="J492" s="210">
        <f ca="1"/>
        <v>29</v>
      </c>
      <c r="K492" s="210">
        <f ca="1"/>
        <v>119</v>
      </c>
      <c r="L492" s="210">
        <f ca="1"/>
        <v>900</v>
      </c>
      <c r="M492" s="210">
        <f ca="1"/>
        <v>8500</v>
      </c>
      <c r="N492" s="210">
        <f ca="1"/>
        <v>7</v>
      </c>
      <c r="O492" t="str">
        <f ca="1"/>
        <v>Day</v>
      </c>
      <c r="P492" s="211">
        <f ca="1"/>
        <v>0.9042553191489362</v>
      </c>
      <c r="Q492">
        <f ca="1"/>
        <v>9400</v>
      </c>
      <c r="R492">
        <f ca="1"/>
        <v>0</v>
      </c>
    </row>
    <row r="493" spans="2:18">
      <c r="B493" t="str">
        <f ca="1"/>
        <v>C39-AUG</v>
      </c>
      <c r="C493" s="209">
        <f ca="1"/>
        <v>46256</v>
      </c>
      <c r="D493" t="str">
        <f ca="1"/>
        <v>1,2,3,4</v>
      </c>
      <c r="E493" t="str">
        <f ca="1"/>
        <v>C39</v>
      </c>
      <c r="F493" t="str">
        <f ca="1"/>
        <v>Multigrain</v>
      </c>
      <c r="G493" s="210">
        <f ca="1"/>
        <v>9600</v>
      </c>
      <c r="H493" s="210">
        <f ca="1"/>
        <v>39</v>
      </c>
      <c r="I493" s="210">
        <f ca="1"/>
        <v>736</v>
      </c>
      <c r="J493" s="210">
        <f ca="1"/>
        <v>23</v>
      </c>
      <c r="K493" s="210">
        <f ca="1"/>
        <v>102</v>
      </c>
      <c r="L493" s="210">
        <f ca="1"/>
        <v>900</v>
      </c>
      <c r="M493" s="210">
        <f ca="1"/>
        <v>8700</v>
      </c>
      <c r="N493" s="210">
        <f ca="1"/>
        <v>7</v>
      </c>
      <c r="O493" t="str">
        <f ca="1"/>
        <v>Day</v>
      </c>
      <c r="P493" s="211">
        <f ca="1"/>
        <v>0.90625</v>
      </c>
      <c r="Q493">
        <f ca="1"/>
        <v>9600</v>
      </c>
      <c r="R493">
        <f ca="1"/>
        <v>0</v>
      </c>
    </row>
    <row r="494" spans="2:18">
      <c r="B494" t="str">
        <f ca="1"/>
        <v>C39-AUG</v>
      </c>
      <c r="C494" s="209">
        <f ca="1"/>
        <v>46258</v>
      </c>
      <c r="D494" t="str">
        <f ca="1"/>
        <v>1,2,3,4</v>
      </c>
      <c r="E494" t="str">
        <f ca="1"/>
        <v>C39</v>
      </c>
      <c r="F494" t="str">
        <f ca="1"/>
        <v>Multigrain</v>
      </c>
      <c r="G494" s="210">
        <f ca="1"/>
        <v>7200</v>
      </c>
      <c r="H494" s="210">
        <f ca="1"/>
        <v>38</v>
      </c>
      <c r="I494" s="210">
        <f ca="1"/>
        <v>72.5</v>
      </c>
      <c r="J494" s="210">
        <f ca="1"/>
        <v>18</v>
      </c>
      <c r="K494" s="210">
        <f ca="1"/>
        <v>421.5</v>
      </c>
      <c r="L494" s="210">
        <f ca="1"/>
        <v>550</v>
      </c>
      <c r="M494" s="210">
        <f ca="1"/>
        <v>6650</v>
      </c>
      <c r="N494" s="210">
        <f ca="1"/>
        <v>7</v>
      </c>
      <c r="O494" t="str">
        <f ca="1"/>
        <v>Day</v>
      </c>
      <c r="P494" s="211">
        <f ca="1"/>
        <v>0.92361111111111116</v>
      </c>
      <c r="Q494">
        <f ca="1"/>
        <v>7200</v>
      </c>
      <c r="R494">
        <f ca="1"/>
        <v>0</v>
      </c>
    </row>
    <row r="495" spans="2:18">
      <c r="B495" t="str">
        <f ca="1"/>
        <v>C39-AUG</v>
      </c>
      <c r="C495" s="209">
        <f ca="1"/>
        <v>46259</v>
      </c>
      <c r="D495" t="str">
        <f ca="1"/>
        <v>1,2,3,4</v>
      </c>
      <c r="E495" t="str">
        <f ca="1"/>
        <v>C39</v>
      </c>
      <c r="F495" t="str">
        <f ca="1"/>
        <v>Multigrain</v>
      </c>
      <c r="G495" s="210">
        <f ca="1"/>
        <v>9150</v>
      </c>
      <c r="H495" s="210">
        <f ca="1"/>
        <v>36</v>
      </c>
      <c r="I495" s="210">
        <f ca="1"/>
        <v>135</v>
      </c>
      <c r="J495" s="210">
        <f ca="1"/>
        <v>30</v>
      </c>
      <c r="K495" s="210">
        <f ca="1"/>
        <v>449</v>
      </c>
      <c r="L495" s="210">
        <f ca="1"/>
        <v>650</v>
      </c>
      <c r="M495" s="210">
        <f ca="1"/>
        <v>8500</v>
      </c>
      <c r="N495" s="210">
        <f ca="1"/>
        <v>7</v>
      </c>
      <c r="O495" t="str">
        <f ca="1"/>
        <v>Day</v>
      </c>
      <c r="P495" s="211">
        <f ca="1"/>
        <v>0.92896174863387981</v>
      </c>
      <c r="Q495">
        <f ca="1"/>
        <v>9150</v>
      </c>
      <c r="R495">
        <f ca="1"/>
        <v>0</v>
      </c>
    </row>
    <row r="496" spans="2:18">
      <c r="B496" t="str">
        <f ca="1"/>
        <v>C39-AUG</v>
      </c>
      <c r="C496" s="209">
        <f ca="1"/>
        <v>46260</v>
      </c>
      <c r="D496" t="str">
        <f ca="1"/>
        <v>1,2,3,4</v>
      </c>
      <c r="E496" t="str">
        <f ca="1"/>
        <v>C39</v>
      </c>
      <c r="F496" t="str">
        <f ca="1"/>
        <v>Multigrain</v>
      </c>
      <c r="G496" s="210">
        <f ca="1"/>
        <v>9000</v>
      </c>
      <c r="H496" s="210">
        <f ca="1"/>
        <v>37</v>
      </c>
      <c r="I496" s="210">
        <f ca="1"/>
        <v>160</v>
      </c>
      <c r="J496" s="210">
        <f ca="1"/>
        <v>37</v>
      </c>
      <c r="K496" s="210">
        <f ca="1"/>
        <v>446</v>
      </c>
      <c r="L496" s="210">
        <f ca="1"/>
        <v>680</v>
      </c>
      <c r="M496" s="210">
        <f ca="1"/>
        <v>8320</v>
      </c>
      <c r="N496" s="210">
        <f ca="1"/>
        <v>7</v>
      </c>
      <c r="O496" t="str">
        <f ca="1"/>
        <v>Day</v>
      </c>
      <c r="P496" s="211">
        <f ca="1"/>
        <v>0.9244444444444444</v>
      </c>
      <c r="Q496">
        <f ca="1"/>
        <v>9000</v>
      </c>
      <c r="R496">
        <f ca="1"/>
        <v>0</v>
      </c>
    </row>
    <row r="497" spans="2:18">
      <c r="B497" t="str">
        <f ca="1"/>
        <v>C39-AUG</v>
      </c>
      <c r="C497" s="209">
        <f ca="1"/>
        <v>46261</v>
      </c>
      <c r="D497" t="str">
        <f ca="1"/>
        <v>1,2,3,4</v>
      </c>
      <c r="E497" t="str">
        <f ca="1"/>
        <v>C39</v>
      </c>
      <c r="F497" t="str">
        <f ca="1"/>
        <v>Multigrain</v>
      </c>
      <c r="G497" s="210">
        <f ca="1"/>
        <v>7400</v>
      </c>
      <c r="H497" s="210">
        <f ca="1"/>
        <v>28</v>
      </c>
      <c r="I497" s="210">
        <f ca="1"/>
        <v>132</v>
      </c>
      <c r="J497" s="210">
        <f ca="1"/>
        <v>19</v>
      </c>
      <c r="K497" s="210">
        <f ca="1"/>
        <v>301</v>
      </c>
      <c r="L497" s="210">
        <f ca="1"/>
        <v>480</v>
      </c>
      <c r="M497" s="210">
        <f ca="1"/>
        <v>6920</v>
      </c>
      <c r="N497" s="210">
        <f ca="1"/>
        <v>7</v>
      </c>
      <c r="O497" t="str">
        <f ca="1"/>
        <v>Day</v>
      </c>
      <c r="P497" s="211">
        <f ca="1"/>
        <v>0.93513513513513513</v>
      </c>
      <c r="Q497">
        <f ca="1"/>
        <v>7400</v>
      </c>
      <c r="R497">
        <f ca="1"/>
        <v>0</v>
      </c>
    </row>
    <row r="498" spans="2:18">
      <c r="B498" t="str">
        <f ca="1"/>
        <v>C39-AUG</v>
      </c>
      <c r="C498" s="209">
        <f ca="1"/>
        <v>46262</v>
      </c>
      <c r="D498" t="str">
        <f ca="1"/>
        <v>1,2,3,4</v>
      </c>
      <c r="E498" t="str">
        <f ca="1"/>
        <v>C39</v>
      </c>
      <c r="F498" t="str">
        <f ca="1"/>
        <v>Multigrain</v>
      </c>
      <c r="G498" s="210">
        <f ca="1"/>
        <v>10000</v>
      </c>
      <c r="H498" s="210">
        <f ca="1"/>
        <v>38</v>
      </c>
      <c r="I498" s="210">
        <f ca="1"/>
        <v>152</v>
      </c>
      <c r="J498" s="210">
        <f ca="1"/>
        <v>25</v>
      </c>
      <c r="K498" s="210">
        <f ca="1"/>
        <v>429</v>
      </c>
      <c r="L498" s="210">
        <f ca="1"/>
        <v>644</v>
      </c>
      <c r="M498" s="210">
        <f ca="1"/>
        <v>9356</v>
      </c>
      <c r="N498" s="210">
        <f ca="1"/>
        <v>7</v>
      </c>
      <c r="O498" t="str">
        <f ca="1"/>
        <v>Day</v>
      </c>
      <c r="P498" s="211">
        <f ca="1"/>
        <v>0.93559999999999999</v>
      </c>
      <c r="Q498">
        <f ca="1"/>
        <v>10000</v>
      </c>
      <c r="R498">
        <f ca="1"/>
        <v>0</v>
      </c>
    </row>
    <row r="499" spans="2:18">
      <c r="B499" t="str">
        <f ca="1"/>
        <v>C39-AUG</v>
      </c>
      <c r="C499" s="209">
        <f ca="1"/>
        <v>46263</v>
      </c>
      <c r="D499" t="str">
        <f ca="1"/>
        <v>1,2,3,4</v>
      </c>
      <c r="E499" t="str">
        <f ca="1"/>
        <v>C39</v>
      </c>
      <c r="F499" t="str">
        <f ca="1"/>
        <v>Khapli</v>
      </c>
      <c r="G499" s="210">
        <f ca="1"/>
        <v>5150</v>
      </c>
      <c r="H499" s="210">
        <f ca="1"/>
        <v>38</v>
      </c>
      <c r="I499" s="210">
        <f ca="1"/>
        <v>40</v>
      </c>
      <c r="J499" s="210">
        <f ca="1"/>
        <v>31</v>
      </c>
      <c r="K499" s="210">
        <f ca="1"/>
        <v>316</v>
      </c>
      <c r="L499" s="210">
        <f ca="1"/>
        <v>425</v>
      </c>
      <c r="M499" s="210">
        <f ca="1"/>
        <v>4725</v>
      </c>
      <c r="N499" s="210">
        <f ca="1"/>
        <v>7</v>
      </c>
      <c r="O499" t="str">
        <f ca="1"/>
        <v>Day</v>
      </c>
      <c r="P499" s="211">
        <f ca="1"/>
        <v>0.91747572815533984</v>
      </c>
      <c r="Q499">
        <f ca="1"/>
        <v>5150</v>
      </c>
      <c r="R499">
        <f ca="1"/>
        <v>0</v>
      </c>
    </row>
    <row r="500" spans="2:18">
      <c r="B500" t="str">
        <f ca="1"/>
        <v>C39-AUG</v>
      </c>
      <c r="C500" s="209">
        <f ca="1"/>
        <v>46264</v>
      </c>
      <c r="D500" t="str">
        <f ca="1"/>
        <v>1,,2,3,4</v>
      </c>
      <c r="E500" t="str">
        <f ca="1"/>
        <v>C39</v>
      </c>
      <c r="F500" t="str">
        <f ca="1"/>
        <v>Khapli</v>
      </c>
      <c r="G500" s="210">
        <f ca="1"/>
        <v>6900</v>
      </c>
      <c r="H500" s="210">
        <f ca="1"/>
        <v>45</v>
      </c>
      <c r="I500" s="210">
        <f ca="1"/>
        <v>240</v>
      </c>
      <c r="J500" s="210">
        <f ca="1"/>
        <v>28</v>
      </c>
      <c r="K500" s="210">
        <f ca="1"/>
        <v>254</v>
      </c>
      <c r="L500" s="210">
        <f ca="1"/>
        <v>567</v>
      </c>
      <c r="M500" s="210">
        <f ca="1"/>
        <v>6333</v>
      </c>
      <c r="N500" s="210">
        <f ca="1"/>
        <v>7</v>
      </c>
      <c r="O500" t="str">
        <f ca="1"/>
        <v>Day</v>
      </c>
      <c r="P500" s="211">
        <f ca="1"/>
        <v>0.91782608695652179</v>
      </c>
      <c r="Q500">
        <f ca="1"/>
        <v>6900</v>
      </c>
      <c r="R500">
        <f ca="1"/>
        <v>0</v>
      </c>
    </row>
    <row r="501" spans="2:18">
      <c r="B501" t="str">
        <f ca="1"/>
        <v>C39-AUG</v>
      </c>
      <c r="C501" s="209">
        <f ca="1"/>
        <v>46265</v>
      </c>
      <c r="D501" t="str">
        <f ca="1"/>
        <v>1,2,3,4</v>
      </c>
      <c r="E501" t="str">
        <f ca="1"/>
        <v>C39</v>
      </c>
      <c r="F501" t="str">
        <f ca="1"/>
        <v>Khapli</v>
      </c>
      <c r="G501" s="210">
        <f ca="1"/>
        <v>7300</v>
      </c>
      <c r="H501" s="210">
        <f ca="1"/>
        <v>58</v>
      </c>
      <c r="I501" s="210">
        <f ca="1"/>
        <v>73</v>
      </c>
      <c r="J501" s="210">
        <f ca="1"/>
        <v>34</v>
      </c>
      <c r="K501" s="210">
        <f ca="1"/>
        <v>323</v>
      </c>
      <c r="L501" s="210">
        <f ca="1"/>
        <v>488</v>
      </c>
      <c r="M501" s="210">
        <f ca="1"/>
        <v>6812</v>
      </c>
      <c r="N501" s="210">
        <f ca="1"/>
        <v>7</v>
      </c>
      <c r="O501" t="str">
        <f ca="1"/>
        <v>Day</v>
      </c>
      <c r="P501" s="211">
        <f ca="1"/>
        <v>0.93315068493150688</v>
      </c>
      <c r="Q501">
        <f ca="1"/>
        <v>7300</v>
      </c>
      <c r="R501">
        <f ca="1"/>
        <v>0</v>
      </c>
    </row>
    <row r="502" spans="2:18">
      <c r="B502" t="str">
        <f ca="1"/>
        <v>C6 SEP</v>
      </c>
      <c r="C502" s="209">
        <f ca="1"/>
        <v>46266</v>
      </c>
      <c r="D502" t="str">
        <f ca="1"/>
        <v>chakki1,2,3</v>
      </c>
      <c r="E502" t="str">
        <f ca="1"/>
        <v>C6 New Plant</v>
      </c>
      <c r="F502" t="str">
        <f ca="1"/>
        <v>khapli protein grains</v>
      </c>
      <c r="G502" s="210">
        <f ca="1"/>
        <v>5092</v>
      </c>
      <c r="H502" s="210">
        <f ca="1"/>
        <v>2</v>
      </c>
      <c r="I502" s="210">
        <f ca="1"/>
        <v>198</v>
      </c>
      <c r="J502" s="210">
        <f ca="1"/>
        <v>10</v>
      </c>
      <c r="K502" s="210">
        <f ca="1"/>
        <v>100</v>
      </c>
      <c r="L502" s="210">
        <f ca="1"/>
        <v>310</v>
      </c>
      <c r="M502" s="210">
        <f ca="1"/>
        <v>4782</v>
      </c>
      <c r="N502" s="210">
        <f ca="1"/>
        <v>3</v>
      </c>
      <c r="O502" t="str">
        <f ca="1"/>
        <v>Day</v>
      </c>
      <c r="P502" s="211">
        <f ca="1"/>
        <v>0.93912018853102908</v>
      </c>
      <c r="Q502">
        <f ca="1"/>
        <v>5092</v>
      </c>
      <c r="R502">
        <f ca="1"/>
        <v>0</v>
      </c>
    </row>
    <row r="503" spans="2:18">
      <c r="B503" t="str">
        <f ca="1"/>
        <v>C6 SEP</v>
      </c>
      <c r="C503" s="209">
        <f ca="1"/>
        <v>46266</v>
      </c>
      <c r="D503" t="str">
        <f ca="1"/>
        <v>chakki1,2,3</v>
      </c>
      <c r="E503" t="str">
        <f ca="1"/>
        <v>C6 Old Plant</v>
      </c>
      <c r="F503" t="str">
        <f ca="1"/>
        <v>khapli protein grains</v>
      </c>
      <c r="G503" s="210">
        <f ca="1"/>
        <v>2134</v>
      </c>
      <c r="H503" s="210">
        <f ca="1"/>
        <v>2</v>
      </c>
      <c r="I503" s="210">
        <f ca="1"/>
        <v>15.8</v>
      </c>
      <c r="J503" s="210">
        <f ca="1"/>
        <v>4</v>
      </c>
      <c r="K503" s="210">
        <f ca="1"/>
        <v>137.69999999999999</v>
      </c>
      <c r="L503" s="210">
        <f ca="1"/>
        <v>159.5</v>
      </c>
      <c r="M503" s="210">
        <f ca="1"/>
        <v>1974.5</v>
      </c>
      <c r="N503" s="210">
        <f ca="1"/>
        <v>3</v>
      </c>
      <c r="O503" t="str">
        <f ca="1"/>
        <v>Day</v>
      </c>
      <c r="P503" s="211">
        <f ca="1"/>
        <v>0.92525773195876293</v>
      </c>
      <c r="Q503">
        <f ca="1"/>
        <v>2134</v>
      </c>
      <c r="R503">
        <f ca="1"/>
        <v>0</v>
      </c>
    </row>
    <row r="504" spans="2:18">
      <c r="B504" t="str">
        <f ca="1"/>
        <v>C6 SEP</v>
      </c>
      <c r="C504" s="209">
        <f ca="1"/>
        <v>46267</v>
      </c>
      <c r="D504" t="str">
        <f ca="1"/>
        <v>chakki1,2,3</v>
      </c>
      <c r="E504" t="str">
        <f ca="1"/>
        <v>C6 New Plant</v>
      </c>
      <c r="F504" t="str">
        <f ca="1"/>
        <v>khapli protein grains</v>
      </c>
      <c r="G504" s="210">
        <f ca="1"/>
        <v>4462</v>
      </c>
      <c r="H504" s="210">
        <f ca="1"/>
        <v>1</v>
      </c>
      <c r="I504" s="210">
        <f ca="1"/>
        <v>160</v>
      </c>
      <c r="J504" s="210">
        <f ca="1"/>
        <v>3</v>
      </c>
      <c r="K504" s="210">
        <f ca="1"/>
        <v>196</v>
      </c>
      <c r="L504" s="210">
        <f ca="1"/>
        <v>360</v>
      </c>
      <c r="M504" s="210">
        <f ca="1"/>
        <v>4102</v>
      </c>
      <c r="N504" s="210">
        <f ca="1"/>
        <v>4</v>
      </c>
      <c r="O504" t="str">
        <f ca="1"/>
        <v>Day</v>
      </c>
      <c r="P504" s="211">
        <f ca="1"/>
        <v>0.91931869116987897</v>
      </c>
      <c r="Q504">
        <f ca="1"/>
        <v>4462</v>
      </c>
      <c r="R504">
        <f ca="1"/>
        <v>0</v>
      </c>
    </row>
    <row r="505" spans="2:18">
      <c r="B505" t="str">
        <f ca="1"/>
        <v>C6 SEP</v>
      </c>
      <c r="C505" s="209">
        <f ca="1"/>
        <v>46267</v>
      </c>
      <c r="D505" t="str">
        <f ca="1"/>
        <v>chakki1,2,3</v>
      </c>
      <c r="E505" t="str">
        <f ca="1"/>
        <v>C6 Old Plant</v>
      </c>
      <c r="F505" t="str">
        <f ca="1"/>
        <v>khapli multigrian 60%</v>
      </c>
      <c r="G505" s="210">
        <f ca="1"/>
        <v>1000</v>
      </c>
      <c r="H505" s="210">
        <f ca="1"/>
        <v>1</v>
      </c>
      <c r="I505" s="210">
        <f ca="1"/>
        <v>10</v>
      </c>
      <c r="J505" s="210">
        <f ca="1"/>
        <v>2</v>
      </c>
      <c r="K505" s="210">
        <f ca="1"/>
        <v>17</v>
      </c>
      <c r="L505" s="210">
        <f ca="1"/>
        <v>30</v>
      </c>
      <c r="M505" s="210">
        <f ca="1"/>
        <v>970</v>
      </c>
      <c r="N505" s="210">
        <f ca="1"/>
        <v>4</v>
      </c>
      <c r="O505" t="str">
        <f ca="1"/>
        <v>Day</v>
      </c>
      <c r="P505" s="211">
        <f ca="1"/>
        <v>0.97</v>
      </c>
      <c r="Q505">
        <f ca="1"/>
        <v>1000</v>
      </c>
      <c r="R505">
        <f ca="1"/>
        <v>0</v>
      </c>
    </row>
    <row r="506" spans="2:18">
      <c r="B506" t="str">
        <f ca="1"/>
        <v>C6 SEP</v>
      </c>
      <c r="C506" s="209">
        <f ca="1"/>
        <v>46268</v>
      </c>
      <c r="D506" t="str">
        <f ca="1"/>
        <v>chakki1,2,3</v>
      </c>
      <c r="E506" t="str">
        <f ca="1"/>
        <v>C6 New Plant</v>
      </c>
      <c r="F506" t="str">
        <f ca="1"/>
        <v>khapli protein grains</v>
      </c>
      <c r="G506" s="210">
        <f ca="1"/>
        <v>3395</v>
      </c>
      <c r="H506" s="210">
        <f ca="1"/>
        <v>1</v>
      </c>
      <c r="I506" s="210">
        <f ca="1"/>
        <v>160</v>
      </c>
      <c r="J506" s="210">
        <f ca="1"/>
        <v>3</v>
      </c>
      <c r="K506" s="210">
        <f ca="1"/>
        <v>54</v>
      </c>
      <c r="L506" s="210">
        <f ca="1"/>
        <v>218</v>
      </c>
      <c r="M506" s="210">
        <f ca="1"/>
        <v>3177</v>
      </c>
      <c r="N506" s="210">
        <f ca="1"/>
        <v>4</v>
      </c>
      <c r="O506" t="str">
        <f ca="1"/>
        <v>Day</v>
      </c>
      <c r="P506" s="211">
        <f ca="1"/>
        <v>0.9357879234167894</v>
      </c>
      <c r="Q506">
        <f ca="1"/>
        <v>3395</v>
      </c>
      <c r="R506">
        <f ca="1"/>
        <v>0</v>
      </c>
    </row>
    <row r="507" spans="2:18">
      <c r="B507" t="str">
        <f ca="1"/>
        <v>C6 SEP</v>
      </c>
      <c r="C507" s="209">
        <f ca="1"/>
        <v>46269</v>
      </c>
      <c r="D507" t="str">
        <f ca="1"/>
        <v>chakki1,2,3</v>
      </c>
      <c r="E507" t="str">
        <f ca="1"/>
        <v>C6 New Plant</v>
      </c>
      <c r="F507" t="str">
        <f ca="1"/>
        <v>khapli protein grains</v>
      </c>
      <c r="G507" s="210">
        <f ca="1"/>
        <v>4704.5</v>
      </c>
      <c r="H507" s="210">
        <f ca="1"/>
        <v>0</v>
      </c>
      <c r="I507" s="210">
        <f ca="1"/>
        <v>158</v>
      </c>
      <c r="J507" s="210">
        <f ca="1"/>
        <v>4</v>
      </c>
      <c r="K507" s="210">
        <f ca="1"/>
        <v>168.5</v>
      </c>
      <c r="L507" s="210">
        <f ca="1"/>
        <v>330.5</v>
      </c>
      <c r="M507" s="210">
        <f ca="1"/>
        <v>4374</v>
      </c>
      <c r="N507" s="210">
        <f ca="1"/>
        <v>4</v>
      </c>
      <c r="O507" t="str">
        <f ca="1"/>
        <v>Day</v>
      </c>
      <c r="P507" s="211">
        <f ca="1"/>
        <v>0.92974811350834308</v>
      </c>
      <c r="Q507">
        <f ca="1"/>
        <v>4704.5</v>
      </c>
      <c r="R507">
        <f ca="1"/>
        <v>0</v>
      </c>
    </row>
    <row r="508" spans="2:18">
      <c r="B508" t="str">
        <f ca="1"/>
        <v>C6 SEP</v>
      </c>
      <c r="C508" s="209">
        <f ca="1"/>
        <v>46270</v>
      </c>
      <c r="D508" t="str">
        <f ca="1"/>
        <v>chakki1,2,3</v>
      </c>
      <c r="E508" t="str">
        <f ca="1"/>
        <v>C6 New Plant</v>
      </c>
      <c r="F508" t="str">
        <f ca="1"/>
        <v>khapli protein grains</v>
      </c>
      <c r="G508" s="210">
        <f ca="1"/>
        <v>4413.5</v>
      </c>
      <c r="H508" s="210">
        <f ca="1"/>
        <v>1</v>
      </c>
      <c r="I508" s="210">
        <f ca="1"/>
        <v>165</v>
      </c>
      <c r="J508" s="210">
        <f ca="1"/>
        <v>2</v>
      </c>
      <c r="K508" s="210">
        <f ca="1"/>
        <v>188.5</v>
      </c>
      <c r="L508" s="210">
        <f ca="1"/>
        <v>356.5</v>
      </c>
      <c r="M508" s="210">
        <f ca="1"/>
        <v>4057</v>
      </c>
      <c r="N508" s="210">
        <f ca="1"/>
        <v>4</v>
      </c>
      <c r="O508" t="str">
        <f ca="1"/>
        <v>Day</v>
      </c>
      <c r="P508" s="211">
        <f ca="1"/>
        <v>0.91922510479211506</v>
      </c>
      <c r="Q508">
        <f ca="1"/>
        <v>4413.5</v>
      </c>
      <c r="R508">
        <f ca="1"/>
        <v>0</v>
      </c>
    </row>
    <row r="509" spans="2:18">
      <c r="B509" t="str">
        <f ca="1"/>
        <v>C6 SEP</v>
      </c>
      <c r="C509" s="209">
        <f ca="1"/>
        <v>46272</v>
      </c>
      <c r="D509" t="str">
        <f ca="1"/>
        <v>chakki1,2,3</v>
      </c>
      <c r="E509" t="str">
        <f ca="1"/>
        <v>C6 New Plant</v>
      </c>
      <c r="F509" t="str">
        <f ca="1"/>
        <v>khapli protein grains</v>
      </c>
      <c r="G509" s="210">
        <f ca="1"/>
        <v>4025.5</v>
      </c>
      <c r="H509" s="210">
        <f ca="1"/>
        <v>0</v>
      </c>
      <c r="I509" s="210">
        <f ca="1"/>
        <v>127</v>
      </c>
      <c r="J509" s="210">
        <f ca="1"/>
        <v>3</v>
      </c>
      <c r="K509" s="210">
        <f ca="1"/>
        <v>99.5</v>
      </c>
      <c r="L509" s="210">
        <f ca="1"/>
        <v>229.5</v>
      </c>
      <c r="M509" s="210">
        <f ca="1"/>
        <v>3796</v>
      </c>
      <c r="N509" s="210">
        <f ca="1"/>
        <v>4</v>
      </c>
      <c r="O509" t="str">
        <f ca="1"/>
        <v>Day</v>
      </c>
      <c r="P509" s="211">
        <f ca="1"/>
        <v>0.94298844863992048</v>
      </c>
      <c r="Q509">
        <f ca="1"/>
        <v>4025.5</v>
      </c>
      <c r="R509">
        <f ca="1"/>
        <v>0</v>
      </c>
    </row>
    <row r="510" spans="2:18">
      <c r="B510" t="str">
        <f ca="1"/>
        <v>C6 SEP</v>
      </c>
      <c r="C510" s="209">
        <f ca="1"/>
        <v>46273</v>
      </c>
      <c r="D510" t="str">
        <f ca="1"/>
        <v>chakki1,2,3</v>
      </c>
      <c r="E510" t="str">
        <f ca="1"/>
        <v>C6 New Plant</v>
      </c>
      <c r="F510" t="str">
        <f ca="1"/>
        <v>khapli protein grains</v>
      </c>
      <c r="G510" s="210">
        <f ca="1"/>
        <v>4654.3</v>
      </c>
      <c r="H510" s="210">
        <f ca="1"/>
        <v>1</v>
      </c>
      <c r="I510" s="210">
        <f ca="1"/>
        <v>210</v>
      </c>
      <c r="J510" s="210">
        <f ca="1"/>
        <v>2</v>
      </c>
      <c r="K510" s="210">
        <f ca="1"/>
        <v>77.3</v>
      </c>
      <c r="L510" s="210">
        <f ca="1"/>
        <v>290.3</v>
      </c>
      <c r="M510" s="210">
        <f ca="1"/>
        <v>4364</v>
      </c>
      <c r="N510" s="210">
        <f ca="1"/>
        <v>4</v>
      </c>
      <c r="O510" t="str">
        <f ca="1"/>
        <v>Day</v>
      </c>
      <c r="P510" s="211">
        <f ca="1"/>
        <v>0.93762757020389742</v>
      </c>
      <c r="Q510">
        <f ca="1"/>
        <v>4654.3</v>
      </c>
      <c r="R510">
        <f ca="1"/>
        <v>0</v>
      </c>
    </row>
    <row r="511" spans="2:18">
      <c r="B511" t="str">
        <f ca="1"/>
        <v>C6 SEP</v>
      </c>
      <c r="C511" s="209">
        <f ca="1"/>
        <v>46274</v>
      </c>
      <c r="D511" t="str">
        <f ca="1"/>
        <v>chakki1,2,3</v>
      </c>
      <c r="E511" t="str">
        <f ca="1"/>
        <v>C6 New Plant</v>
      </c>
      <c r="F511" t="str">
        <f ca="1"/>
        <v>khapli protein grains</v>
      </c>
      <c r="G511" s="210">
        <f ca="1"/>
        <v>3978</v>
      </c>
      <c r="H511" s="210">
        <f ca="1"/>
        <v>1</v>
      </c>
      <c r="I511" s="210">
        <f ca="1"/>
        <v>179</v>
      </c>
      <c r="J511" s="210">
        <f ca="1"/>
        <v>2</v>
      </c>
      <c r="K511" s="210">
        <f ca="1"/>
        <v>159</v>
      </c>
      <c r="L511" s="210">
        <f ca="1"/>
        <v>341</v>
      </c>
      <c r="M511" s="210">
        <f ca="1"/>
        <v>3637</v>
      </c>
      <c r="N511" s="210">
        <f ca="1"/>
        <v>4</v>
      </c>
      <c r="O511" t="str">
        <f ca="1"/>
        <v>Day</v>
      </c>
      <c r="P511" s="211">
        <f ca="1"/>
        <v>0.91427853192559072</v>
      </c>
      <c r="Q511">
        <f ca="1"/>
        <v>3978</v>
      </c>
      <c r="R511">
        <f ca="1"/>
        <v>0</v>
      </c>
    </row>
    <row r="512" spans="2:18">
      <c r="B512" t="str">
        <f ca="1"/>
        <v>C6 SEP</v>
      </c>
      <c r="C512" s="209">
        <f ca="1"/>
        <v>46275</v>
      </c>
      <c r="D512" t="str">
        <f ca="1"/>
        <v>chakki1,2,3</v>
      </c>
      <c r="E512" t="str">
        <f ca="1"/>
        <v>C6 New Plant</v>
      </c>
      <c r="F512" t="str">
        <f ca="1"/>
        <v>khapli protein grains</v>
      </c>
      <c r="G512" s="210">
        <f ca="1"/>
        <v>4549</v>
      </c>
      <c r="H512" s="210">
        <f ca="1"/>
        <v>1</v>
      </c>
      <c r="I512" s="210">
        <f ca="1"/>
        <v>209</v>
      </c>
      <c r="J512" s="210">
        <f ca="1"/>
        <v>3</v>
      </c>
      <c r="K512" s="210">
        <f ca="1"/>
        <v>164</v>
      </c>
      <c r="L512" s="210">
        <f ca="1"/>
        <v>377</v>
      </c>
      <c r="M512" s="210">
        <f ca="1"/>
        <v>4172</v>
      </c>
      <c r="N512" s="210">
        <f ca="1"/>
        <v>4</v>
      </c>
      <c r="O512" t="str">
        <f ca="1"/>
        <v>Day</v>
      </c>
      <c r="P512" s="211">
        <f ca="1"/>
        <v>0.9171246427786327</v>
      </c>
      <c r="Q512">
        <f ca="1"/>
        <v>4549</v>
      </c>
      <c r="R512">
        <f ca="1"/>
        <v>0</v>
      </c>
    </row>
    <row r="513" spans="2:18">
      <c r="B513" t="str">
        <f ca="1"/>
        <v>C6 SEP</v>
      </c>
      <c r="C513" s="209">
        <f ca="1"/>
        <v>46275</v>
      </c>
      <c r="D513" t="str">
        <f ca="1"/>
        <v>chakki1,2,3</v>
      </c>
      <c r="E513" t="str">
        <f ca="1"/>
        <v>C6 Old Plant</v>
      </c>
      <c r="F513" t="str">
        <f ca="1"/>
        <v>khapli protein grains</v>
      </c>
      <c r="G513" s="210">
        <f ca="1"/>
        <v>2182.5</v>
      </c>
      <c r="H513" s="210">
        <f ca="1"/>
        <v>1</v>
      </c>
      <c r="I513" s="210">
        <f ca="1"/>
        <v>14</v>
      </c>
      <c r="J513" s="210">
        <f ca="1"/>
        <v>2</v>
      </c>
      <c r="K513" s="210">
        <f ca="1"/>
        <v>140.5</v>
      </c>
      <c r="L513" s="210">
        <f ca="1"/>
        <v>157.5</v>
      </c>
      <c r="M513" s="210">
        <f ca="1"/>
        <v>2025</v>
      </c>
      <c r="N513" s="210">
        <f ca="1"/>
        <v>4</v>
      </c>
      <c r="O513" t="str">
        <f ca="1"/>
        <v>Day</v>
      </c>
      <c r="P513" s="211">
        <f ca="1"/>
        <v>0.92783505154639179</v>
      </c>
      <c r="Q513">
        <f ca="1"/>
        <v>2182.5</v>
      </c>
      <c r="R513">
        <f ca="1"/>
        <v>0</v>
      </c>
    </row>
    <row r="514" spans="2:18">
      <c r="B514" t="str">
        <f ca="1"/>
        <v>C6 SEP</v>
      </c>
      <c r="C514" s="209">
        <f ca="1"/>
        <v>46276</v>
      </c>
      <c r="D514" t="str">
        <f ca="1"/>
        <v>chakki1,2,3</v>
      </c>
      <c r="E514" t="str">
        <f ca="1"/>
        <v>C6 New Plant</v>
      </c>
      <c r="F514" t="str">
        <f ca="1"/>
        <v>khapli protein grains</v>
      </c>
      <c r="G514" s="210">
        <f ca="1"/>
        <v>4313.5</v>
      </c>
      <c r="H514" s="210">
        <f ca="1"/>
        <v>1</v>
      </c>
      <c r="I514" s="210">
        <f ca="1"/>
        <v>132</v>
      </c>
      <c r="J514" s="210">
        <f ca="1"/>
        <v>3</v>
      </c>
      <c r="K514" s="210">
        <f ca="1"/>
        <v>209.5</v>
      </c>
      <c r="L514" s="210">
        <f ca="1"/>
        <v>345.5</v>
      </c>
      <c r="M514" s="210">
        <f ca="1"/>
        <v>3968</v>
      </c>
      <c r="N514" s="210">
        <f ca="1"/>
        <v>4</v>
      </c>
      <c r="O514" t="str">
        <f ca="1"/>
        <v>Day</v>
      </c>
      <c r="P514" s="211">
        <f ca="1"/>
        <v>0.91990263127390748</v>
      </c>
      <c r="Q514">
        <f ca="1"/>
        <v>4313.5</v>
      </c>
      <c r="R514">
        <f ca="1"/>
        <v>0</v>
      </c>
    </row>
    <row r="515" spans="2:18">
      <c r="B515" t="str">
        <f ca="1"/>
        <v>C6 SEP</v>
      </c>
      <c r="C515" s="209">
        <f ca="1"/>
        <v>46276</v>
      </c>
      <c r="D515" t="str">
        <f ca="1"/>
        <v>chakki1,2,3</v>
      </c>
      <c r="E515" t="str">
        <f ca="1"/>
        <v>C6 Old Plant</v>
      </c>
      <c r="F515" t="str">
        <f ca="1"/>
        <v>khapli protein grains</v>
      </c>
      <c r="G515" s="210">
        <f ca="1"/>
        <v>1891.5</v>
      </c>
      <c r="H515" s="210">
        <f ca="1"/>
        <v>1</v>
      </c>
      <c r="I515" s="210">
        <f ca="1"/>
        <v>14</v>
      </c>
      <c r="J515" s="210">
        <f ca="1"/>
        <v>1</v>
      </c>
      <c r="K515" s="210">
        <f ca="1"/>
        <v>73.5</v>
      </c>
      <c r="L515" s="210">
        <f ca="1"/>
        <v>89.5</v>
      </c>
      <c r="M515" s="210">
        <f ca="1"/>
        <v>1802</v>
      </c>
      <c r="N515" s="210">
        <f ca="1"/>
        <v>4</v>
      </c>
      <c r="O515" t="str">
        <f ca="1"/>
        <v>Day</v>
      </c>
      <c r="P515" s="211">
        <f ca="1"/>
        <v>0.95268305577583923</v>
      </c>
      <c r="Q515">
        <f ca="1"/>
        <v>1891.5</v>
      </c>
      <c r="R515">
        <f ca="1"/>
        <v>0</v>
      </c>
    </row>
    <row r="516" spans="2:18">
      <c r="B516" t="str">
        <f ca="1"/>
        <v>C6 SEP</v>
      </c>
      <c r="C516" s="209">
        <f ca="1"/>
        <v>46277</v>
      </c>
      <c r="D516" t="str">
        <f ca="1"/>
        <v>chakki1,2,3</v>
      </c>
      <c r="E516" t="str">
        <f ca="1"/>
        <v>C6 New Plant</v>
      </c>
      <c r="F516" t="str">
        <f ca="1"/>
        <v>khapli protein grains</v>
      </c>
      <c r="G516" s="210">
        <f ca="1"/>
        <v>3926</v>
      </c>
      <c r="H516" s="210">
        <f ca="1"/>
        <v>1</v>
      </c>
      <c r="I516" s="210">
        <f ca="1"/>
        <v>161</v>
      </c>
      <c r="J516" s="210">
        <f ca="1"/>
        <v>2</v>
      </c>
      <c r="K516" s="210">
        <f ca="1"/>
        <v>125</v>
      </c>
      <c r="L516" s="210">
        <f ca="1"/>
        <v>289</v>
      </c>
      <c r="M516" s="210">
        <f ca="1"/>
        <v>3637</v>
      </c>
      <c r="N516" s="210">
        <f ca="1"/>
        <v>4</v>
      </c>
      <c r="O516" t="str">
        <f ca="1"/>
        <v>Day</v>
      </c>
      <c r="P516" s="211">
        <f ca="1"/>
        <v>0.92638818135506873</v>
      </c>
      <c r="Q516">
        <f ca="1"/>
        <v>3926</v>
      </c>
      <c r="R516">
        <f ca="1"/>
        <v>0</v>
      </c>
    </row>
    <row r="517" spans="2:18">
      <c r="B517" t="str">
        <f ca="1"/>
        <v>C6 SEP</v>
      </c>
      <c r="C517" s="209">
        <f ca="1"/>
        <v>46277</v>
      </c>
      <c r="D517" t="str">
        <f ca="1"/>
        <v>chakki1,2,3</v>
      </c>
      <c r="E517" t="str">
        <f ca="1"/>
        <v>C6 Old Plant</v>
      </c>
      <c r="F517" t="str">
        <f ca="1"/>
        <v>khapli protein grains</v>
      </c>
      <c r="G517" s="210">
        <f ca="1"/>
        <v>2037</v>
      </c>
      <c r="H517" s="210">
        <f ca="1"/>
        <v>1</v>
      </c>
      <c r="I517" s="210">
        <f ca="1"/>
        <v>12</v>
      </c>
      <c r="J517" s="210">
        <f ca="1"/>
        <v>2</v>
      </c>
      <c r="K517" s="210">
        <f ca="1"/>
        <v>102</v>
      </c>
      <c r="L517" s="210">
        <f ca="1"/>
        <v>117</v>
      </c>
      <c r="M517" s="210">
        <f ca="1"/>
        <v>1920</v>
      </c>
      <c r="N517" s="210">
        <f ca="1"/>
        <v>4</v>
      </c>
      <c r="O517" t="str">
        <f ca="1"/>
        <v>Day</v>
      </c>
      <c r="P517" s="211">
        <f ca="1"/>
        <v>0.94256259204712811</v>
      </c>
      <c r="Q517">
        <f ca="1"/>
        <v>2037</v>
      </c>
      <c r="R517">
        <f ca="1"/>
        <v>0</v>
      </c>
    </row>
    <row r="518" spans="2:18">
      <c r="B518" t="str">
        <f ca="1"/>
        <v>C6 SEP</v>
      </c>
      <c r="C518" s="209">
        <f ca="1"/>
        <v>46280</v>
      </c>
      <c r="D518" t="str">
        <f ca="1"/>
        <v>chakki1,2,3</v>
      </c>
      <c r="E518" t="str">
        <f ca="1"/>
        <v>C6 New Plant</v>
      </c>
      <c r="F518" t="str">
        <f ca="1"/>
        <v>khapli protein grains</v>
      </c>
      <c r="G518" s="210">
        <f ca="1"/>
        <v>3830</v>
      </c>
      <c r="H518" s="210">
        <f ca="1"/>
        <v>1</v>
      </c>
      <c r="I518" s="210">
        <f ca="1"/>
        <v>187</v>
      </c>
      <c r="J518" s="210">
        <f ca="1"/>
        <v>2</v>
      </c>
      <c r="K518" s="210">
        <f ca="1"/>
        <v>145</v>
      </c>
      <c r="L518" s="210">
        <f ca="1"/>
        <v>335</v>
      </c>
      <c r="M518" s="210">
        <f ca="1"/>
        <v>3495</v>
      </c>
      <c r="N518" s="210">
        <f ca="1"/>
        <v>4</v>
      </c>
      <c r="O518" t="str">
        <f ca="1"/>
        <v>Day</v>
      </c>
      <c r="P518" s="211">
        <f ca="1"/>
        <v>0.91253263707571797</v>
      </c>
      <c r="Q518">
        <f ca="1"/>
        <v>3830</v>
      </c>
      <c r="R518">
        <f ca="1"/>
        <v>0</v>
      </c>
    </row>
    <row r="519" spans="2:18">
      <c r="B519" t="str">
        <f ca="1"/>
        <v>C6 SEP</v>
      </c>
      <c r="C519" s="209">
        <f ca="1"/>
        <v>46280</v>
      </c>
      <c r="D519" t="str">
        <f ca="1"/>
        <v>chakki1,2,3</v>
      </c>
      <c r="E519" t="str">
        <f ca="1"/>
        <v>C6 Old Plant</v>
      </c>
      <c r="F519" t="str">
        <f ca="1"/>
        <v>khapli protein grains</v>
      </c>
      <c r="G519" s="210">
        <f ca="1"/>
        <v>1746</v>
      </c>
      <c r="H519" s="210">
        <f ca="1"/>
        <v>1</v>
      </c>
      <c r="I519" s="210">
        <f ca="1"/>
        <v>15</v>
      </c>
      <c r="J519" s="210">
        <f ca="1"/>
        <v>1</v>
      </c>
      <c r="K519" s="210">
        <f ca="1"/>
        <v>89</v>
      </c>
      <c r="L519" s="210">
        <f ca="1"/>
        <v>106</v>
      </c>
      <c r="M519" s="210">
        <f ca="1"/>
        <v>1640</v>
      </c>
      <c r="N519" s="210">
        <f ca="1"/>
        <v>4</v>
      </c>
      <c r="O519" t="str">
        <f ca="1"/>
        <v>Day</v>
      </c>
      <c r="P519" s="211">
        <f ca="1"/>
        <v>0.93928980526918671</v>
      </c>
      <c r="Q519">
        <f ca="1"/>
        <v>1746</v>
      </c>
      <c r="R519">
        <f ca="1"/>
        <v>0</v>
      </c>
    </row>
    <row r="520" spans="2:18">
      <c r="B520" t="str">
        <f ca="1"/>
        <v>C6 SEP</v>
      </c>
      <c r="C520" s="209">
        <f ca="1"/>
        <v>46281</v>
      </c>
      <c r="D520" t="str">
        <f ca="1"/>
        <v>chakki1,2,3</v>
      </c>
      <c r="E520" t="str">
        <f ca="1"/>
        <v>C6 New Plant</v>
      </c>
      <c r="F520" t="str">
        <f ca="1"/>
        <v>khapli protein grains</v>
      </c>
      <c r="G520" s="210">
        <f ca="1"/>
        <v>4023</v>
      </c>
      <c r="H520" s="210">
        <f ca="1"/>
        <v>1</v>
      </c>
      <c r="I520" s="210">
        <f ca="1"/>
        <v>210</v>
      </c>
      <c r="J520" s="210">
        <f ca="1"/>
        <v>1</v>
      </c>
      <c r="K520" s="210">
        <f ca="1"/>
        <v>76</v>
      </c>
      <c r="L520" s="210">
        <f ca="1"/>
        <v>288</v>
      </c>
      <c r="M520" s="210">
        <f ca="1"/>
        <v>3735</v>
      </c>
      <c r="N520" s="210">
        <f ca="1"/>
        <v>4</v>
      </c>
      <c r="O520" t="str">
        <f ca="1"/>
        <v>Day</v>
      </c>
      <c r="P520" s="211">
        <f ca="1"/>
        <v>0.92841163310961972</v>
      </c>
      <c r="Q520">
        <f ca="1"/>
        <v>4023</v>
      </c>
      <c r="R520">
        <f ca="1"/>
        <v>0</v>
      </c>
    </row>
    <row r="521" spans="2:18">
      <c r="B521" t="str">
        <f ca="1"/>
        <v>C6 SEP</v>
      </c>
      <c r="C521" s="209">
        <f ca="1"/>
        <v>46281</v>
      </c>
      <c r="D521" t="str">
        <f ca="1"/>
        <v>chakki1,2,3</v>
      </c>
      <c r="E521" t="str">
        <f ca="1"/>
        <v>C6 Old Plant</v>
      </c>
      <c r="F521" t="str">
        <f ca="1"/>
        <v>jowar grains</v>
      </c>
      <c r="G521" s="210">
        <f ca="1"/>
        <v>1200</v>
      </c>
      <c r="H521" s="210">
        <f ca="1"/>
        <v>0</v>
      </c>
      <c r="I521" s="210">
        <f ca="1"/>
        <v>36</v>
      </c>
      <c r="J521" s="210">
        <f ca="1"/>
        <v>1</v>
      </c>
      <c r="K521" s="210">
        <f ca="1"/>
        <v>74.5</v>
      </c>
      <c r="L521" s="210">
        <f ca="1"/>
        <v>111.5</v>
      </c>
      <c r="M521" s="210">
        <f ca="1"/>
        <v>1088.5</v>
      </c>
      <c r="N521" s="210">
        <f ca="1"/>
        <v>4</v>
      </c>
      <c r="O521" t="str">
        <f ca="1"/>
        <v>Day</v>
      </c>
      <c r="P521" s="211">
        <f ca="1"/>
        <v>0.90708333333333335</v>
      </c>
      <c r="Q521">
        <f ca="1"/>
        <v>1200</v>
      </c>
      <c r="R521">
        <f ca="1"/>
        <v>0</v>
      </c>
    </row>
    <row r="522" spans="2:18">
      <c r="B522" t="str">
        <f ca="1"/>
        <v>C6 SEP</v>
      </c>
      <c r="C522" s="209">
        <f ca="1"/>
        <v>46283</v>
      </c>
      <c r="D522" t="str">
        <f ca="1"/>
        <v>chakki1,2,3</v>
      </c>
      <c r="E522" t="str">
        <f ca="1"/>
        <v>C6 New Plant</v>
      </c>
      <c r="F522" t="str">
        <f ca="1"/>
        <v>khapli protein grains</v>
      </c>
      <c r="G522" s="210">
        <f ca="1"/>
        <v>4510.5</v>
      </c>
      <c r="H522" s="210">
        <f ca="1"/>
        <v>1</v>
      </c>
      <c r="I522" s="210">
        <f ca="1"/>
        <v>103</v>
      </c>
      <c r="J522" s="210">
        <f ca="1"/>
        <v>2</v>
      </c>
      <c r="K522" s="210">
        <f ca="1"/>
        <v>203.5</v>
      </c>
      <c r="L522" s="210">
        <f ca="1"/>
        <v>309.5</v>
      </c>
      <c r="M522" s="210">
        <f ca="1"/>
        <v>4201</v>
      </c>
      <c r="N522" s="210">
        <f ca="1"/>
        <v>4</v>
      </c>
      <c r="O522" t="str">
        <f ca="1"/>
        <v>Day</v>
      </c>
      <c r="P522" s="211">
        <f ca="1"/>
        <v>0.93138233011861216</v>
      </c>
      <c r="Q522">
        <f ca="1"/>
        <v>4510.5</v>
      </c>
      <c r="R522">
        <f ca="1"/>
        <v>0</v>
      </c>
    </row>
    <row r="523" spans="2:18">
      <c r="B523" t="str">
        <f ca="1"/>
        <v>C6 SEP</v>
      </c>
      <c r="C523" s="209">
        <f ca="1"/>
        <v>46283</v>
      </c>
      <c r="D523" t="str">
        <f ca="1"/>
        <v>chakki1,2,3</v>
      </c>
      <c r="E523" t="str">
        <f ca="1"/>
        <v>C6 Old Plant</v>
      </c>
      <c r="F523" t="str">
        <f ca="1"/>
        <v>jowar grains</v>
      </c>
      <c r="G523" s="210">
        <f ca="1"/>
        <v>215</v>
      </c>
      <c r="H523" s="210">
        <f ca="1"/>
        <v>0</v>
      </c>
      <c r="I523" s="210">
        <f ca="1"/>
        <v>3</v>
      </c>
      <c r="J523" s="210">
        <f ca="1"/>
        <v>0</v>
      </c>
      <c r="K523" s="210">
        <f ca="1"/>
        <v>12</v>
      </c>
      <c r="L523" s="210">
        <f ca="1"/>
        <v>15</v>
      </c>
      <c r="M523" s="210">
        <f ca="1"/>
        <v>200</v>
      </c>
      <c r="N523" s="210">
        <f ca="1"/>
        <v>4</v>
      </c>
      <c r="O523" t="str">
        <f ca="1"/>
        <v>Day</v>
      </c>
      <c r="P523" s="211">
        <f ca="1"/>
        <v>0.93023255813953487</v>
      </c>
      <c r="Q523">
        <f ca="1"/>
        <v>215</v>
      </c>
      <c r="R523">
        <f ca="1"/>
        <v>0</v>
      </c>
    </row>
    <row r="524" spans="2:18">
      <c r="B524" t="str">
        <f ca="1"/>
        <v>C6 SEP</v>
      </c>
      <c r="C524" s="209">
        <f ca="1"/>
        <v>46284</v>
      </c>
      <c r="D524" t="str">
        <f ca="1"/>
        <v>chakki1,2,3</v>
      </c>
      <c r="E524" t="str">
        <f ca="1"/>
        <v>C6 New Plant</v>
      </c>
      <c r="F524" t="str">
        <f ca="1"/>
        <v>khapli protein grains</v>
      </c>
      <c r="G524" s="210">
        <f ca="1"/>
        <v>4606</v>
      </c>
      <c r="H524" s="210">
        <f ca="1"/>
        <v>1</v>
      </c>
      <c r="I524" s="210">
        <f ca="1"/>
        <v>110</v>
      </c>
      <c r="J524" s="210">
        <f ca="1"/>
        <v>2</v>
      </c>
      <c r="K524" s="210">
        <f ca="1"/>
        <v>183</v>
      </c>
      <c r="L524" s="210">
        <f ca="1"/>
        <v>296</v>
      </c>
      <c r="M524" s="210">
        <f ca="1"/>
        <v>4310</v>
      </c>
      <c r="N524" s="210">
        <f ca="1"/>
        <v>4</v>
      </c>
      <c r="O524" t="str">
        <f ca="1"/>
        <v>Day</v>
      </c>
      <c r="P524" s="211">
        <f ca="1"/>
        <v>0.93573599652627004</v>
      </c>
      <c r="Q524">
        <f ca="1"/>
        <v>4606</v>
      </c>
      <c r="R524">
        <f ca="1"/>
        <v>0</v>
      </c>
    </row>
    <row r="525" spans="2:18">
      <c r="B525" t="str">
        <f ca="1"/>
        <v>C6 SEP</v>
      </c>
      <c r="C525" s="209">
        <f ca="1"/>
        <v>46284</v>
      </c>
      <c r="D525" t="str">
        <f ca="1"/>
        <v>chakki1,2,3</v>
      </c>
      <c r="E525" t="str">
        <f ca="1"/>
        <v>C6 Old Plant</v>
      </c>
      <c r="F525" t="str">
        <f ca="1"/>
        <v>khapli protein grains</v>
      </c>
      <c r="G525" s="210">
        <f ca="1"/>
        <v>2037</v>
      </c>
      <c r="H525" s="210">
        <f ca="1"/>
        <v>1</v>
      </c>
      <c r="I525" s="210">
        <f ca="1"/>
        <v>35</v>
      </c>
      <c r="J525" s="210">
        <f ca="1"/>
        <v>2</v>
      </c>
      <c r="K525" s="210">
        <f ca="1"/>
        <v>89</v>
      </c>
      <c r="L525" s="210">
        <f ca="1"/>
        <v>127</v>
      </c>
      <c r="M525" s="210">
        <f ca="1"/>
        <v>1910</v>
      </c>
      <c r="N525" s="210">
        <f ca="1"/>
        <v>4</v>
      </c>
      <c r="O525" t="str">
        <f ca="1"/>
        <v>Day</v>
      </c>
      <c r="P525" s="211">
        <f ca="1"/>
        <v>0.937653411880216</v>
      </c>
      <c r="Q525">
        <f ca="1"/>
        <v>2037</v>
      </c>
      <c r="R525">
        <f ca="1"/>
        <v>0</v>
      </c>
    </row>
    <row r="526" spans="2:18">
      <c r="B526" t="str">
        <f ca="1"/>
        <v>C6 SEP</v>
      </c>
      <c r="C526" s="209">
        <f ca="1"/>
        <v>46285</v>
      </c>
      <c r="D526" t="str">
        <f ca="1"/>
        <v>chakki1,2,3</v>
      </c>
      <c r="E526" t="str">
        <f ca="1"/>
        <v>C6 Old Plant</v>
      </c>
      <c r="F526" t="str">
        <f ca="1"/>
        <v>jowar grains</v>
      </c>
      <c r="G526" s="210">
        <f ca="1"/>
        <v>3250</v>
      </c>
      <c r="H526" s="210">
        <f ca="1"/>
        <v>1</v>
      </c>
      <c r="I526" s="210">
        <f ca="1"/>
        <v>44</v>
      </c>
      <c r="J526" s="210">
        <f ca="1"/>
        <v>2</v>
      </c>
      <c r="K526" s="210">
        <f ca="1"/>
        <v>147</v>
      </c>
      <c r="L526" s="210">
        <f ca="1"/>
        <v>194</v>
      </c>
      <c r="M526" s="210">
        <f ca="1"/>
        <v>3056</v>
      </c>
      <c r="N526" s="210">
        <f ca="1"/>
        <v>4</v>
      </c>
      <c r="O526" t="str">
        <f ca="1"/>
        <v>Day</v>
      </c>
      <c r="P526" s="211">
        <f ca="1"/>
        <v>0.94030769230769229</v>
      </c>
      <c r="Q526">
        <f ca="1"/>
        <v>3250</v>
      </c>
      <c r="R526">
        <f ca="1"/>
        <v>0</v>
      </c>
    </row>
    <row r="527" spans="2:18">
      <c r="B527" t="str">
        <f ca="1"/>
        <v>C6 SEP</v>
      </c>
      <c r="C527" s="209">
        <f ca="1"/>
        <v>46286</v>
      </c>
      <c r="D527" t="str">
        <f ca="1"/>
        <v>chakki1,2,3</v>
      </c>
      <c r="E527" t="str">
        <f ca="1"/>
        <v>C6 New Plant</v>
      </c>
      <c r="F527" t="str">
        <f ca="1"/>
        <v>jowar grains</v>
      </c>
      <c r="G527" s="210">
        <f ca="1"/>
        <v>3870</v>
      </c>
      <c r="H527" s="210">
        <f ca="1"/>
        <v>1</v>
      </c>
      <c r="I527" s="210">
        <f ca="1"/>
        <v>70</v>
      </c>
      <c r="J527" s="210">
        <f ca="1"/>
        <v>2</v>
      </c>
      <c r="K527" s="210">
        <f ca="1"/>
        <v>206</v>
      </c>
      <c r="L527" s="210">
        <f ca="1"/>
        <v>279</v>
      </c>
      <c r="M527" s="210">
        <f ca="1"/>
        <v>3591</v>
      </c>
      <c r="N527" s="210">
        <f ca="1"/>
        <v>4</v>
      </c>
      <c r="O527" t="str">
        <f ca="1"/>
        <v>Day</v>
      </c>
      <c r="P527" s="211">
        <f ca="1"/>
        <v>0.9279069767441861</v>
      </c>
      <c r="Q527">
        <f ca="1"/>
        <v>3870</v>
      </c>
      <c r="R527">
        <f ca="1"/>
        <v>0</v>
      </c>
    </row>
    <row r="528" spans="2:18">
      <c r="B528" t="str">
        <f ca="1"/>
        <v>C6 SEP</v>
      </c>
      <c r="C528" s="209">
        <f ca="1"/>
        <v>46287</v>
      </c>
      <c r="D528" t="str">
        <f ca="1"/>
        <v>chakki1,2,3</v>
      </c>
      <c r="E528" t="str">
        <f ca="1"/>
        <v>C6 New Plant</v>
      </c>
      <c r="F528" t="str">
        <f ca="1"/>
        <v>jowar grains</v>
      </c>
      <c r="G528" s="210">
        <f ca="1"/>
        <v>2900</v>
      </c>
      <c r="H528" s="210">
        <f ca="1"/>
        <v>1</v>
      </c>
      <c r="I528" s="210">
        <f ca="1"/>
        <v>109</v>
      </c>
      <c r="J528" s="210">
        <f ca="1"/>
        <v>2</v>
      </c>
      <c r="K528" s="210">
        <f ca="1"/>
        <v>68</v>
      </c>
      <c r="L528" s="210">
        <f ca="1"/>
        <v>180</v>
      </c>
      <c r="M528" s="210">
        <f ca="1"/>
        <v>2720</v>
      </c>
      <c r="N528" s="210">
        <f ca="1"/>
        <v>4</v>
      </c>
      <c r="O528" t="str">
        <f ca="1"/>
        <v>Day</v>
      </c>
      <c r="P528" s="211">
        <f ca="1"/>
        <v>0.93793103448275861</v>
      </c>
      <c r="Q528">
        <f ca="1"/>
        <v>2900</v>
      </c>
      <c r="R528">
        <f ca="1"/>
        <v>0</v>
      </c>
    </row>
    <row r="529" spans="2:18">
      <c r="B529" t="str">
        <f ca="1"/>
        <v>C6 SEP</v>
      </c>
      <c r="C529" s="209">
        <f ca="1"/>
        <v>46288</v>
      </c>
      <c r="D529" t="str">
        <f ca="1"/>
        <v>chakki1,2,3</v>
      </c>
      <c r="E529" t="str">
        <f ca="1"/>
        <v>C6 New Plant</v>
      </c>
      <c r="F529" t="str">
        <f ca="1"/>
        <v>khapli protein grains</v>
      </c>
      <c r="G529" s="210">
        <f ca="1"/>
        <v>3152.5</v>
      </c>
      <c r="H529" s="210">
        <f ca="1"/>
        <v>1</v>
      </c>
      <c r="I529" s="210">
        <f ca="1"/>
        <v>75</v>
      </c>
      <c r="J529" s="210">
        <f ca="1"/>
        <v>2</v>
      </c>
      <c r="K529" s="210">
        <f ca="1"/>
        <v>143.5</v>
      </c>
      <c r="L529" s="210">
        <f ca="1"/>
        <v>221.5</v>
      </c>
      <c r="M529" s="210">
        <f ca="1"/>
        <v>2931</v>
      </c>
      <c r="N529" s="210">
        <f ca="1"/>
        <v>4</v>
      </c>
      <c r="O529" t="str">
        <f ca="1"/>
        <v>Day</v>
      </c>
      <c r="P529" s="211">
        <f ca="1"/>
        <v>0.92973830293417925</v>
      </c>
      <c r="Q529">
        <f ca="1"/>
        <v>3152.5</v>
      </c>
      <c r="R529">
        <f ca="1"/>
        <v>0</v>
      </c>
    </row>
    <row r="530" spans="2:18">
      <c r="B530" t="str">
        <f ca="1"/>
        <v>C6 SEP</v>
      </c>
      <c r="C530" s="209">
        <f ca="1"/>
        <v>46288</v>
      </c>
      <c r="D530" t="str">
        <f ca="1"/>
        <v>chakki1,2,3</v>
      </c>
      <c r="E530" t="str">
        <f ca="1"/>
        <v>C6 Old Plant</v>
      </c>
      <c r="F530" t="str">
        <f ca="1"/>
        <v>khapli protein grains</v>
      </c>
      <c r="G530" s="210">
        <f ca="1"/>
        <v>2182.5</v>
      </c>
      <c r="H530" s="210">
        <f ca="1"/>
        <v>0</v>
      </c>
      <c r="I530" s="210">
        <f ca="1"/>
        <v>35</v>
      </c>
      <c r="J530" s="210">
        <f ca="1"/>
        <v>2</v>
      </c>
      <c r="K530" s="210">
        <f ca="1"/>
        <v>95.5</v>
      </c>
      <c r="L530" s="210">
        <f ca="1"/>
        <v>132.5</v>
      </c>
      <c r="M530" s="210">
        <f ca="1"/>
        <v>2050</v>
      </c>
      <c r="N530" s="210">
        <f ca="1"/>
        <v>4</v>
      </c>
      <c r="O530" t="str">
        <f ca="1"/>
        <v>Day</v>
      </c>
      <c r="P530" s="211">
        <f ca="1"/>
        <v>0.93928980526918671</v>
      </c>
      <c r="Q530">
        <f ca="1"/>
        <v>2182.5</v>
      </c>
      <c r="R530">
        <f ca="1"/>
        <v>0</v>
      </c>
    </row>
    <row r="531" spans="2:18">
      <c r="B531" t="str">
        <f ca="1"/>
        <v>C6 SEP</v>
      </c>
      <c r="C531" s="209">
        <f ca="1"/>
        <v>46290</v>
      </c>
      <c r="D531" t="str">
        <f ca="1"/>
        <v>chakki1,2,3</v>
      </c>
      <c r="E531" t="str">
        <f ca="1"/>
        <v>C6 New Plant</v>
      </c>
      <c r="F531" t="str">
        <f ca="1"/>
        <v>khapli protein grains</v>
      </c>
      <c r="G531" s="210">
        <f ca="1"/>
        <v>4898.5</v>
      </c>
      <c r="H531" s="210">
        <f ca="1"/>
        <v>1</v>
      </c>
      <c r="I531" s="210">
        <f ca="1"/>
        <v>91</v>
      </c>
      <c r="J531" s="210">
        <f ca="1"/>
        <v>3</v>
      </c>
      <c r="K531" s="210">
        <f ca="1"/>
        <v>166.5</v>
      </c>
      <c r="L531" s="210">
        <f ca="1"/>
        <v>261.5</v>
      </c>
      <c r="M531" s="210">
        <f ca="1"/>
        <v>4637</v>
      </c>
      <c r="N531" s="210">
        <f ca="1"/>
        <v>4</v>
      </c>
      <c r="O531" t="str">
        <f ca="1"/>
        <v>Day</v>
      </c>
      <c r="P531" s="211">
        <f ca="1"/>
        <v>0.9466163111156477</v>
      </c>
      <c r="Q531">
        <f ca="1"/>
        <v>4898.5</v>
      </c>
      <c r="R531">
        <f ca="1"/>
        <v>0</v>
      </c>
    </row>
    <row r="532" spans="2:18">
      <c r="B532" t="str">
        <f ca="1"/>
        <v>C6 SEP</v>
      </c>
      <c r="C532" s="209">
        <f ca="1"/>
        <v>46291</v>
      </c>
      <c r="D532" t="str">
        <f ca="1"/>
        <v>chakki1,2,3</v>
      </c>
      <c r="E532" t="str">
        <f ca="1"/>
        <v>C6 New Plant</v>
      </c>
      <c r="F532" t="str">
        <f ca="1"/>
        <v>Khapli Grains</v>
      </c>
      <c r="G532" s="210">
        <f ca="1"/>
        <v>2150</v>
      </c>
      <c r="H532" s="210">
        <f ca="1"/>
        <v>0</v>
      </c>
      <c r="I532" s="210">
        <f ca="1"/>
        <v>31</v>
      </c>
      <c r="J532" s="210">
        <f ca="1"/>
        <v>1</v>
      </c>
      <c r="K532" s="210">
        <f ca="1"/>
        <v>110</v>
      </c>
      <c r="L532" s="210">
        <f ca="1"/>
        <v>142</v>
      </c>
      <c r="M532" s="210">
        <f ca="1"/>
        <v>2008</v>
      </c>
      <c r="N532" s="210">
        <f ca="1"/>
        <v>4</v>
      </c>
      <c r="O532" t="str">
        <f ca="1"/>
        <v>Day</v>
      </c>
      <c r="P532" s="211">
        <f ca="1"/>
        <v>0.93395348837209302</v>
      </c>
      <c r="Q532">
        <f ca="1"/>
        <v>2150</v>
      </c>
      <c r="R532">
        <f ca="1"/>
        <v>0</v>
      </c>
    </row>
    <row r="533" spans="2:18">
      <c r="B533" t="str">
        <f ca="1"/>
        <v>C6 SEP</v>
      </c>
      <c r="C533" s="209">
        <f ca="1"/>
        <v>46291</v>
      </c>
      <c r="D533" t="str">
        <f ca="1"/>
        <v>chakki1,2,3</v>
      </c>
      <c r="E533" t="str">
        <f ca="1"/>
        <v>C6 Old Plant</v>
      </c>
      <c r="F533" t="str">
        <f ca="1"/>
        <v>Proteins grains 60%</v>
      </c>
      <c r="G533" s="210">
        <f ca="1"/>
        <v>100</v>
      </c>
      <c r="H533" s="210">
        <f ca="1"/>
        <v>0</v>
      </c>
      <c r="I533" s="210">
        <f ca="1"/>
        <v>0</v>
      </c>
      <c r="J533" s="210">
        <f ca="1"/>
        <v>0</v>
      </c>
      <c r="K533" s="210">
        <f ca="1"/>
        <v>8</v>
      </c>
      <c r="L533" s="210">
        <f ca="1"/>
        <v>8</v>
      </c>
      <c r="M533" s="210">
        <f ca="1"/>
        <v>92</v>
      </c>
      <c r="N533" s="210">
        <f ca="1"/>
        <v>4</v>
      </c>
      <c r="O533" t="str">
        <f ca="1"/>
        <v>Day</v>
      </c>
      <c r="P533" s="211">
        <f ca="1"/>
        <v>0.92</v>
      </c>
      <c r="Q533">
        <f ca="1"/>
        <v>100</v>
      </c>
      <c r="R533">
        <f ca="1"/>
        <v>0</v>
      </c>
    </row>
    <row r="534" spans="2:18">
      <c r="B534" t="str">
        <f ca="1"/>
        <v>C6 SEP</v>
      </c>
      <c r="C534" s="209">
        <f ca="1"/>
        <v>46291</v>
      </c>
      <c r="D534" t="str">
        <f ca="1"/>
        <v>chakki1,2,3</v>
      </c>
      <c r="E534" t="str">
        <f ca="1"/>
        <v>C6 Old Plant</v>
      </c>
      <c r="F534" t="str">
        <f ca="1"/>
        <v>multigrain 60%</v>
      </c>
      <c r="G534" s="210">
        <f ca="1"/>
        <v>100</v>
      </c>
      <c r="H534" s="210">
        <f ca="1"/>
        <v>0</v>
      </c>
      <c r="I534" s="210">
        <f ca="1"/>
        <v>0</v>
      </c>
      <c r="J534" s="210">
        <f ca="1"/>
        <v>0</v>
      </c>
      <c r="K534" s="210">
        <f ca="1"/>
        <v>9</v>
      </c>
      <c r="L534" s="210">
        <f ca="1"/>
        <v>9</v>
      </c>
      <c r="M534" s="210">
        <f ca="1"/>
        <v>91</v>
      </c>
      <c r="N534" s="210">
        <f ca="1"/>
        <v>4</v>
      </c>
      <c r="O534" t="str">
        <f ca="1"/>
        <v>Day</v>
      </c>
      <c r="P534" s="211">
        <f ca="1"/>
        <v>0.91</v>
      </c>
      <c r="Q534">
        <f ca="1"/>
        <v>100</v>
      </c>
      <c r="R534">
        <f ca="1"/>
        <v>0</v>
      </c>
    </row>
    <row r="535" spans="2:18">
      <c r="B535" t="str">
        <f ca="1"/>
        <v>C6 SEP</v>
      </c>
      <c r="C535" s="209">
        <f ca="1"/>
        <v>46292</v>
      </c>
      <c r="D535" t="str">
        <f ca="1"/>
        <v>chakki1,2,3</v>
      </c>
      <c r="E535" t="str">
        <f ca="1"/>
        <v>C6 New Plant</v>
      </c>
      <c r="F535" t="str">
        <f ca="1"/>
        <v>Khapli Grains</v>
      </c>
      <c r="G535" s="210">
        <f ca="1"/>
        <v>2800</v>
      </c>
      <c r="H535" s="210">
        <f ca="1"/>
        <v>1</v>
      </c>
      <c r="I535" s="210">
        <f ca="1"/>
        <v>19</v>
      </c>
      <c r="J535" s="210">
        <f ca="1"/>
        <v>2</v>
      </c>
      <c r="K535" s="210">
        <f ca="1"/>
        <v>148</v>
      </c>
      <c r="L535" s="210">
        <f ca="1"/>
        <v>170</v>
      </c>
      <c r="M535" s="210">
        <f ca="1"/>
        <v>2630</v>
      </c>
      <c r="N535" s="210">
        <f ca="1"/>
        <v>3</v>
      </c>
      <c r="O535" t="str">
        <f ca="1"/>
        <v>Day</v>
      </c>
      <c r="P535" s="211">
        <f ca="1"/>
        <v>0.93928571428571428</v>
      </c>
      <c r="Q535">
        <f ca="1"/>
        <v>2800</v>
      </c>
      <c r="R535">
        <f ca="1"/>
        <v>0</v>
      </c>
    </row>
    <row r="536" spans="2:18">
      <c r="B536" t="str">
        <f ca="1"/>
        <v>C6 SEP</v>
      </c>
      <c r="C536" s="209">
        <f ca="1"/>
        <v>46293</v>
      </c>
      <c r="D536" t="str">
        <f ca="1"/>
        <v>chakki1,2,3</v>
      </c>
      <c r="E536" t="str">
        <f ca="1"/>
        <v>C6 New Plant</v>
      </c>
      <c r="F536" t="str">
        <f ca="1"/>
        <v>Khapli Grains</v>
      </c>
      <c r="G536" s="210">
        <f ca="1"/>
        <v>3500</v>
      </c>
      <c r="H536" s="210">
        <f ca="1"/>
        <v>1</v>
      </c>
      <c r="I536" s="210">
        <f ca="1"/>
        <v>33</v>
      </c>
      <c r="J536" s="210">
        <f ca="1"/>
        <v>2</v>
      </c>
      <c r="K536" s="210">
        <f ca="1"/>
        <v>224</v>
      </c>
      <c r="L536" s="210">
        <f ca="1"/>
        <v>260</v>
      </c>
      <c r="M536" s="210">
        <f ca="1"/>
        <v>3240</v>
      </c>
      <c r="N536" s="210">
        <f ca="1"/>
        <v>3</v>
      </c>
      <c r="O536" t="str">
        <f ca="1"/>
        <v>Day</v>
      </c>
      <c r="P536" s="211">
        <f ca="1"/>
        <v>0.92571428571428571</v>
      </c>
      <c r="Q536">
        <f ca="1"/>
        <v>3500</v>
      </c>
      <c r="R536">
        <f ca="1"/>
        <v>0</v>
      </c>
    </row>
    <row r="537" spans="2:18">
      <c r="B537" t="str">
        <f ca="1"/>
        <v>C6 SEP</v>
      </c>
      <c r="C537" s="209">
        <f ca="1"/>
        <v>46294</v>
      </c>
      <c r="D537" t="str">
        <f ca="1"/>
        <v>chakki1,2,3</v>
      </c>
      <c r="E537" t="str">
        <f ca="1"/>
        <v>C6 New Plant</v>
      </c>
      <c r="F537" t="str">
        <f ca="1"/>
        <v>multigrain 60%</v>
      </c>
      <c r="G537" s="210">
        <f ca="1"/>
        <v>2450</v>
      </c>
      <c r="H537" s="210">
        <f ca="1"/>
        <v>1</v>
      </c>
      <c r="I537" s="210">
        <f ca="1"/>
        <v>35</v>
      </c>
      <c r="J537" s="210">
        <f ca="1"/>
        <v>2</v>
      </c>
      <c r="K537" s="210">
        <f ca="1"/>
        <v>110</v>
      </c>
      <c r="L537" s="210">
        <f ca="1"/>
        <v>148</v>
      </c>
      <c r="M537" s="210">
        <f ca="1"/>
        <v>2302</v>
      </c>
      <c r="N537" s="210">
        <f ca="1"/>
        <v>4</v>
      </c>
      <c r="O537" t="str">
        <f ca="1"/>
        <v>Day</v>
      </c>
      <c r="P537" s="211">
        <f ca="1"/>
        <v>0.93959183673469393</v>
      </c>
      <c r="Q537">
        <f ca="1"/>
        <v>2450</v>
      </c>
      <c r="R537">
        <f ca="1"/>
        <v>0</v>
      </c>
    </row>
    <row r="538" spans="2:18">
      <c r="B538" t="str">
        <f ca="1"/>
        <v>C6 SEP</v>
      </c>
      <c r="C538" s="209">
        <f ca="1"/>
        <v>46294</v>
      </c>
      <c r="D538" t="str">
        <f ca="1"/>
        <v>chakki1</v>
      </c>
      <c r="E538" t="str">
        <f ca="1"/>
        <v>C6 Old Plant</v>
      </c>
      <c r="F538" t="str">
        <f ca="1"/>
        <v>Bajra</v>
      </c>
      <c r="G538" s="210">
        <f ca="1"/>
        <v>30</v>
      </c>
      <c r="H538" s="210">
        <f ca="1"/>
        <v>0</v>
      </c>
      <c r="I538" s="210">
        <f ca="1"/>
        <v>0</v>
      </c>
      <c r="J538" s="210">
        <f ca="1"/>
        <v>0</v>
      </c>
      <c r="K538" s="210">
        <f ca="1"/>
        <v>1</v>
      </c>
      <c r="L538" s="210">
        <f ca="1"/>
        <v>1</v>
      </c>
      <c r="M538" s="210">
        <f ca="1"/>
        <v>29</v>
      </c>
      <c r="N538" s="210">
        <f ca="1"/>
        <v>3</v>
      </c>
      <c r="O538" t="str">
        <f ca="1"/>
        <v>Day</v>
      </c>
      <c r="P538" s="211">
        <f ca="1"/>
        <v>0.96666666666666667</v>
      </c>
      <c r="Q538">
        <f ca="1"/>
        <v>30</v>
      </c>
      <c r="R538">
        <f ca="1"/>
        <v>0</v>
      </c>
    </row>
    <row r="539" spans="2:18">
      <c r="B539" t="str">
        <f ca="1"/>
        <v>C6 SEP</v>
      </c>
      <c r="C539" s="209">
        <f ca="1"/>
        <v>46295</v>
      </c>
      <c r="D539" t="str">
        <f ca="1"/>
        <v>chakki1,2,3</v>
      </c>
      <c r="E539" t="str">
        <f ca="1"/>
        <v>C6 New Plant</v>
      </c>
      <c r="F539" t="str">
        <f ca="1"/>
        <v>Proteins grains 60%</v>
      </c>
      <c r="G539" s="210">
        <f ca="1"/>
        <v>3135</v>
      </c>
      <c r="H539" s="210">
        <f ca="1"/>
        <v>1</v>
      </c>
      <c r="I539" s="210">
        <f ca="1"/>
        <v>67</v>
      </c>
      <c r="J539" s="210">
        <f ca="1"/>
        <v>2</v>
      </c>
      <c r="K539" s="210">
        <f ca="1"/>
        <v>159</v>
      </c>
      <c r="L539" s="210">
        <f ca="1"/>
        <v>229</v>
      </c>
      <c r="M539" s="210">
        <f ca="1"/>
        <v>2906</v>
      </c>
      <c r="N539" s="210">
        <f ca="1"/>
        <v>4</v>
      </c>
      <c r="O539" t="str">
        <f ca="1"/>
        <v>Day</v>
      </c>
      <c r="P539" s="211">
        <f ca="1"/>
        <v>0.92695374800637964</v>
      </c>
      <c r="Q539">
        <f ca="1"/>
        <v>3135</v>
      </c>
      <c r="R539">
        <f ca="1"/>
        <v>0</v>
      </c>
    </row>
    <row r="540" spans="2:18">
      <c r="B540" t="str">
        <f ca="1"/>
        <v>C6 SEP</v>
      </c>
      <c r="C540" s="209">
        <f ca="1"/>
        <v>46295</v>
      </c>
      <c r="D540" t="str">
        <f ca="1"/>
        <v>chakki1,2,3</v>
      </c>
      <c r="E540" t="str">
        <f ca="1"/>
        <v>C6 New Plant</v>
      </c>
      <c r="F540" t="str">
        <f ca="1"/>
        <v>khapli grains</v>
      </c>
      <c r="G540" s="210">
        <f ca="1"/>
        <v>450</v>
      </c>
      <c r="H540" s="210">
        <f ca="1"/>
        <v>0</v>
      </c>
      <c r="I540" s="210">
        <f ca="1"/>
        <v>11</v>
      </c>
      <c r="J540" s="210">
        <f ca="1"/>
        <v>0.5</v>
      </c>
      <c r="K540" s="210">
        <f ca="1"/>
        <v>23.5</v>
      </c>
      <c r="L540" s="210">
        <f ca="1"/>
        <v>35</v>
      </c>
      <c r="M540" s="210">
        <f ca="1"/>
        <v>415</v>
      </c>
      <c r="N540" s="210">
        <f ca="1"/>
        <v>4</v>
      </c>
      <c r="O540">
        <f ca="1"/>
        <v>0</v>
      </c>
      <c r="P540" s="211">
        <f ca="1"/>
        <v>0.92222222222222228</v>
      </c>
      <c r="Q540">
        <f ca="1"/>
        <v>450</v>
      </c>
      <c r="R540">
        <f ca="1"/>
        <v>0</v>
      </c>
    </row>
    <row r="541" spans="2:18">
      <c r="B541" t="str">
        <f ca="1"/>
        <v>C39 SEP</v>
      </c>
      <c r="C541" s="209">
        <f ca="1"/>
        <v>46266</v>
      </c>
      <c r="D541" t="str">
        <f ca="1"/>
        <v>1,2,3,4</v>
      </c>
      <c r="E541" t="str">
        <f ca="1"/>
        <v>C39</v>
      </c>
      <c r="F541" t="str">
        <f ca="1"/>
        <v>Khapli</v>
      </c>
      <c r="G541" s="210">
        <f ca="1"/>
        <v>14620</v>
      </c>
      <c r="H541" s="210">
        <f ca="1"/>
        <v>48</v>
      </c>
      <c r="I541" s="210">
        <f ca="1"/>
        <v>30</v>
      </c>
      <c r="J541" s="210">
        <f ca="1"/>
        <v>30.7</v>
      </c>
      <c r="K541" s="210">
        <f ca="1"/>
        <v>921.3</v>
      </c>
      <c r="L541" s="210">
        <f ca="1"/>
        <v>1030</v>
      </c>
      <c r="M541" s="210">
        <f ca="1"/>
        <v>13590</v>
      </c>
      <c r="N541" s="210">
        <f ca="1"/>
        <v>7</v>
      </c>
      <c r="O541" t="str">
        <f ca="1"/>
        <v>Day</v>
      </c>
      <c r="P541" s="211">
        <f ca="1"/>
        <v>0.92954856361149107</v>
      </c>
      <c r="Q541">
        <f ca="1"/>
        <v>14620</v>
      </c>
      <c r="R541">
        <f ca="1"/>
        <v>0</v>
      </c>
    </row>
    <row r="542" spans="2:18">
      <c r="B542" t="str">
        <f ca="1"/>
        <v>C39 SEP</v>
      </c>
      <c r="C542" s="209">
        <f ca="1"/>
        <v>46267</v>
      </c>
      <c r="D542" t="str">
        <f ca="1"/>
        <v>1,2,3,4</v>
      </c>
      <c r="E542" t="str">
        <f ca="1"/>
        <v>C39</v>
      </c>
      <c r="F542" t="str">
        <f ca="1"/>
        <v>Khapli</v>
      </c>
      <c r="G542" s="210">
        <f ca="1"/>
        <v>8300</v>
      </c>
      <c r="H542" s="210">
        <f ca="1"/>
        <v>56</v>
      </c>
      <c r="I542" s="210">
        <f ca="1"/>
        <v>135</v>
      </c>
      <c r="J542" s="210">
        <f ca="1"/>
        <v>25</v>
      </c>
      <c r="K542" s="210">
        <f ca="1"/>
        <v>484</v>
      </c>
      <c r="L542" s="210">
        <f ca="1"/>
        <v>700</v>
      </c>
      <c r="M542" s="210">
        <f ca="1"/>
        <v>7600</v>
      </c>
      <c r="N542" s="210">
        <f ca="1"/>
        <v>7</v>
      </c>
      <c r="O542" t="str">
        <f ca="1"/>
        <v>Day</v>
      </c>
      <c r="P542" s="211">
        <f ca="1"/>
        <v>0.91566265060240959</v>
      </c>
      <c r="Q542">
        <f ca="1"/>
        <v>8300</v>
      </c>
      <c r="R542">
        <f ca="1"/>
        <v>0</v>
      </c>
    </row>
    <row r="543" spans="2:18">
      <c r="B543" t="str">
        <f ca="1"/>
        <v>C39 SEP</v>
      </c>
      <c r="C543" s="209">
        <f ca="1"/>
        <v>46268</v>
      </c>
      <c r="D543" t="str">
        <f ca="1"/>
        <v>1,2,3,4</v>
      </c>
      <c r="E543" t="str">
        <f ca="1"/>
        <v>C39</v>
      </c>
      <c r="F543" t="str">
        <f ca="1"/>
        <v>Khapli</v>
      </c>
      <c r="G543" s="210">
        <f ca="1"/>
        <v>6550</v>
      </c>
      <c r="H543" s="210">
        <f ca="1"/>
        <v>32</v>
      </c>
      <c r="I543" s="210">
        <f ca="1"/>
        <v>38</v>
      </c>
      <c r="J543" s="210">
        <f ca="1"/>
        <v>19</v>
      </c>
      <c r="K543" s="210">
        <f ca="1"/>
        <v>261</v>
      </c>
      <c r="L543" s="210">
        <f ca="1"/>
        <v>350</v>
      </c>
      <c r="M543" s="210">
        <f ca="1"/>
        <v>6200</v>
      </c>
      <c r="N543" s="210">
        <f ca="1"/>
        <v>7</v>
      </c>
      <c r="O543" t="str">
        <f ca="1"/>
        <v>Day</v>
      </c>
      <c r="P543" s="211">
        <f ca="1"/>
        <v>0.94656488549618323</v>
      </c>
      <c r="Q543">
        <f ca="1"/>
        <v>6550</v>
      </c>
      <c r="R543">
        <f ca="1"/>
        <v>0</v>
      </c>
    </row>
    <row r="544" spans="2:18">
      <c r="B544" t="str">
        <f ca="1"/>
        <v>C39 SEP</v>
      </c>
      <c r="C544" s="209">
        <f ca="1"/>
        <v>46268</v>
      </c>
      <c r="D544" t="str">
        <f ca="1"/>
        <v>blender</v>
      </c>
      <c r="E544" t="str">
        <f ca="1"/>
        <v>C39</v>
      </c>
      <c r="F544" t="str">
        <f ca="1"/>
        <v>Besan</v>
      </c>
      <c r="G544" s="210">
        <f ca="1"/>
        <v>620</v>
      </c>
      <c r="H544" s="210">
        <f ca="1"/>
        <v>0</v>
      </c>
      <c r="I544" s="210">
        <f ca="1"/>
        <v>0</v>
      </c>
      <c r="J544" s="210">
        <f ca="1"/>
        <v>5</v>
      </c>
      <c r="K544" s="210">
        <f ca="1"/>
        <v>10</v>
      </c>
      <c r="L544" s="210">
        <f ca="1"/>
        <v>30</v>
      </c>
      <c r="M544" s="210">
        <f ca="1"/>
        <v>590</v>
      </c>
      <c r="N544" s="210">
        <f ca="1"/>
        <v>1</v>
      </c>
      <c r="O544" t="str">
        <f ca="1"/>
        <v>Day</v>
      </c>
      <c r="P544" s="211">
        <f ca="1"/>
        <v>0.95161290322580649</v>
      </c>
      <c r="Q544">
        <f ca="1"/>
        <v>620</v>
      </c>
      <c r="R544">
        <f ca="1"/>
        <v>0</v>
      </c>
    </row>
    <row r="545" spans="2:18">
      <c r="B545" t="str">
        <f ca="1"/>
        <v>C39 SEP</v>
      </c>
      <c r="C545" s="209">
        <f ca="1"/>
        <v>46269</v>
      </c>
      <c r="D545" t="str">
        <f ca="1"/>
        <v>1,2,3,4</v>
      </c>
      <c r="E545" t="str">
        <f ca="1"/>
        <v>C39</v>
      </c>
      <c r="F545" t="str">
        <f ca="1"/>
        <v>Khapli</v>
      </c>
      <c r="G545" s="210">
        <f ca="1"/>
        <v>6800</v>
      </c>
      <c r="H545" s="210">
        <f ca="1"/>
        <v>38</v>
      </c>
      <c r="I545" s="210">
        <f ca="1"/>
        <v>32</v>
      </c>
      <c r="J545" s="210">
        <f ca="1"/>
        <v>16</v>
      </c>
      <c r="K545" s="210">
        <f ca="1"/>
        <v>356</v>
      </c>
      <c r="L545" s="210">
        <f ca="1"/>
        <v>442</v>
      </c>
      <c r="M545" s="210">
        <f ca="1"/>
        <v>6358</v>
      </c>
      <c r="N545" s="210">
        <f ca="1"/>
        <v>7</v>
      </c>
      <c r="O545" t="str">
        <f ca="1"/>
        <v>Day</v>
      </c>
      <c r="P545" s="211">
        <f ca="1"/>
        <v>0.93500000000000005</v>
      </c>
      <c r="Q545">
        <f ca="1"/>
        <v>6800</v>
      </c>
      <c r="R545">
        <f ca="1"/>
        <v>0</v>
      </c>
    </row>
    <row r="546" spans="2:18">
      <c r="B546" t="str">
        <f ca="1"/>
        <v>C39 SEP</v>
      </c>
      <c r="C546" s="209">
        <f ca="1"/>
        <v>46269</v>
      </c>
      <c r="D546" t="str">
        <f ca="1"/>
        <v>blender</v>
      </c>
      <c r="E546" t="str">
        <f ca="1"/>
        <v>C39</v>
      </c>
      <c r="F546" t="str">
        <f ca="1"/>
        <v>Besan</v>
      </c>
      <c r="G546" s="210">
        <f ca="1"/>
        <v>290</v>
      </c>
      <c r="H546" s="210">
        <f ca="1"/>
        <v>0</v>
      </c>
      <c r="I546" s="210">
        <f ca="1"/>
        <v>0</v>
      </c>
      <c r="J546" s="210">
        <f ca="1"/>
        <v>8</v>
      </c>
      <c r="K546" s="210">
        <f ca="1"/>
        <v>12</v>
      </c>
      <c r="L546" s="210">
        <f ca="1"/>
        <v>20</v>
      </c>
      <c r="M546" s="210">
        <f ca="1"/>
        <v>270</v>
      </c>
      <c r="N546" s="210">
        <f ca="1"/>
        <v>1</v>
      </c>
      <c r="O546" t="str">
        <f ca="1"/>
        <v>Day</v>
      </c>
      <c r="P546" s="211">
        <f ca="1"/>
        <v>0.93103448275862066</v>
      </c>
      <c r="Q546">
        <f ca="1"/>
        <v>290</v>
      </c>
      <c r="R546">
        <f ca="1"/>
        <v>0</v>
      </c>
    </row>
    <row r="547" spans="2:18">
      <c r="B547" t="str">
        <f ca="1"/>
        <v>C39 SEP</v>
      </c>
      <c r="C547" s="209">
        <f ca="1"/>
        <v>46270</v>
      </c>
      <c r="D547" t="str">
        <f ca="1"/>
        <v>1,2,3,4</v>
      </c>
      <c r="E547" t="str">
        <f ca="1"/>
        <v>C39</v>
      </c>
      <c r="F547" t="str">
        <f ca="1"/>
        <v>Khapli</v>
      </c>
      <c r="G547" s="210">
        <f ca="1"/>
        <v>8900</v>
      </c>
      <c r="H547" s="210">
        <f ca="1"/>
        <v>28</v>
      </c>
      <c r="I547" s="210">
        <f ca="1"/>
        <v>41</v>
      </c>
      <c r="J547" s="210">
        <f ca="1"/>
        <v>26</v>
      </c>
      <c r="K547" s="210">
        <f ca="1"/>
        <v>405</v>
      </c>
      <c r="L547" s="210">
        <f ca="1"/>
        <v>500</v>
      </c>
      <c r="M547" s="210">
        <f ca="1"/>
        <v>8400</v>
      </c>
      <c r="N547" s="210">
        <f ca="1"/>
        <v>7</v>
      </c>
      <c r="O547" t="str">
        <f ca="1"/>
        <v>Day</v>
      </c>
      <c r="P547" s="211">
        <f ca="1"/>
        <v>0.9438202247191011</v>
      </c>
      <c r="Q547">
        <f ca="1"/>
        <v>8900</v>
      </c>
      <c r="R547">
        <f ca="1"/>
        <v>0</v>
      </c>
    </row>
    <row r="548" spans="2:18">
      <c r="B548" t="str">
        <f ca="1"/>
        <v>C39 SEP</v>
      </c>
      <c r="C548" s="209">
        <f ca="1"/>
        <v>46270</v>
      </c>
      <c r="D548" t="str">
        <f ca="1"/>
        <v>blender</v>
      </c>
      <c r="E548" t="str">
        <f ca="1"/>
        <v>C39</v>
      </c>
      <c r="F548" t="str">
        <f ca="1"/>
        <v>Besan</v>
      </c>
      <c r="G548" s="210">
        <f ca="1"/>
        <v>1050</v>
      </c>
      <c r="H548" s="210">
        <f ca="1"/>
        <v>0</v>
      </c>
      <c r="I548" s="210">
        <f ca="1"/>
        <v>5</v>
      </c>
      <c r="J548" s="210">
        <f ca="1"/>
        <v>10</v>
      </c>
      <c r="K548" s="210">
        <f ca="1"/>
        <v>5</v>
      </c>
      <c r="L548" s="210">
        <f ca="1"/>
        <v>20</v>
      </c>
      <c r="M548" s="210">
        <f ca="1"/>
        <v>1030</v>
      </c>
      <c r="N548" s="210">
        <f ca="1"/>
        <v>1</v>
      </c>
      <c r="O548" t="str">
        <f ca="1"/>
        <v>Day</v>
      </c>
      <c r="P548" s="211">
        <f ca="1"/>
        <v>0.98095238095238091</v>
      </c>
      <c r="Q548">
        <f ca="1"/>
        <v>1050</v>
      </c>
      <c r="R548">
        <f ca="1"/>
        <v>0</v>
      </c>
    </row>
    <row r="549" spans="2:18">
      <c r="B549" t="str">
        <f ca="1"/>
        <v>C39 SEP</v>
      </c>
      <c r="C549" s="209">
        <f ca="1"/>
        <v>46271</v>
      </c>
      <c r="D549" t="str">
        <f ca="1"/>
        <v>blender</v>
      </c>
      <c r="E549" t="str">
        <f ca="1"/>
        <v>C39</v>
      </c>
      <c r="F549" t="str">
        <f ca="1"/>
        <v>Besan</v>
      </c>
      <c r="G549" s="210">
        <f ca="1"/>
        <v>480</v>
      </c>
      <c r="H549" s="210">
        <f ca="1"/>
        <v>0</v>
      </c>
      <c r="I549" s="210">
        <f ca="1"/>
        <v>8</v>
      </c>
      <c r="J549" s="210">
        <f ca="1"/>
        <v>10</v>
      </c>
      <c r="K549" s="210">
        <f ca="1"/>
        <v>12</v>
      </c>
      <c r="L549" s="210">
        <f ca="1"/>
        <v>30</v>
      </c>
      <c r="M549" s="210">
        <f ca="1"/>
        <v>450</v>
      </c>
      <c r="N549" s="210">
        <f ca="1"/>
        <v>1</v>
      </c>
      <c r="O549" t="str">
        <f ca="1"/>
        <v>Day</v>
      </c>
      <c r="P549" s="211">
        <f ca="1"/>
        <v>0.9375</v>
      </c>
      <c r="Q549">
        <f ca="1"/>
        <v>480</v>
      </c>
      <c r="R549">
        <f ca="1"/>
        <v>0</v>
      </c>
    </row>
    <row r="550" spans="2:18">
      <c r="B550" t="str">
        <f ca="1"/>
        <v>C39 SEP</v>
      </c>
      <c r="C550" s="209">
        <f ca="1"/>
        <v>46272</v>
      </c>
      <c r="D550" t="str">
        <f ca="1"/>
        <v>1,2,3,4</v>
      </c>
      <c r="E550" t="str">
        <f ca="1"/>
        <v>C39</v>
      </c>
      <c r="F550" t="str">
        <f ca="1"/>
        <v>Khapli</v>
      </c>
      <c r="G550" s="210">
        <f ca="1"/>
        <v>9000</v>
      </c>
      <c r="H550" s="210">
        <f ca="1"/>
        <v>55</v>
      </c>
      <c r="I550" s="210">
        <f ca="1"/>
        <v>25</v>
      </c>
      <c r="J550" s="210">
        <f ca="1"/>
        <v>28</v>
      </c>
      <c r="K550" s="210">
        <f ca="1"/>
        <v>442</v>
      </c>
      <c r="L550" s="210">
        <f ca="1"/>
        <v>550</v>
      </c>
      <c r="M550" s="210">
        <f ca="1"/>
        <v>8450</v>
      </c>
      <c r="N550" s="210">
        <f ca="1"/>
        <v>7</v>
      </c>
      <c r="O550" t="str">
        <f ca="1"/>
        <v>Day</v>
      </c>
      <c r="P550" s="211">
        <f ca="1"/>
        <v>0.93888888888888888</v>
      </c>
      <c r="Q550">
        <f ca="1"/>
        <v>9000</v>
      </c>
      <c r="R550">
        <f ca="1"/>
        <v>0</v>
      </c>
    </row>
    <row r="551" spans="2:18">
      <c r="B551" t="str">
        <f ca="1"/>
        <v>C39 SEP</v>
      </c>
      <c r="C551" s="209">
        <f ca="1"/>
        <v>46273</v>
      </c>
      <c r="D551" t="str">
        <f ca="1"/>
        <v>1,2,3,4</v>
      </c>
      <c r="E551" t="str">
        <f ca="1"/>
        <v>C39</v>
      </c>
      <c r="F551" t="str">
        <f ca="1"/>
        <v>Khapli</v>
      </c>
      <c r="G551" s="210">
        <f ca="1"/>
        <v>7600</v>
      </c>
      <c r="H551" s="210">
        <f ca="1"/>
        <v>48</v>
      </c>
      <c r="I551" s="210">
        <f ca="1"/>
        <v>22</v>
      </c>
      <c r="J551" s="210">
        <f ca="1"/>
        <v>31</v>
      </c>
      <c r="K551" s="210">
        <f ca="1"/>
        <v>390</v>
      </c>
      <c r="L551" s="210">
        <f ca="1"/>
        <v>491</v>
      </c>
      <c r="M551" s="210">
        <f ca="1"/>
        <v>7109</v>
      </c>
      <c r="N551" s="210">
        <f ca="1"/>
        <v>7</v>
      </c>
      <c r="O551" t="str">
        <f ca="1"/>
        <v>Day</v>
      </c>
      <c r="P551" s="211">
        <f ca="1"/>
        <v>0.93539473684210528</v>
      </c>
      <c r="Q551">
        <f ca="1"/>
        <v>7600</v>
      </c>
      <c r="R551">
        <f ca="1"/>
        <v>0</v>
      </c>
    </row>
    <row r="552" spans="2:18">
      <c r="B552" t="str">
        <f ca="1"/>
        <v>C39 SEP</v>
      </c>
      <c r="C552" s="209">
        <f ca="1"/>
        <v>46274</v>
      </c>
      <c r="D552" t="str">
        <f ca="1"/>
        <v>1,2,3,4</v>
      </c>
      <c r="E552" t="str">
        <f ca="1"/>
        <v>C39</v>
      </c>
      <c r="F552" t="str">
        <f ca="1"/>
        <v>Khapli</v>
      </c>
      <c r="G552" s="210">
        <f ca="1"/>
        <v>8600</v>
      </c>
      <c r="H552" s="210">
        <f ca="1"/>
        <v>54</v>
      </c>
      <c r="I552" s="210">
        <f ca="1"/>
        <v>36</v>
      </c>
      <c r="J552" s="210">
        <f ca="1"/>
        <v>22</v>
      </c>
      <c r="K552" s="210">
        <f ca="1"/>
        <v>338</v>
      </c>
      <c r="L552" s="210">
        <f ca="1"/>
        <v>450</v>
      </c>
      <c r="M552" s="210">
        <f ca="1"/>
        <v>8150</v>
      </c>
      <c r="N552" s="210">
        <f ca="1"/>
        <v>7</v>
      </c>
      <c r="O552" t="str">
        <f ca="1"/>
        <v>Day</v>
      </c>
      <c r="P552" s="211">
        <f ca="1"/>
        <v>0.94767441860465118</v>
      </c>
      <c r="Q552">
        <f ca="1"/>
        <v>8600</v>
      </c>
      <c r="R552">
        <f ca="1"/>
        <v>0</v>
      </c>
    </row>
    <row r="553" spans="2:18">
      <c r="B553" t="str">
        <f ca="1"/>
        <v>C39 SEP</v>
      </c>
      <c r="C553" s="209">
        <f ca="1"/>
        <v>46275</v>
      </c>
      <c r="D553" t="str">
        <f ca="1"/>
        <v>1,2,3,4</v>
      </c>
      <c r="E553" t="str">
        <f ca="1"/>
        <v>C39</v>
      </c>
      <c r="F553" t="str">
        <f ca="1"/>
        <v>Multigrain</v>
      </c>
      <c r="G553" s="210">
        <f ca="1"/>
        <v>3500</v>
      </c>
      <c r="H553" s="210">
        <f ca="1"/>
        <v>15</v>
      </c>
      <c r="I553" s="210">
        <f ca="1"/>
        <v>6.3</v>
      </c>
      <c r="J553" s="210">
        <f ca="1"/>
        <v>12</v>
      </c>
      <c r="K553" s="210">
        <f ca="1"/>
        <v>186.7</v>
      </c>
      <c r="L553" s="210">
        <f ca="1"/>
        <v>220</v>
      </c>
      <c r="M553" s="210">
        <f ca="1"/>
        <v>3280</v>
      </c>
      <c r="N553" s="210">
        <f ca="1"/>
        <v>7</v>
      </c>
      <c r="O553" t="str">
        <f ca="1"/>
        <v>Day</v>
      </c>
      <c r="P553" s="211">
        <f ca="1"/>
        <v>0.93714285714285717</v>
      </c>
      <c r="Q553">
        <f ca="1"/>
        <v>3500</v>
      </c>
      <c r="R553">
        <f ca="1"/>
        <v>0</v>
      </c>
    </row>
    <row r="554" spans="2:18">
      <c r="B554" t="str">
        <f ca="1"/>
        <v>C39 SEP</v>
      </c>
      <c r="C554" s="209">
        <f ca="1"/>
        <v>46276</v>
      </c>
      <c r="D554" t="str">
        <f ca="1"/>
        <v>1,2,3,4</v>
      </c>
      <c r="E554" t="str">
        <f ca="1"/>
        <v>C39</v>
      </c>
      <c r="F554" t="str">
        <f ca="1"/>
        <v>Multigrain</v>
      </c>
      <c r="G554" s="210">
        <f ca="1"/>
        <v>12750</v>
      </c>
      <c r="H554" s="210">
        <f ca="1"/>
        <v>56</v>
      </c>
      <c r="I554" s="210">
        <f ca="1"/>
        <v>464</v>
      </c>
      <c r="J554" s="210">
        <f ca="1"/>
        <v>29</v>
      </c>
      <c r="K554" s="210">
        <f ca="1"/>
        <v>401</v>
      </c>
      <c r="L554" s="210">
        <f ca="1"/>
        <v>950</v>
      </c>
      <c r="M554" s="210">
        <f ca="1"/>
        <v>11800</v>
      </c>
      <c r="N554" s="210">
        <f ca="1"/>
        <v>7</v>
      </c>
      <c r="O554" t="str">
        <f ca="1"/>
        <v>Day</v>
      </c>
      <c r="P554" s="211">
        <f ca="1"/>
        <v>0.93</v>
      </c>
      <c r="Q554">
        <f ca="1"/>
        <v>12750</v>
      </c>
      <c r="R554">
        <f ca="1"/>
        <v>0</v>
      </c>
    </row>
    <row r="555" spans="2:18">
      <c r="B555" t="str">
        <f ca="1"/>
        <v>C39 SEP</v>
      </c>
      <c r="C555" s="209">
        <f ca="1"/>
        <v>46277</v>
      </c>
      <c r="D555" t="str">
        <f ca="1"/>
        <v>1,2,3,4</v>
      </c>
      <c r="E555" t="str">
        <f ca="1"/>
        <v>C39</v>
      </c>
      <c r="F555" t="str">
        <f ca="1"/>
        <v>Multigrain</v>
      </c>
      <c r="G555" s="210">
        <f ca="1"/>
        <v>9250</v>
      </c>
      <c r="H555" s="210">
        <f ca="1"/>
        <v>46</v>
      </c>
      <c r="I555" s="210">
        <f ca="1"/>
        <v>241</v>
      </c>
      <c r="J555" s="210">
        <f ca="1"/>
        <v>18</v>
      </c>
      <c r="K555" s="210">
        <f ca="1"/>
        <v>295</v>
      </c>
      <c r="L555" s="210">
        <f ca="1"/>
        <v>600</v>
      </c>
      <c r="M555" s="210">
        <f ca="1"/>
        <v>8650</v>
      </c>
      <c r="N555" s="210">
        <f ca="1"/>
        <v>7</v>
      </c>
      <c r="O555" t="str">
        <f ca="1"/>
        <v>Day</v>
      </c>
      <c r="P555" s="211">
        <f ca="1"/>
        <v>0.93</v>
      </c>
      <c r="Q555">
        <f ca="1"/>
        <v>9250</v>
      </c>
      <c r="R555">
        <f ca="1"/>
        <v>0</v>
      </c>
    </row>
    <row r="556" spans="2:18">
      <c r="B556" t="str">
        <f ca="1"/>
        <v>C39 SEP</v>
      </c>
      <c r="C556" s="209">
        <f ca="1"/>
        <v>46280</v>
      </c>
      <c r="D556" t="str">
        <f ca="1"/>
        <v>1,2,3,4</v>
      </c>
      <c r="E556" t="str">
        <f ca="1"/>
        <v>C39</v>
      </c>
      <c r="F556" t="str">
        <f ca="1"/>
        <v>Multigrain</v>
      </c>
      <c r="G556" s="210">
        <f ca="1"/>
        <v>10420</v>
      </c>
      <c r="H556" s="210">
        <f ca="1"/>
        <v>32</v>
      </c>
      <c r="I556" s="210">
        <f ca="1"/>
        <v>95</v>
      </c>
      <c r="J556" s="210">
        <f ca="1"/>
        <v>29</v>
      </c>
      <c r="K556" s="210">
        <f ca="1"/>
        <v>413</v>
      </c>
      <c r="L556" s="210">
        <f ca="1"/>
        <v>575</v>
      </c>
      <c r="M556" s="210">
        <f ca="1"/>
        <v>9845</v>
      </c>
      <c r="N556" s="210">
        <f ca="1"/>
        <v>7</v>
      </c>
      <c r="O556" t="str">
        <f ca="1"/>
        <v>Day</v>
      </c>
      <c r="P556" s="211">
        <f ca="1"/>
        <v>0.94481765834932818</v>
      </c>
      <c r="Q556">
        <f ca="1"/>
        <v>10420</v>
      </c>
      <c r="R556">
        <f ca="1"/>
        <v>0</v>
      </c>
    </row>
    <row r="557" spans="2:18">
      <c r="B557" t="str">
        <f ca="1"/>
        <v>C39 SEP</v>
      </c>
      <c r="C557" s="209">
        <f ca="1"/>
        <v>46281</v>
      </c>
      <c r="D557" t="str">
        <f ca="1"/>
        <v>1,2,3,4</v>
      </c>
      <c r="E557" t="str">
        <f ca="1"/>
        <v>C39</v>
      </c>
      <c r="F557" t="str">
        <f ca="1"/>
        <v>Multigrain</v>
      </c>
      <c r="G557" s="210">
        <f ca="1"/>
        <v>3300</v>
      </c>
      <c r="H557" s="210">
        <f ca="1"/>
        <v>16</v>
      </c>
      <c r="I557" s="210">
        <f ca="1"/>
        <v>8</v>
      </c>
      <c r="J557" s="210">
        <f ca="1"/>
        <v>13</v>
      </c>
      <c r="K557" s="210">
        <f ca="1"/>
        <v>63</v>
      </c>
      <c r="L557" s="210">
        <f ca="1"/>
        <v>100</v>
      </c>
      <c r="M557" s="210">
        <f ca="1"/>
        <v>3070</v>
      </c>
      <c r="N557" s="210">
        <f ca="1"/>
        <v>7</v>
      </c>
      <c r="O557" t="str">
        <f ca="1"/>
        <v>Day</v>
      </c>
      <c r="P557" s="211">
        <f ca="1"/>
        <v>0.9303030303030303</v>
      </c>
      <c r="Q557">
        <f ca="1"/>
        <v>3300</v>
      </c>
      <c r="R557">
        <f ca="1"/>
        <v>0</v>
      </c>
    </row>
    <row r="558" spans="2:18">
      <c r="B558" t="str">
        <f ca="1"/>
        <v>C39 SEP</v>
      </c>
      <c r="C558" s="209">
        <f ca="1"/>
        <v>46283</v>
      </c>
      <c r="D558" t="str">
        <f ca="1"/>
        <v>1,2,3,4</v>
      </c>
      <c r="E558" t="str">
        <f ca="1"/>
        <v>C39</v>
      </c>
      <c r="F558" t="str">
        <f ca="1"/>
        <v>Multigrain</v>
      </c>
      <c r="G558" s="210">
        <f ca="1"/>
        <v>6350</v>
      </c>
      <c r="H558" s="210">
        <f ca="1"/>
        <v>36</v>
      </c>
      <c r="I558" s="210">
        <f ca="1"/>
        <v>68</v>
      </c>
      <c r="J558" s="210">
        <f ca="1"/>
        <v>29</v>
      </c>
      <c r="K558" s="210">
        <f ca="1"/>
        <v>287</v>
      </c>
      <c r="L558" s="210">
        <f ca="1"/>
        <v>420</v>
      </c>
      <c r="M558" s="210">
        <f ca="1"/>
        <v>5930</v>
      </c>
      <c r="N558" s="210">
        <f ca="1"/>
        <v>7</v>
      </c>
      <c r="O558" t="str">
        <f ca="1"/>
        <v>Day</v>
      </c>
      <c r="P558" s="211">
        <f ca="1"/>
        <v>0.93385826771653546</v>
      </c>
      <c r="Q558">
        <f ca="1"/>
        <v>6350</v>
      </c>
      <c r="R558">
        <f ca="1"/>
        <v>0</v>
      </c>
    </row>
    <row r="559" spans="2:18">
      <c r="B559" t="str">
        <f ca="1"/>
        <v>C39 SEP</v>
      </c>
      <c r="C559" s="209">
        <f ca="1"/>
        <v>46284</v>
      </c>
      <c r="D559" t="str">
        <f ca="1"/>
        <v>1,2,3,4</v>
      </c>
      <c r="E559" t="str">
        <f ca="1"/>
        <v>C39</v>
      </c>
      <c r="F559" t="str">
        <f ca="1"/>
        <v>Multigrain</v>
      </c>
      <c r="G559" s="210">
        <f ca="1"/>
        <v>12270</v>
      </c>
      <c r="H559" s="210">
        <f ca="1"/>
        <v>38</v>
      </c>
      <c r="I559" s="210">
        <f ca="1"/>
        <v>605</v>
      </c>
      <c r="J559" s="210">
        <f ca="1"/>
        <v>32</v>
      </c>
      <c r="K559" s="210">
        <f ca="1"/>
        <v>165</v>
      </c>
      <c r="L559" s="210">
        <f ca="1"/>
        <v>840</v>
      </c>
      <c r="M559" s="210">
        <f ca="1"/>
        <v>11430</v>
      </c>
      <c r="N559" s="210">
        <f ca="1"/>
        <v>7</v>
      </c>
      <c r="O559" t="str">
        <f ca="1"/>
        <v>Day</v>
      </c>
      <c r="P559" s="211">
        <f ca="1"/>
        <v>0.93154034229828853</v>
      </c>
      <c r="Q559">
        <f ca="1"/>
        <v>12270</v>
      </c>
      <c r="R559">
        <f ca="1"/>
        <v>0</v>
      </c>
    </row>
    <row r="560" spans="2:18">
      <c r="B560" t="str">
        <f ca="1"/>
        <v>C39 SEP</v>
      </c>
      <c r="C560" s="209">
        <f ca="1"/>
        <v>46285</v>
      </c>
      <c r="D560" t="str">
        <f ca="1"/>
        <v>1,2,3,4</v>
      </c>
      <c r="E560" t="str">
        <f ca="1"/>
        <v>C39</v>
      </c>
      <c r="F560" t="str">
        <f ca="1"/>
        <v>Multigrain</v>
      </c>
      <c r="G560" s="210">
        <f ca="1"/>
        <v>9600</v>
      </c>
      <c r="H560" s="210">
        <f ca="1"/>
        <v>32</v>
      </c>
      <c r="I560" s="210">
        <f ca="1"/>
        <v>534</v>
      </c>
      <c r="J560" s="210">
        <f ca="1"/>
        <v>28</v>
      </c>
      <c r="K560" s="210">
        <f ca="1"/>
        <v>81</v>
      </c>
      <c r="L560" s="210">
        <f ca="1"/>
        <v>675</v>
      </c>
      <c r="M560" s="210">
        <f ca="1"/>
        <v>8925</v>
      </c>
      <c r="N560" s="210">
        <f ca="1"/>
        <v>7</v>
      </c>
      <c r="O560" t="str">
        <f ca="1"/>
        <v>Day</v>
      </c>
      <c r="P560" s="211">
        <f ca="1"/>
        <v>0.9296875</v>
      </c>
      <c r="Q560">
        <f ca="1"/>
        <v>9600</v>
      </c>
      <c r="R560">
        <f ca="1"/>
        <v>0</v>
      </c>
    </row>
    <row r="561" spans="2:18">
      <c r="B561" t="str">
        <f ca="1"/>
        <v>C39 SEP</v>
      </c>
      <c r="C561" s="209">
        <f ca="1"/>
        <v>46286</v>
      </c>
      <c r="D561" t="str">
        <f ca="1"/>
        <v>1,2,34</v>
      </c>
      <c r="E561" t="str">
        <f ca="1"/>
        <v>C39</v>
      </c>
      <c r="F561" t="str">
        <f ca="1"/>
        <v>Multigrain</v>
      </c>
      <c r="G561" s="210">
        <f ca="1"/>
        <v>11500</v>
      </c>
      <c r="H561" s="210">
        <f ca="1"/>
        <v>36</v>
      </c>
      <c r="I561" s="210">
        <f ca="1"/>
        <v>185</v>
      </c>
      <c r="J561" s="210">
        <f ca="1"/>
        <v>31</v>
      </c>
      <c r="K561" s="210">
        <f ca="1"/>
        <v>428</v>
      </c>
      <c r="L561" s="210">
        <f ca="1"/>
        <v>680</v>
      </c>
      <c r="M561" s="210">
        <f ca="1"/>
        <v>10820</v>
      </c>
      <c r="N561" s="210">
        <f ca="1"/>
        <v>7</v>
      </c>
      <c r="O561" t="str">
        <f ca="1"/>
        <v>Day</v>
      </c>
      <c r="P561" s="211">
        <f ca="1"/>
        <v>0.94086956521739129</v>
      </c>
      <c r="Q561">
        <f ca="1"/>
        <v>11500</v>
      </c>
      <c r="R561">
        <f ca="1"/>
        <v>0</v>
      </c>
    </row>
    <row r="562" spans="2:18">
      <c r="B562" t="str">
        <f ca="1"/>
        <v>C39 SEP</v>
      </c>
      <c r="C562" s="209">
        <f ca="1"/>
        <v>46287</v>
      </c>
      <c r="D562" t="str">
        <f ca="1"/>
        <v>1,2,3,4</v>
      </c>
      <c r="E562" t="str">
        <f ca="1"/>
        <v>C39</v>
      </c>
      <c r="F562" t="str">
        <f ca="1"/>
        <v>Multigrain</v>
      </c>
      <c r="G562" s="210">
        <f ca="1"/>
        <v>12450</v>
      </c>
      <c r="H562" s="210">
        <f ca="1"/>
        <v>39</v>
      </c>
      <c r="I562" s="210">
        <f ca="1"/>
        <v>200</v>
      </c>
      <c r="J562" s="210">
        <f ca="1"/>
        <v>27</v>
      </c>
      <c r="K562" s="210">
        <f ca="1"/>
        <v>564</v>
      </c>
      <c r="L562" s="210">
        <f ca="1"/>
        <v>830</v>
      </c>
      <c r="M562" s="210">
        <f ca="1"/>
        <v>11620</v>
      </c>
      <c r="N562" s="210">
        <f ca="1"/>
        <v>7</v>
      </c>
      <c r="O562" t="str">
        <f ca="1"/>
        <v>Day</v>
      </c>
      <c r="P562" s="211">
        <f ca="1"/>
        <v>0.93333333333333335</v>
      </c>
      <c r="Q562">
        <f ca="1"/>
        <v>12450</v>
      </c>
      <c r="R562">
        <f ca="1"/>
        <v>0</v>
      </c>
    </row>
    <row r="563" spans="2:18">
      <c r="B563" t="str">
        <f ca="1"/>
        <v>C39 SEP</v>
      </c>
      <c r="C563" s="209">
        <f ca="1"/>
        <v>46288</v>
      </c>
      <c r="D563" t="str">
        <f ca="1"/>
        <v>1,2,3,4</v>
      </c>
      <c r="E563" t="str">
        <f ca="1"/>
        <v>C39</v>
      </c>
      <c r="F563" t="str">
        <f ca="1"/>
        <v>Multigrain</v>
      </c>
      <c r="G563" s="210">
        <f ca="1"/>
        <v>12200</v>
      </c>
      <c r="H563" s="210">
        <f ca="1"/>
        <v>34</v>
      </c>
      <c r="I563" s="210">
        <f ca="1"/>
        <v>185</v>
      </c>
      <c r="J563" s="210">
        <f ca="1"/>
        <v>23</v>
      </c>
      <c r="K563" s="210">
        <f ca="1"/>
        <v>518</v>
      </c>
      <c r="L563" s="210">
        <f ca="1"/>
        <v>760</v>
      </c>
      <c r="M563" s="210">
        <f ca="1"/>
        <v>11440</v>
      </c>
      <c r="N563" s="210">
        <f ca="1"/>
        <v>7</v>
      </c>
      <c r="O563" t="str">
        <f ca="1"/>
        <v>Day</v>
      </c>
      <c r="P563" s="211">
        <f ca="1"/>
        <v>0.93770491803278688</v>
      </c>
      <c r="Q563">
        <f ca="1"/>
        <v>12200</v>
      </c>
      <c r="R563">
        <f ca="1"/>
        <v>0</v>
      </c>
    </row>
    <row r="564" spans="2:18">
      <c r="B564" t="str">
        <f ca="1"/>
        <v>C39 SEP</v>
      </c>
      <c r="C564" s="209">
        <f ca="1"/>
        <v>46289</v>
      </c>
      <c r="D564" t="str">
        <f ca="1"/>
        <v>1,2,3,4</v>
      </c>
      <c r="E564" t="str">
        <f ca="1"/>
        <v>C39</v>
      </c>
      <c r="F564" t="str">
        <f ca="1"/>
        <v>Multigrain</v>
      </c>
      <c r="G564" s="210">
        <f ca="1"/>
        <v>5270</v>
      </c>
      <c r="H564" s="210">
        <f ca="1"/>
        <v>23</v>
      </c>
      <c r="I564" s="210">
        <f ca="1"/>
        <v>246</v>
      </c>
      <c r="J564" s="210">
        <f ca="1"/>
        <v>18</v>
      </c>
      <c r="K564" s="210">
        <f ca="1"/>
        <v>63</v>
      </c>
      <c r="L564" s="210">
        <f ca="1"/>
        <v>350</v>
      </c>
      <c r="M564" s="210">
        <f ca="1"/>
        <v>4920</v>
      </c>
      <c r="N564" s="210">
        <f ca="1"/>
        <v>7</v>
      </c>
      <c r="O564" t="str">
        <f ca="1"/>
        <v>Day</v>
      </c>
      <c r="P564" s="211">
        <f ca="1"/>
        <v>0.93358633776091082</v>
      </c>
      <c r="Q564">
        <f ca="1"/>
        <v>5270</v>
      </c>
      <c r="R564">
        <f ca="1"/>
        <v>0</v>
      </c>
    </row>
    <row r="565" spans="2:18">
      <c r="B565" t="str">
        <f ca="1"/>
        <v>C39 SEP</v>
      </c>
      <c r="C565" s="209">
        <f ca="1"/>
        <v>46290</v>
      </c>
      <c r="D565" t="str">
        <f ca="1"/>
        <v>1,2,3,4</v>
      </c>
      <c r="E565" t="str">
        <f ca="1"/>
        <v>C39</v>
      </c>
      <c r="F565" t="str">
        <f ca="1"/>
        <v>Multigrain</v>
      </c>
      <c r="G565" s="210">
        <f ca="1"/>
        <v>11750</v>
      </c>
      <c r="H565" s="210">
        <f ca="1"/>
        <v>39</v>
      </c>
      <c r="I565" s="210">
        <f ca="1"/>
        <v>320</v>
      </c>
      <c r="J565" s="210">
        <f ca="1"/>
        <v>23</v>
      </c>
      <c r="K565" s="210">
        <f ca="1"/>
        <v>413</v>
      </c>
      <c r="L565" s="210">
        <f ca="1"/>
        <v>795</v>
      </c>
      <c r="M565" s="210">
        <f ca="1"/>
        <v>10955</v>
      </c>
      <c r="N565" s="210">
        <f ca="1"/>
        <v>7</v>
      </c>
      <c r="O565" t="str">
        <f ca="1"/>
        <v>Day</v>
      </c>
      <c r="P565" s="211">
        <f ca="1"/>
        <v>0.93234042553191487</v>
      </c>
      <c r="Q565">
        <f ca="1"/>
        <v>11750</v>
      </c>
      <c r="R565">
        <f ca="1"/>
        <v>0</v>
      </c>
    </row>
    <row r="566" spans="2:18">
      <c r="B566" t="str">
        <f ca="1"/>
        <v>C39 SEP</v>
      </c>
      <c r="C566" s="209">
        <f ca="1"/>
        <v>46291</v>
      </c>
      <c r="D566" t="str">
        <f ca="1"/>
        <v>1,2,3,4</v>
      </c>
      <c r="E566" t="str">
        <f ca="1"/>
        <v>C39</v>
      </c>
      <c r="F566" t="str">
        <f ca="1"/>
        <v>Multigrain</v>
      </c>
      <c r="G566" s="210">
        <f ca="1"/>
        <v>10000</v>
      </c>
      <c r="H566" s="210">
        <f ca="1"/>
        <v>31</v>
      </c>
      <c r="I566" s="210">
        <f ca="1"/>
        <v>269</v>
      </c>
      <c r="J566" s="210">
        <f ca="1"/>
        <v>28</v>
      </c>
      <c r="K566" s="210">
        <f ca="1"/>
        <v>347</v>
      </c>
      <c r="L566" s="210">
        <f ca="1"/>
        <v>675</v>
      </c>
      <c r="M566" s="210">
        <f ca="1"/>
        <v>9325</v>
      </c>
      <c r="N566" s="210">
        <f ca="1"/>
        <v>7</v>
      </c>
      <c r="O566" t="str">
        <f ca="1"/>
        <v>Day</v>
      </c>
      <c r="P566" s="211">
        <f ca="1"/>
        <v>0.9325</v>
      </c>
      <c r="Q566">
        <f ca="1"/>
        <v>10000</v>
      </c>
      <c r="R566">
        <f ca="1"/>
        <v>0</v>
      </c>
    </row>
    <row r="567" spans="2:18">
      <c r="B567" t="str">
        <f ca="1"/>
        <v>C39 SEP</v>
      </c>
      <c r="C567" s="209">
        <f ca="1"/>
        <v>46293</v>
      </c>
      <c r="D567" t="str">
        <f ca="1"/>
        <v>1,2,3,4</v>
      </c>
      <c r="E567" t="str">
        <f ca="1"/>
        <v>C39</v>
      </c>
      <c r="F567" t="str">
        <f ca="1"/>
        <v>Multigrain</v>
      </c>
      <c r="G567" s="210">
        <f ca="1"/>
        <v>8900</v>
      </c>
      <c r="H567" s="210">
        <f ca="1"/>
        <v>28</v>
      </c>
      <c r="I567" s="210">
        <f ca="1"/>
        <v>279.89999999999998</v>
      </c>
      <c r="J567" s="210">
        <f ca="1"/>
        <v>19.5</v>
      </c>
      <c r="K567" s="210">
        <f ca="1"/>
        <v>342.6</v>
      </c>
      <c r="L567" s="210">
        <f ca="1"/>
        <v>670</v>
      </c>
      <c r="M567" s="210">
        <f ca="1"/>
        <v>8230</v>
      </c>
      <c r="N567" s="210">
        <f ca="1"/>
        <v>7</v>
      </c>
      <c r="O567" t="str">
        <f ca="1"/>
        <v>Day</v>
      </c>
      <c r="P567" s="211">
        <f ca="1"/>
        <v>0.92471910112359545</v>
      </c>
      <c r="Q567">
        <f ca="1"/>
        <v>8900</v>
      </c>
      <c r="R567">
        <f ca="1"/>
        <v>0</v>
      </c>
    </row>
    <row r="568" spans="2:18">
      <c r="B568" t="str">
        <f ca="1"/>
        <v>C39 SEP</v>
      </c>
      <c r="C568" s="209">
        <f ca="1"/>
        <v>46294</v>
      </c>
      <c r="D568" t="str">
        <f ca="1"/>
        <v>1,23,4</v>
      </c>
      <c r="E568" t="str">
        <f ca="1"/>
        <v>C39</v>
      </c>
      <c r="F568" t="str">
        <f ca="1"/>
        <v>Multigrain</v>
      </c>
      <c r="G568" s="210">
        <f ca="1"/>
        <v>6500</v>
      </c>
      <c r="H568" s="210">
        <f ca="1"/>
        <v>19</v>
      </c>
      <c r="I568" s="210">
        <f ca="1"/>
        <v>179</v>
      </c>
      <c r="J568" s="210">
        <f ca="1"/>
        <v>12</v>
      </c>
      <c r="K568" s="210">
        <f ca="1"/>
        <v>265</v>
      </c>
      <c r="L568" s="210">
        <f ca="1"/>
        <v>475</v>
      </c>
      <c r="M568" s="210">
        <f ca="1"/>
        <v>6025</v>
      </c>
      <c r="N568" s="210">
        <f ca="1"/>
        <v>7</v>
      </c>
      <c r="O568" t="str">
        <f ca="1"/>
        <v>Day</v>
      </c>
      <c r="P568" s="211">
        <f ca="1"/>
        <v>0.92692307692307696</v>
      </c>
      <c r="Q568">
        <f ca="1"/>
        <v>6500</v>
      </c>
      <c r="R568">
        <f ca="1"/>
        <v>0</v>
      </c>
    </row>
    <row r="569" spans="2:18">
      <c r="B569" t="str">
        <f ca="1"/>
        <v>C39 SEP</v>
      </c>
      <c r="C569" s="209">
        <f ca="1"/>
        <v>46295</v>
      </c>
      <c r="D569" t="str">
        <f ca="1"/>
        <v>1,2,3,4</v>
      </c>
      <c r="E569" t="str">
        <f ca="1"/>
        <v>C39</v>
      </c>
      <c r="F569" t="str">
        <f ca="1"/>
        <v>Multigrain</v>
      </c>
      <c r="G569" s="210">
        <f ca="1"/>
        <v>9700</v>
      </c>
      <c r="H569" s="210">
        <f ca="1"/>
        <v>28</v>
      </c>
      <c r="I569" s="210">
        <f ca="1"/>
        <v>352</v>
      </c>
      <c r="J569" s="210">
        <f ca="1"/>
        <v>24</v>
      </c>
      <c r="K569" s="210">
        <f ca="1"/>
        <v>234</v>
      </c>
      <c r="L569" s="210">
        <f ca="1"/>
        <v>638</v>
      </c>
      <c r="M569" s="210">
        <f ca="1"/>
        <v>9062</v>
      </c>
      <c r="N569" s="210">
        <f ca="1"/>
        <v>7</v>
      </c>
      <c r="O569" t="str">
        <f ca="1"/>
        <v>Day</v>
      </c>
      <c r="P569" s="211">
        <f ca="1"/>
        <v>0.93422680412371129</v>
      </c>
      <c r="Q569">
        <f ca="1"/>
        <v>9700</v>
      </c>
      <c r="R569">
        <f ca="1"/>
        <v>0</v>
      </c>
    </row>
    <row r="570" spans="2:18">
      <c r="B570" t="str">
        <f ca="1"/>
        <v>C6 OCT</v>
      </c>
      <c r="C570" s="209">
        <f ca="1"/>
        <v>46296</v>
      </c>
      <c r="D570" t="str">
        <f ca="1"/>
        <v>chakki1,2,3</v>
      </c>
      <c r="E570" t="str">
        <f ca="1"/>
        <v>C6 New Plant</v>
      </c>
      <c r="F570" t="str">
        <f ca="1"/>
        <v>khapli protein premix</v>
      </c>
      <c r="G570" s="210">
        <f ca="1"/>
        <v>997.5</v>
      </c>
      <c r="H570" s="210">
        <f ca="1"/>
        <v>1</v>
      </c>
      <c r="I570" s="210">
        <f ca="1"/>
        <v>29</v>
      </c>
      <c r="J570" s="210">
        <f ca="1"/>
        <v>1</v>
      </c>
      <c r="K570" s="210">
        <f ca="1"/>
        <v>48.5</v>
      </c>
      <c r="L570" s="210">
        <f ca="1"/>
        <v>79.5</v>
      </c>
      <c r="M570" s="210">
        <f ca="1"/>
        <v>918</v>
      </c>
      <c r="N570" s="210">
        <f ca="1"/>
        <v>4</v>
      </c>
      <c r="O570" t="str">
        <f ca="1"/>
        <v>Day</v>
      </c>
      <c r="P570" s="211">
        <f ca="1"/>
        <v>0.92030075187969929</v>
      </c>
      <c r="Q570">
        <f ca="1"/>
        <v>997.5</v>
      </c>
      <c r="R570">
        <f ca="1"/>
        <v>0</v>
      </c>
    </row>
    <row r="571" spans="2:18">
      <c r="B571" t="str">
        <f ca="1"/>
        <v>C6 OCT</v>
      </c>
      <c r="C571" s="209">
        <f ca="1"/>
        <v>46296</v>
      </c>
      <c r="D571" t="str">
        <f ca="1"/>
        <v>chakki1,2,3</v>
      </c>
      <c r="E571" t="str">
        <f ca="1"/>
        <v>C6 New Plant</v>
      </c>
      <c r="F571" t="str">
        <f ca="1"/>
        <v>khapli wheat grains</v>
      </c>
      <c r="G571" s="210">
        <f ca="1"/>
        <v>1750</v>
      </c>
      <c r="H571" s="210">
        <f ca="1"/>
        <v>1</v>
      </c>
      <c r="I571" s="210">
        <f ca="1"/>
        <v>9</v>
      </c>
      <c r="J571" s="210">
        <f ca="1"/>
        <v>1</v>
      </c>
      <c r="K571" s="210">
        <f ca="1"/>
        <v>101</v>
      </c>
      <c r="L571" s="210">
        <f ca="1"/>
        <v>112</v>
      </c>
      <c r="M571" s="210">
        <f ca="1"/>
        <v>1638</v>
      </c>
      <c r="N571" s="210">
        <f ca="1"/>
        <v>4</v>
      </c>
      <c r="O571" t="str">
        <f ca="1"/>
        <v>Day</v>
      </c>
      <c r="P571" s="211">
        <f ca="1"/>
        <v>0.93600000000000005</v>
      </c>
      <c r="Q571">
        <f ca="1"/>
        <v>1750</v>
      </c>
      <c r="R571">
        <f ca="1"/>
        <v>0</v>
      </c>
    </row>
    <row r="572" spans="2:18">
      <c r="B572" t="str">
        <f ca="1"/>
        <v>C6 OCT</v>
      </c>
      <c r="C572" s="209">
        <f ca="1"/>
        <v>46298</v>
      </c>
      <c r="D572" t="str">
        <f ca="1"/>
        <v>chakki1,2,3</v>
      </c>
      <c r="E572" t="str">
        <f ca="1"/>
        <v>C6 New Plant</v>
      </c>
      <c r="F572" t="str">
        <f ca="1"/>
        <v>khapli wheat grains</v>
      </c>
      <c r="G572" s="210">
        <f ca="1"/>
        <v>4000</v>
      </c>
      <c r="H572" s="210">
        <f ca="1"/>
        <v>1</v>
      </c>
      <c r="I572" s="210">
        <f ca="1"/>
        <v>52</v>
      </c>
      <c r="J572" s="210">
        <f ca="1"/>
        <v>2</v>
      </c>
      <c r="K572" s="210">
        <f ca="1"/>
        <v>245</v>
      </c>
      <c r="L572" s="210">
        <f ca="1"/>
        <v>300</v>
      </c>
      <c r="M572" s="210">
        <f ca="1"/>
        <v>3700</v>
      </c>
      <c r="N572" s="210">
        <f ca="1"/>
        <v>4</v>
      </c>
      <c r="O572" t="str">
        <f ca="1"/>
        <v>Day</v>
      </c>
      <c r="P572" s="211">
        <f ca="1"/>
        <v>0.92500000000000004</v>
      </c>
      <c r="Q572">
        <f ca="1"/>
        <v>4000</v>
      </c>
      <c r="R572">
        <f ca="1"/>
        <v>0</v>
      </c>
    </row>
    <row r="573" spans="2:18">
      <c r="B573" t="str">
        <f ca="1"/>
        <v>C6 OCT</v>
      </c>
      <c r="C573" s="209">
        <f ca="1"/>
        <v>46300</v>
      </c>
      <c r="D573" t="str">
        <f ca="1"/>
        <v>chakki1,2,3</v>
      </c>
      <c r="E573" t="str">
        <f ca="1"/>
        <v>C6 New Plant</v>
      </c>
      <c r="F573" t="str">
        <f ca="1"/>
        <v>khapli wheat grains</v>
      </c>
      <c r="G573" s="210">
        <f ca="1"/>
        <v>4000</v>
      </c>
      <c r="H573" s="210">
        <f ca="1"/>
        <v>1</v>
      </c>
      <c r="I573" s="210">
        <f ca="1"/>
        <v>50</v>
      </c>
      <c r="J573" s="210">
        <f ca="1"/>
        <v>2</v>
      </c>
      <c r="K573" s="210">
        <f ca="1"/>
        <v>227</v>
      </c>
      <c r="L573" s="210">
        <f ca="1"/>
        <v>280</v>
      </c>
      <c r="M573" s="210">
        <f ca="1"/>
        <v>3720</v>
      </c>
      <c r="N573" s="210">
        <f ca="1"/>
        <v>4</v>
      </c>
      <c r="O573" t="str">
        <f ca="1"/>
        <v>Day</v>
      </c>
      <c r="P573" s="211">
        <f ca="1"/>
        <v>0.93</v>
      </c>
      <c r="Q573">
        <f ca="1"/>
        <v>4000</v>
      </c>
      <c r="R573">
        <f ca="1"/>
        <v>0</v>
      </c>
    </row>
    <row r="574" spans="2:18">
      <c r="B574" t="str">
        <f ca="1"/>
        <v>C6 OCT</v>
      </c>
      <c r="C574" s="209">
        <f ca="1"/>
        <v>46301</v>
      </c>
      <c r="D574" t="str">
        <f ca="1"/>
        <v>chakki1,2,3</v>
      </c>
      <c r="E574" t="str">
        <f ca="1"/>
        <v>C6 New Plant</v>
      </c>
      <c r="F574" t="str">
        <f ca="1"/>
        <v>khapli wheat grains</v>
      </c>
      <c r="G574" s="210">
        <f ca="1"/>
        <v>3800</v>
      </c>
      <c r="H574" s="210">
        <f ca="1"/>
        <v>1</v>
      </c>
      <c r="I574" s="210">
        <f ca="1"/>
        <v>29</v>
      </c>
      <c r="J574" s="210">
        <f ca="1"/>
        <v>2</v>
      </c>
      <c r="K574" s="210">
        <f ca="1"/>
        <v>234</v>
      </c>
      <c r="L574" s="210">
        <f ca="1"/>
        <v>266</v>
      </c>
      <c r="M574" s="210">
        <f ca="1"/>
        <v>3534</v>
      </c>
      <c r="N574" s="210">
        <f ca="1"/>
        <v>4</v>
      </c>
      <c r="O574" t="str">
        <f ca="1"/>
        <v>Day</v>
      </c>
      <c r="P574" s="211">
        <f ca="1"/>
        <v>0.93</v>
      </c>
      <c r="Q574">
        <f ca="1"/>
        <v>3800</v>
      </c>
      <c r="R574">
        <f ca="1"/>
        <v>0</v>
      </c>
    </row>
    <row r="575" spans="2:18">
      <c r="B575" t="str">
        <f ca="1"/>
        <v>C6 OCT</v>
      </c>
      <c r="C575" s="209">
        <f ca="1"/>
        <v>46302</v>
      </c>
      <c r="D575" t="str">
        <f ca="1"/>
        <v>chakki1,2,3</v>
      </c>
      <c r="E575" t="str">
        <f ca="1"/>
        <v>C6 New Plant</v>
      </c>
      <c r="F575" t="str">
        <f ca="1"/>
        <v>khapli wheat grains</v>
      </c>
      <c r="G575" s="210">
        <f ca="1"/>
        <v>4050</v>
      </c>
      <c r="H575" s="210">
        <f ca="1"/>
        <v>1</v>
      </c>
      <c r="I575" s="210">
        <f ca="1"/>
        <v>32</v>
      </c>
      <c r="J575" s="210">
        <f ca="1"/>
        <v>2</v>
      </c>
      <c r="K575" s="210">
        <f ca="1"/>
        <v>184</v>
      </c>
      <c r="L575" s="210">
        <f ca="1"/>
        <v>219</v>
      </c>
      <c r="M575" s="210">
        <f ca="1"/>
        <v>3831</v>
      </c>
      <c r="N575" s="210">
        <f ca="1"/>
        <v>4</v>
      </c>
      <c r="O575" t="str">
        <f ca="1"/>
        <v>Day</v>
      </c>
      <c r="P575" s="211">
        <f ca="1"/>
        <v>0.94592592592592595</v>
      </c>
      <c r="Q575">
        <f ca="1"/>
        <v>4050</v>
      </c>
      <c r="R575">
        <f ca="1"/>
        <v>0</v>
      </c>
    </row>
    <row r="576" spans="2:18">
      <c r="B576" t="str">
        <f ca="1"/>
        <v>C6 OCT</v>
      </c>
      <c r="C576" s="209">
        <f ca="1"/>
        <v>46303</v>
      </c>
      <c r="D576" t="str">
        <f ca="1"/>
        <v>chakki1,2,3</v>
      </c>
      <c r="E576" t="str">
        <f ca="1"/>
        <v>C6 New Plant</v>
      </c>
      <c r="F576" t="str">
        <f ca="1"/>
        <v>khapli wheat grains</v>
      </c>
      <c r="G576" s="210">
        <f ca="1"/>
        <v>1150</v>
      </c>
      <c r="H576" s="210">
        <f ca="1"/>
        <v>0</v>
      </c>
      <c r="I576" s="210">
        <f ca="1"/>
        <v>8</v>
      </c>
      <c r="J576" s="210">
        <f ca="1"/>
        <v>1</v>
      </c>
      <c r="K576" s="210">
        <f ca="1"/>
        <v>74</v>
      </c>
      <c r="L576" s="210">
        <f ca="1"/>
        <v>83</v>
      </c>
      <c r="M576" s="210">
        <f ca="1"/>
        <v>1067</v>
      </c>
      <c r="N576" s="210">
        <f ca="1"/>
        <v>4</v>
      </c>
      <c r="O576" t="str">
        <f ca="1"/>
        <v>Day</v>
      </c>
      <c r="P576" s="211">
        <f ca="1"/>
        <v>0.92782608695652169</v>
      </c>
      <c r="Q576">
        <f ca="1"/>
        <v>1150</v>
      </c>
      <c r="R576">
        <f ca="1"/>
        <v>0</v>
      </c>
    </row>
    <row r="577" spans="2:18">
      <c r="B577" t="str">
        <f ca="1"/>
        <v>C6 OCT</v>
      </c>
      <c r="C577" s="209">
        <f ca="1"/>
        <v>46304</v>
      </c>
      <c r="D577" t="str">
        <f ca="1"/>
        <v>chakki1,2,3</v>
      </c>
      <c r="E577" t="str">
        <f ca="1"/>
        <v>C6 New Plant</v>
      </c>
      <c r="F577" t="str">
        <f ca="1"/>
        <v>khapli wheat grains</v>
      </c>
      <c r="G577" s="210">
        <f ca="1"/>
        <v>5750</v>
      </c>
      <c r="H577" s="210">
        <f ca="1"/>
        <v>1</v>
      </c>
      <c r="I577" s="210">
        <f ca="1"/>
        <v>105</v>
      </c>
      <c r="J577" s="210">
        <f ca="1"/>
        <v>3</v>
      </c>
      <c r="K577" s="210">
        <f ca="1"/>
        <v>341</v>
      </c>
      <c r="L577" s="210">
        <f ca="1"/>
        <v>450</v>
      </c>
      <c r="M577" s="210">
        <f ca="1"/>
        <v>5300</v>
      </c>
      <c r="N577" s="210">
        <f ca="1"/>
        <v>4</v>
      </c>
      <c r="O577" t="str">
        <f ca="1"/>
        <v>Day</v>
      </c>
      <c r="P577" s="211">
        <f ca="1"/>
        <v>0.92173913043478262</v>
      </c>
      <c r="Q577">
        <f ca="1"/>
        <v>5750</v>
      </c>
      <c r="R577">
        <f ca="1"/>
        <v>0</v>
      </c>
    </row>
    <row r="578" spans="2:18">
      <c r="B578" t="str">
        <f ca="1"/>
        <v>C6 OCT</v>
      </c>
      <c r="C578" s="209">
        <f ca="1"/>
        <v>46305</v>
      </c>
      <c r="D578" t="str">
        <f ca="1"/>
        <v>chakki1,2,3</v>
      </c>
      <c r="E578" t="str">
        <f ca="1"/>
        <v>C6 New Plant</v>
      </c>
      <c r="F578" t="str">
        <f ca="1"/>
        <v>khapli wheat grains</v>
      </c>
      <c r="G578" s="210">
        <f ca="1"/>
        <v>6050</v>
      </c>
      <c r="H578" s="210">
        <f ca="1"/>
        <v>1</v>
      </c>
      <c r="I578" s="210">
        <f ca="1"/>
        <v>110</v>
      </c>
      <c r="J578" s="210">
        <f ca="1"/>
        <v>3</v>
      </c>
      <c r="K578" s="210">
        <f ca="1"/>
        <v>328</v>
      </c>
      <c r="L578" s="210">
        <f ca="1"/>
        <v>442</v>
      </c>
      <c r="M578" s="210">
        <f ca="1"/>
        <v>5608</v>
      </c>
      <c r="N578" s="210">
        <f ca="1"/>
        <v>4</v>
      </c>
      <c r="O578" t="str">
        <f ca="1"/>
        <v>Day</v>
      </c>
      <c r="P578" s="211">
        <f ca="1"/>
        <v>0.92694214876033054</v>
      </c>
      <c r="Q578">
        <f ca="1"/>
        <v>6050</v>
      </c>
      <c r="R578">
        <f ca="1"/>
        <v>0</v>
      </c>
    </row>
    <row r="579" spans="2:18">
      <c r="B579" t="str">
        <f ca="1"/>
        <v>C6 OCT</v>
      </c>
      <c r="C579" s="209">
        <f ca="1"/>
        <v>46307</v>
      </c>
      <c r="D579" t="str">
        <f ca="1"/>
        <v>chakki1,2,3</v>
      </c>
      <c r="E579" t="str">
        <f ca="1"/>
        <v>C6 New Plant</v>
      </c>
      <c r="F579" t="str">
        <f ca="1"/>
        <v>khapli wheat grains</v>
      </c>
      <c r="G579" s="210">
        <f ca="1"/>
        <v>4200</v>
      </c>
      <c r="H579" s="210">
        <f ca="1"/>
        <v>1</v>
      </c>
      <c r="I579" s="210">
        <f ca="1"/>
        <v>50</v>
      </c>
      <c r="J579" s="210">
        <f ca="1"/>
        <v>2</v>
      </c>
      <c r="K579" s="210">
        <f ca="1"/>
        <v>207</v>
      </c>
      <c r="L579" s="210">
        <f ca="1"/>
        <v>260</v>
      </c>
      <c r="M579" s="210">
        <f ca="1"/>
        <v>3940</v>
      </c>
      <c r="N579" s="210">
        <f ca="1"/>
        <v>3</v>
      </c>
      <c r="O579" t="str">
        <f ca="1"/>
        <v>Day</v>
      </c>
      <c r="P579" s="211">
        <f ca="1"/>
        <v>0.93809523809523809</v>
      </c>
      <c r="Q579">
        <f ca="1"/>
        <v>4200</v>
      </c>
      <c r="R579">
        <f ca="1"/>
        <v>0</v>
      </c>
    </row>
    <row r="580" spans="2:18">
      <c r="B580" t="str">
        <f ca="1"/>
        <v>C39 OCT</v>
      </c>
      <c r="C580" s="209">
        <f ca="1"/>
        <v>46296</v>
      </c>
      <c r="D580" t="str">
        <f ca="1"/>
        <v>1,2,3,4</v>
      </c>
      <c r="E580" t="str">
        <f ca="1"/>
        <v>C39</v>
      </c>
      <c r="F580" t="str">
        <f ca="1"/>
        <v>Multigrain</v>
      </c>
      <c r="G580" s="210">
        <f ca="1"/>
        <v>9800</v>
      </c>
      <c r="H580" s="210">
        <f ca="1"/>
        <v>19</v>
      </c>
      <c r="I580" s="210">
        <f ca="1"/>
        <v>345</v>
      </c>
      <c r="J580" s="210">
        <f ca="1"/>
        <v>19</v>
      </c>
      <c r="K580" s="210">
        <f ca="1"/>
        <v>267</v>
      </c>
      <c r="L580" s="210">
        <f ca="1"/>
        <v>650</v>
      </c>
      <c r="M580" s="210">
        <f ca="1"/>
        <v>9150</v>
      </c>
      <c r="N580" s="210">
        <f ca="1"/>
        <v>7</v>
      </c>
      <c r="O580" t="str">
        <f ca="1"/>
        <v>Day</v>
      </c>
      <c r="P580" s="211">
        <f ca="1"/>
        <v>0.93367346938775508</v>
      </c>
      <c r="Q580">
        <f ca="1"/>
        <v>9800</v>
      </c>
      <c r="R580">
        <f ca="1"/>
        <v>0</v>
      </c>
    </row>
    <row r="581" spans="2:18">
      <c r="B581" t="str">
        <f ca="1"/>
        <v>C39 OCT</v>
      </c>
      <c r="C581" s="209">
        <f ca="1"/>
        <v>46298</v>
      </c>
      <c r="D581" t="str">
        <f ca="1"/>
        <v>1,2,3,4</v>
      </c>
      <c r="E581" t="str">
        <f ca="1"/>
        <v>C39</v>
      </c>
      <c r="F581" t="str">
        <f ca="1"/>
        <v>Multigrain</v>
      </c>
      <c r="G581" s="210">
        <f ca="1"/>
        <v>8400</v>
      </c>
      <c r="H581" s="210">
        <f ca="1"/>
        <v>16</v>
      </c>
      <c r="I581" s="210">
        <f ca="1"/>
        <v>216</v>
      </c>
      <c r="J581" s="210">
        <f ca="1"/>
        <v>15</v>
      </c>
      <c r="K581" s="210">
        <f ca="1"/>
        <v>373</v>
      </c>
      <c r="L581" s="210">
        <f ca="1"/>
        <v>620</v>
      </c>
      <c r="M581" s="210">
        <f ca="1"/>
        <v>7780</v>
      </c>
      <c r="N581" s="210">
        <f ca="1"/>
        <v>7</v>
      </c>
      <c r="O581" t="str">
        <f ca="1"/>
        <v>Day</v>
      </c>
      <c r="P581" s="211">
        <f ca="1"/>
        <v>0.92619047619047623</v>
      </c>
      <c r="Q581">
        <f ca="1"/>
        <v>8400</v>
      </c>
      <c r="R581">
        <f ca="1"/>
        <v>0</v>
      </c>
    </row>
    <row r="582" spans="2:18">
      <c r="B582" t="str">
        <f ca="1"/>
        <v>C39 OCT</v>
      </c>
      <c r="C582" s="209">
        <f ca="1"/>
        <v>46299</v>
      </c>
      <c r="D582" t="str">
        <f ca="1"/>
        <v>1,2,3,4</v>
      </c>
      <c r="E582" t="str">
        <f ca="1"/>
        <v>C39</v>
      </c>
      <c r="F582" t="str">
        <f ca="1"/>
        <v>Multigrain</v>
      </c>
      <c r="G582" s="210">
        <f ca="1"/>
        <v>9500</v>
      </c>
      <c r="H582" s="210">
        <f ca="1"/>
        <v>29</v>
      </c>
      <c r="I582" s="210">
        <f ca="1"/>
        <v>249</v>
      </c>
      <c r="J582" s="210">
        <f ca="1"/>
        <v>25</v>
      </c>
      <c r="K582" s="210">
        <f ca="1"/>
        <v>397</v>
      </c>
      <c r="L582" s="210">
        <f ca="1"/>
        <v>700</v>
      </c>
      <c r="M582" s="210">
        <f ca="1"/>
        <v>8800</v>
      </c>
      <c r="N582" s="210">
        <f ca="1"/>
        <v>7</v>
      </c>
      <c r="O582" t="str">
        <f ca="1"/>
        <v>Day</v>
      </c>
      <c r="P582" s="211">
        <f ca="1"/>
        <v>0.9263157894736842</v>
      </c>
      <c r="Q582">
        <f ca="1"/>
        <v>9500</v>
      </c>
      <c r="R582">
        <f ca="1"/>
        <v>0</v>
      </c>
    </row>
    <row r="583" spans="2:18">
      <c r="B583" t="str">
        <f ca="1"/>
        <v>C39 OCT</v>
      </c>
      <c r="C583" s="209">
        <f ca="1"/>
        <v>46300</v>
      </c>
      <c r="D583" t="str">
        <f ca="1"/>
        <v>1,2,3,4</v>
      </c>
      <c r="E583" t="str">
        <f ca="1"/>
        <v>C39</v>
      </c>
      <c r="F583" t="str">
        <f ca="1"/>
        <v>Multigrain</v>
      </c>
      <c r="G583" s="210">
        <f ca="1"/>
        <v>15500</v>
      </c>
      <c r="H583" s="210">
        <f ca="1"/>
        <v>38</v>
      </c>
      <c r="I583" s="210">
        <f ca="1"/>
        <v>315</v>
      </c>
      <c r="J583" s="210">
        <f ca="1"/>
        <v>38</v>
      </c>
      <c r="K583" s="210">
        <f ca="1"/>
        <v>894</v>
      </c>
      <c r="L583" s="210">
        <f ca="1"/>
        <v>1285</v>
      </c>
      <c r="M583" s="210">
        <f ca="1"/>
        <v>14215</v>
      </c>
      <c r="N583" s="210">
        <f ca="1"/>
        <v>7</v>
      </c>
      <c r="O583" t="str">
        <f ca="1"/>
        <v>Day</v>
      </c>
      <c r="P583" s="211">
        <f ca="1"/>
        <v>0.9170967741935484</v>
      </c>
      <c r="Q583">
        <f ca="1"/>
        <v>15500</v>
      </c>
      <c r="R583">
        <f ca="1"/>
        <v>0</v>
      </c>
    </row>
    <row r="584" spans="2:18">
      <c r="B584" t="str">
        <f ca="1"/>
        <v>C39 OCT</v>
      </c>
      <c r="C584" s="209">
        <f ca="1"/>
        <v>46301</v>
      </c>
      <c r="D584" t="str">
        <f ca="1"/>
        <v>1,2,3,4</v>
      </c>
      <c r="E584" t="str">
        <f ca="1"/>
        <v>C39</v>
      </c>
      <c r="F584" t="str">
        <f ca="1"/>
        <v>Multigrain</v>
      </c>
      <c r="G584" s="210">
        <f ca="1"/>
        <v>8300</v>
      </c>
      <c r="H584" s="210">
        <f ca="1"/>
        <v>26</v>
      </c>
      <c r="I584" s="210">
        <f ca="1"/>
        <v>276</v>
      </c>
      <c r="J584" s="210">
        <f ca="1"/>
        <v>31</v>
      </c>
      <c r="K584" s="210">
        <f ca="1"/>
        <v>217</v>
      </c>
      <c r="L584" s="210">
        <f ca="1"/>
        <v>550</v>
      </c>
      <c r="M584" s="210">
        <f ca="1"/>
        <v>7750</v>
      </c>
      <c r="N584" s="210">
        <f ca="1"/>
        <v>7</v>
      </c>
      <c r="O584" t="str">
        <f ca="1"/>
        <v>Day</v>
      </c>
      <c r="P584" s="211">
        <f ca="1"/>
        <v>0.9337349397590361</v>
      </c>
      <c r="Q584">
        <f ca="1"/>
        <v>8300</v>
      </c>
      <c r="R584">
        <f ca="1"/>
        <v>0</v>
      </c>
    </row>
    <row r="585" spans="2:18">
      <c r="B585" t="str">
        <f ca="1"/>
        <v>C39 OCT</v>
      </c>
      <c r="C585" s="209">
        <f ca="1"/>
        <v>46302</v>
      </c>
      <c r="D585" t="str">
        <f ca="1"/>
        <v>1,2,3,4</v>
      </c>
      <c r="E585" t="str">
        <f ca="1"/>
        <v>C39</v>
      </c>
      <c r="F585" t="str">
        <f ca="1"/>
        <v>Multigrain</v>
      </c>
      <c r="G585" s="210">
        <f ca="1"/>
        <v>13100</v>
      </c>
      <c r="H585" s="210">
        <f ca="1"/>
        <v>27</v>
      </c>
      <c r="I585" s="210">
        <f ca="1"/>
        <v>316</v>
      </c>
      <c r="J585" s="210">
        <f ca="1"/>
        <v>29</v>
      </c>
      <c r="K585" s="210">
        <f ca="1"/>
        <v>528</v>
      </c>
      <c r="L585" s="210">
        <f ca="1"/>
        <v>900</v>
      </c>
      <c r="M585" s="210">
        <f ca="1"/>
        <v>12200</v>
      </c>
      <c r="N585" s="210">
        <f ca="1"/>
        <v>7</v>
      </c>
      <c r="O585" t="str">
        <f ca="1"/>
        <v>Day</v>
      </c>
      <c r="P585" s="211">
        <f ca="1"/>
        <v>0.93129770992366412</v>
      </c>
      <c r="Q585">
        <f ca="1"/>
        <v>13100</v>
      </c>
      <c r="R585">
        <f ca="1"/>
        <v>0</v>
      </c>
    </row>
    <row r="586" spans="2:18">
      <c r="B586" t="str">
        <f ca="1"/>
        <v>C39 OCT</v>
      </c>
      <c r="C586" s="209">
        <f ca="1"/>
        <v>46303</v>
      </c>
      <c r="D586" t="str">
        <f ca="1"/>
        <v>1,2,3,4</v>
      </c>
      <c r="E586" t="str">
        <f ca="1"/>
        <v>C39</v>
      </c>
      <c r="F586" t="str">
        <f ca="1"/>
        <v>Multigrain</v>
      </c>
      <c r="G586" s="210">
        <f ca="1"/>
        <v>17650</v>
      </c>
      <c r="H586" s="210">
        <f ca="1"/>
        <v>32</v>
      </c>
      <c r="I586" s="210">
        <f ca="1"/>
        <v>375</v>
      </c>
      <c r="J586" s="210">
        <f ca="1"/>
        <v>34</v>
      </c>
      <c r="K586" s="210">
        <f ca="1"/>
        <v>719</v>
      </c>
      <c r="L586" s="210">
        <f ca="1"/>
        <v>1160</v>
      </c>
      <c r="M586" s="210">
        <f ca="1"/>
        <v>16490</v>
      </c>
      <c r="N586" s="210">
        <f ca="1"/>
        <v>7</v>
      </c>
      <c r="O586" t="str">
        <f ca="1"/>
        <v>Day</v>
      </c>
      <c r="P586" s="211">
        <f ca="1"/>
        <v>0.93427762039660056</v>
      </c>
      <c r="Q586">
        <f ca="1"/>
        <v>17650</v>
      </c>
      <c r="R586">
        <f ca="1"/>
        <v>0</v>
      </c>
    </row>
    <row r="587" spans="2:18">
      <c r="B587" t="str">
        <f ca="1"/>
        <v>C39 OCT</v>
      </c>
      <c r="C587" s="209">
        <f ca="1"/>
        <v>46304</v>
      </c>
      <c r="D587" t="str">
        <f ca="1"/>
        <v>1,2,3,4</v>
      </c>
      <c r="E587" t="str">
        <f ca="1"/>
        <v>C39</v>
      </c>
      <c r="F587" t="str">
        <f ca="1"/>
        <v>Multigrain</v>
      </c>
      <c r="G587" s="210">
        <f ca="1"/>
        <v>10200</v>
      </c>
      <c r="H587" s="210">
        <f ca="1"/>
        <v>38</v>
      </c>
      <c r="I587" s="210">
        <f ca="1"/>
        <v>332</v>
      </c>
      <c r="J587" s="210">
        <f ca="1"/>
        <v>39</v>
      </c>
      <c r="K587" s="210">
        <f ca="1"/>
        <v>291</v>
      </c>
      <c r="L587" s="210">
        <f ca="1"/>
        <v>700</v>
      </c>
      <c r="M587" s="210">
        <f ca="1"/>
        <v>9500</v>
      </c>
      <c r="N587" s="210">
        <f ca="1"/>
        <v>7</v>
      </c>
      <c r="O587" t="str">
        <f ca="1"/>
        <v>Day</v>
      </c>
      <c r="P587" s="211">
        <f ca="1"/>
        <v>0.93137254901960786</v>
      </c>
      <c r="Q587">
        <f ca="1"/>
        <v>10200</v>
      </c>
      <c r="R587">
        <f ca="1"/>
        <v>0</v>
      </c>
    </row>
    <row r="588" spans="2:18">
      <c r="C588" s="209"/>
      <c r="G588" s="210"/>
      <c r="H588" s="210"/>
      <c r="I588" s="210"/>
      <c r="J588" s="210"/>
      <c r="K588" s="210"/>
      <c r="L588" s="210"/>
      <c r="M588" s="210"/>
      <c r="N588" s="210"/>
      <c r="P588" s="211"/>
    </row>
    <row r="589" spans="2:18">
      <c r="C589" s="209"/>
      <c r="G589" s="210"/>
      <c r="H589" s="210"/>
      <c r="I589" s="210"/>
      <c r="J589" s="210"/>
      <c r="K589" s="210"/>
      <c r="L589" s="210"/>
      <c r="M589" s="210"/>
      <c r="N589" s="210"/>
      <c r="P589" s="211"/>
    </row>
    <row r="590" spans="2:18">
      <c r="C590" s="209"/>
      <c r="G590" s="210"/>
      <c r="H590" s="210"/>
      <c r="I590" s="210"/>
      <c r="J590" s="210"/>
      <c r="K590" s="210"/>
      <c r="L590" s="210"/>
      <c r="M590" s="210"/>
      <c r="N590" s="210"/>
      <c r="P590" s="211"/>
    </row>
    <row r="591" spans="2:18">
      <c r="C591" s="209"/>
      <c r="G591" s="210"/>
      <c r="H591" s="210"/>
      <c r="I591" s="210"/>
      <c r="J591" s="210"/>
      <c r="K591" s="210"/>
      <c r="L591" s="210"/>
      <c r="M591" s="210"/>
      <c r="N591" s="210"/>
      <c r="P591" s="211"/>
    </row>
    <row r="592" spans="2:18">
      <c r="C592" s="209"/>
      <c r="G592" s="210"/>
      <c r="H592" s="210"/>
      <c r="I592" s="210"/>
      <c r="J592" s="210"/>
      <c r="K592" s="210"/>
      <c r="L592" s="210"/>
      <c r="M592" s="210"/>
      <c r="N592" s="210"/>
      <c r="P592" s="211"/>
    </row>
    <row r="593" spans="3:16">
      <c r="C593" s="209"/>
      <c r="G593" s="210"/>
      <c r="H593" s="210"/>
      <c r="I593" s="210"/>
      <c r="J593" s="210"/>
      <c r="K593" s="210"/>
      <c r="L593" s="210"/>
      <c r="M593" s="210"/>
      <c r="N593" s="210"/>
      <c r="P593" s="211"/>
    </row>
    <row r="594" spans="3:16">
      <c r="C594" s="209"/>
      <c r="G594" s="210"/>
      <c r="H594" s="210"/>
      <c r="I594" s="210"/>
      <c r="J594" s="210"/>
      <c r="K594" s="210"/>
      <c r="L594" s="210"/>
      <c r="M594" s="210"/>
      <c r="N594" s="210"/>
      <c r="P594" s="211"/>
    </row>
    <row r="595" spans="3:16">
      <c r="C595" s="209"/>
      <c r="G595" s="210"/>
      <c r="H595" s="210"/>
      <c r="I595" s="210"/>
      <c r="J595" s="210"/>
      <c r="K595" s="210"/>
      <c r="L595" s="210"/>
      <c r="M595" s="210"/>
      <c r="N595" s="210"/>
      <c r="P595" s="211"/>
    </row>
    <row r="596" spans="3:16">
      <c r="C596" s="209"/>
      <c r="G596" s="210"/>
      <c r="H596" s="210"/>
      <c r="I596" s="210"/>
      <c r="J596" s="210"/>
      <c r="K596" s="210"/>
      <c r="L596" s="210"/>
      <c r="M596" s="210"/>
      <c r="N596" s="210"/>
      <c r="P596" s="211"/>
    </row>
    <row r="597" spans="3:16">
      <c r="C597" s="209"/>
      <c r="G597" s="210"/>
      <c r="H597" s="210"/>
      <c r="I597" s="210"/>
      <c r="J597" s="210"/>
      <c r="K597" s="210"/>
      <c r="L597" s="210"/>
      <c r="M597" s="210"/>
      <c r="N597" s="210"/>
      <c r="P597" s="211"/>
    </row>
    <row r="598" spans="3:16">
      <c r="C598" s="209"/>
      <c r="G598" s="210"/>
      <c r="H598" s="210"/>
      <c r="I598" s="210"/>
      <c r="J598" s="210"/>
      <c r="K598" s="210"/>
      <c r="L598" s="210"/>
      <c r="M598" s="210"/>
      <c r="N598" s="210"/>
      <c r="P598" s="211"/>
    </row>
    <row r="599" spans="3:16">
      <c r="C599" s="209"/>
      <c r="G599" s="210"/>
      <c r="H599" s="210"/>
      <c r="I599" s="210"/>
      <c r="J599" s="210"/>
      <c r="K599" s="210"/>
      <c r="L599" s="210"/>
      <c r="M599" s="210"/>
      <c r="N599" s="210"/>
      <c r="P599" s="211"/>
    </row>
    <row r="600" spans="3:16">
      <c r="C600" s="209"/>
      <c r="G600" s="210"/>
      <c r="H600" s="210"/>
      <c r="I600" s="210"/>
      <c r="J600" s="210"/>
      <c r="K600" s="210"/>
      <c r="L600" s="210"/>
      <c r="M600" s="210"/>
      <c r="N600" s="210"/>
      <c r="P600" s="211"/>
    </row>
    <row r="601" spans="3:16">
      <c r="C601" s="209"/>
      <c r="G601" s="210"/>
      <c r="H601" s="210"/>
      <c r="I601" s="210"/>
      <c r="J601" s="210"/>
      <c r="K601" s="210"/>
      <c r="L601" s="210"/>
      <c r="M601" s="210"/>
      <c r="N601" s="210"/>
      <c r="P601" s="211"/>
    </row>
    <row r="602" spans="3:16">
      <c r="C602" s="209"/>
      <c r="G602" s="210"/>
      <c r="H602" s="210"/>
      <c r="I602" s="210"/>
      <c r="J602" s="210"/>
      <c r="K602" s="210"/>
      <c r="L602" s="210"/>
      <c r="M602" s="210"/>
      <c r="N602" s="210"/>
      <c r="P602" s="211"/>
    </row>
    <row r="603" spans="3:16">
      <c r="C603" s="209"/>
      <c r="G603" s="210"/>
      <c r="H603" s="210"/>
      <c r="I603" s="210"/>
      <c r="J603" s="210"/>
      <c r="K603" s="210"/>
      <c r="L603" s="210"/>
      <c r="M603" s="210"/>
      <c r="N603" s="210"/>
      <c r="P603" s="211"/>
    </row>
    <row r="604" spans="3:16">
      <c r="C604" s="209"/>
      <c r="G604" s="210"/>
      <c r="H604" s="210"/>
      <c r="I604" s="210"/>
      <c r="J604" s="210"/>
      <c r="K604" s="210"/>
      <c r="L604" s="210"/>
      <c r="M604" s="210"/>
      <c r="N604" s="210"/>
      <c r="P604" s="211"/>
    </row>
    <row r="605" spans="3:16">
      <c r="C605" s="209"/>
      <c r="G605" s="210"/>
      <c r="H605" s="210"/>
      <c r="I605" s="210"/>
      <c r="J605" s="210"/>
      <c r="K605" s="210"/>
      <c r="L605" s="210"/>
      <c r="M605" s="210"/>
      <c r="N605" s="210"/>
      <c r="P605" s="211"/>
    </row>
    <row r="606" spans="3:16">
      <c r="C606" s="209"/>
      <c r="G606" s="210"/>
      <c r="H606" s="210"/>
      <c r="I606" s="210"/>
      <c r="J606" s="210"/>
      <c r="K606" s="210"/>
      <c r="L606" s="210"/>
      <c r="M606" s="210"/>
      <c r="N606" s="210"/>
      <c r="P606" s="211"/>
    </row>
    <row r="607" spans="3:16">
      <c r="C607" s="209"/>
      <c r="G607" s="210"/>
      <c r="H607" s="210"/>
      <c r="I607" s="210"/>
      <c r="J607" s="210"/>
      <c r="K607" s="210"/>
      <c r="L607" s="210"/>
      <c r="M607" s="210"/>
      <c r="N607" s="210"/>
      <c r="P607" s="211"/>
    </row>
    <row r="608" spans="3:16">
      <c r="C608" s="209"/>
      <c r="G608" s="210"/>
      <c r="H608" s="210"/>
      <c r="I608" s="210"/>
      <c r="J608" s="210"/>
      <c r="K608" s="210"/>
      <c r="L608" s="210"/>
      <c r="M608" s="210"/>
      <c r="N608" s="210"/>
      <c r="P608" s="211"/>
    </row>
    <row r="609" spans="3:16">
      <c r="C609" s="209"/>
      <c r="G609" s="210"/>
      <c r="H609" s="210"/>
      <c r="I609" s="210"/>
      <c r="J609" s="210"/>
      <c r="K609" s="210"/>
      <c r="L609" s="210"/>
      <c r="M609" s="210"/>
      <c r="N609" s="210"/>
      <c r="P609" s="211"/>
    </row>
    <row r="610" spans="3:16">
      <c r="C610" s="209"/>
      <c r="G610" s="210"/>
      <c r="H610" s="210"/>
      <c r="I610" s="210"/>
      <c r="J610" s="210"/>
      <c r="K610" s="210"/>
      <c r="L610" s="210"/>
      <c r="M610" s="210"/>
      <c r="N610" s="210"/>
      <c r="P610" s="211"/>
    </row>
    <row r="611" spans="3:16">
      <c r="C611" s="209"/>
      <c r="G611" s="210"/>
      <c r="H611" s="210"/>
      <c r="I611" s="210"/>
      <c r="J611" s="210"/>
      <c r="K611" s="210"/>
      <c r="L611" s="210"/>
      <c r="M611" s="210"/>
      <c r="N611" s="210"/>
      <c r="P611" s="211"/>
    </row>
    <row r="612" spans="3:16">
      <c r="C612" s="209"/>
      <c r="G612" s="210"/>
      <c r="H612" s="210"/>
      <c r="I612" s="210"/>
      <c r="J612" s="210"/>
      <c r="K612" s="210"/>
      <c r="L612" s="210"/>
      <c r="M612" s="210"/>
      <c r="N612" s="210"/>
      <c r="P612" s="211"/>
    </row>
    <row r="613" spans="3:16">
      <c r="C613" s="209"/>
      <c r="G613" s="210"/>
      <c r="H613" s="210"/>
      <c r="I613" s="210"/>
      <c r="J613" s="210"/>
      <c r="K613" s="210"/>
      <c r="L613" s="210"/>
      <c r="M613" s="210"/>
      <c r="N613" s="210"/>
      <c r="P613" s="211"/>
    </row>
    <row r="614" spans="3:16">
      <c r="C614" s="209"/>
      <c r="G614" s="210"/>
      <c r="H614" s="210"/>
      <c r="I614" s="210"/>
      <c r="J614" s="210"/>
      <c r="K614" s="210"/>
      <c r="L614" s="210"/>
      <c r="M614" s="210"/>
      <c r="N614" s="210"/>
      <c r="P614" s="211"/>
    </row>
    <row r="615" spans="3:16">
      <c r="C615" s="209"/>
      <c r="G615" s="210"/>
      <c r="H615" s="210"/>
      <c r="I615" s="210"/>
      <c r="J615" s="210"/>
      <c r="K615" s="210"/>
      <c r="L615" s="210"/>
      <c r="M615" s="210"/>
      <c r="N615" s="210"/>
      <c r="P615" s="211"/>
    </row>
    <row r="616" spans="3:16">
      <c r="C616" s="209"/>
      <c r="G616" s="210"/>
      <c r="H616" s="210"/>
      <c r="I616" s="210"/>
      <c r="J616" s="210"/>
      <c r="K616" s="210"/>
      <c r="L616" s="210"/>
      <c r="M616" s="210"/>
      <c r="N616" s="210"/>
      <c r="P616" s="211"/>
    </row>
    <row r="617" spans="3:16">
      <c r="C617" s="209"/>
      <c r="G617" s="210"/>
      <c r="H617" s="210"/>
      <c r="I617" s="210"/>
      <c r="J617" s="210"/>
      <c r="K617" s="210"/>
      <c r="L617" s="210"/>
      <c r="M617" s="210"/>
      <c r="N617" s="210"/>
      <c r="P617" s="211"/>
    </row>
    <row r="618" spans="3:16">
      <c r="C618" s="209"/>
      <c r="G618" s="210"/>
      <c r="H618" s="210"/>
      <c r="I618" s="210"/>
      <c r="J618" s="210"/>
      <c r="K618" s="210"/>
      <c r="L618" s="210"/>
      <c r="M618" s="210"/>
      <c r="N618" s="210"/>
      <c r="P618" s="211"/>
    </row>
    <row r="619" spans="3:16">
      <c r="C619" s="209"/>
      <c r="G619" s="210"/>
      <c r="H619" s="210"/>
      <c r="I619" s="210"/>
      <c r="J619" s="210"/>
      <c r="K619" s="210"/>
      <c r="L619" s="210"/>
      <c r="M619" s="210"/>
      <c r="N619" s="210"/>
      <c r="P619" s="211"/>
    </row>
    <row r="620" spans="3:16">
      <c r="C620" s="209"/>
      <c r="G620" s="210"/>
      <c r="H620" s="210"/>
      <c r="I620" s="210"/>
      <c r="J620" s="210"/>
      <c r="K620" s="210"/>
      <c r="L620" s="210"/>
      <c r="M620" s="210"/>
      <c r="N620" s="210"/>
      <c r="P620" s="211"/>
    </row>
    <row r="621" spans="3:16">
      <c r="C621" s="209"/>
      <c r="G621" s="210"/>
      <c r="H621" s="210"/>
      <c r="I621" s="210"/>
      <c r="J621" s="210"/>
      <c r="K621" s="210"/>
      <c r="L621" s="210"/>
      <c r="M621" s="210"/>
      <c r="N621" s="210"/>
      <c r="P621" s="211"/>
    </row>
    <row r="622" spans="3:16">
      <c r="C622" s="209"/>
      <c r="G622" s="210"/>
      <c r="H622" s="210"/>
      <c r="I622" s="210"/>
      <c r="J622" s="210"/>
      <c r="K622" s="210"/>
      <c r="L622" s="210"/>
      <c r="M622" s="210"/>
      <c r="N622" s="210"/>
      <c r="P622" s="211"/>
    </row>
    <row r="623" spans="3:16">
      <c r="C623" s="209"/>
      <c r="G623" s="210"/>
      <c r="H623" s="210"/>
      <c r="I623" s="210"/>
      <c r="J623" s="210"/>
      <c r="K623" s="210"/>
      <c r="L623" s="210"/>
      <c r="M623" s="210"/>
      <c r="N623" s="210"/>
      <c r="P623" s="211"/>
    </row>
    <row r="624" spans="3:16">
      <c r="C624" s="209"/>
      <c r="G624" s="210"/>
      <c r="H624" s="210"/>
      <c r="I624" s="210"/>
      <c r="J624" s="210"/>
      <c r="K624" s="210"/>
      <c r="L624" s="210"/>
      <c r="M624" s="210"/>
      <c r="N624" s="210"/>
      <c r="P624" s="211"/>
    </row>
    <row r="625" spans="3:16">
      <c r="C625" s="209"/>
      <c r="G625" s="210"/>
      <c r="H625" s="210"/>
      <c r="I625" s="210"/>
      <c r="J625" s="210"/>
      <c r="K625" s="210"/>
      <c r="L625" s="210"/>
      <c r="M625" s="210"/>
      <c r="N625" s="210"/>
      <c r="P625" s="211"/>
    </row>
    <row r="626" spans="3:16">
      <c r="C626" s="209"/>
      <c r="G626" s="210"/>
      <c r="H626" s="210"/>
      <c r="I626" s="210"/>
      <c r="J626" s="210"/>
      <c r="K626" s="210"/>
      <c r="L626" s="210"/>
      <c r="M626" s="210"/>
      <c r="N626" s="210"/>
      <c r="P626" s="211"/>
    </row>
    <row r="627" spans="3:16">
      <c r="C627" s="209"/>
      <c r="G627" s="210"/>
      <c r="H627" s="210"/>
      <c r="I627" s="210"/>
      <c r="J627" s="210"/>
      <c r="K627" s="210"/>
      <c r="L627" s="210"/>
      <c r="M627" s="210"/>
      <c r="N627" s="210"/>
      <c r="P627" s="211"/>
    </row>
    <row r="628" spans="3:16">
      <c r="C628" s="209"/>
      <c r="G628" s="210"/>
      <c r="H628" s="210"/>
      <c r="I628" s="210"/>
      <c r="J628" s="210"/>
      <c r="K628" s="210"/>
      <c r="L628" s="210"/>
      <c r="M628" s="210"/>
      <c r="N628" s="210"/>
      <c r="P628" s="211"/>
    </row>
    <row r="629" spans="3:16">
      <c r="C629" s="209"/>
      <c r="G629" s="210"/>
      <c r="H629" s="210"/>
      <c r="I629" s="210"/>
      <c r="J629" s="210"/>
      <c r="K629" s="210"/>
      <c r="L629" s="210"/>
      <c r="M629" s="210"/>
      <c r="N629" s="210"/>
      <c r="P629" s="211"/>
    </row>
    <row r="630" spans="3:16">
      <c r="C630" s="209"/>
      <c r="G630" s="210"/>
      <c r="H630" s="210"/>
      <c r="I630" s="210"/>
      <c r="J630" s="210"/>
      <c r="K630" s="210"/>
      <c r="L630" s="210"/>
      <c r="M630" s="210"/>
      <c r="N630" s="210"/>
      <c r="P630" s="211"/>
    </row>
    <row r="631" spans="3:16">
      <c r="C631" s="209"/>
      <c r="G631" s="210"/>
      <c r="H631" s="210"/>
      <c r="I631" s="210"/>
      <c r="J631" s="210"/>
      <c r="K631" s="210"/>
      <c r="L631" s="210"/>
      <c r="M631" s="210"/>
      <c r="N631" s="210"/>
      <c r="P631" s="211"/>
    </row>
    <row r="632" spans="3:16">
      <c r="C632" s="209"/>
      <c r="G632" s="210"/>
      <c r="H632" s="210"/>
      <c r="I632" s="210"/>
      <c r="J632" s="210"/>
      <c r="K632" s="210"/>
      <c r="L632" s="210"/>
      <c r="M632" s="210"/>
      <c r="N632" s="210"/>
      <c r="P632" s="211"/>
    </row>
    <row r="633" spans="3:16">
      <c r="C633" s="209"/>
      <c r="G633" s="210"/>
      <c r="H633" s="210"/>
      <c r="I633" s="210"/>
      <c r="J633" s="210"/>
      <c r="K633" s="210"/>
      <c r="L633" s="210"/>
      <c r="M633" s="210"/>
      <c r="N633" s="210"/>
      <c r="P633" s="211"/>
    </row>
    <row r="634" spans="3:16">
      <c r="C634" s="209"/>
      <c r="G634" s="210"/>
      <c r="H634" s="210"/>
      <c r="I634" s="210"/>
      <c r="J634" s="210"/>
      <c r="K634" s="210"/>
      <c r="L634" s="210"/>
      <c r="M634" s="210"/>
      <c r="N634" s="210"/>
      <c r="P634" s="211"/>
    </row>
    <row r="635" spans="3:16">
      <c r="C635" s="209"/>
      <c r="G635" s="210"/>
      <c r="H635" s="210"/>
      <c r="I635" s="210"/>
      <c r="J635" s="210"/>
      <c r="K635" s="210"/>
      <c r="L635" s="210"/>
      <c r="M635" s="210"/>
      <c r="N635" s="210"/>
      <c r="P635" s="211"/>
    </row>
    <row r="636" spans="3:16">
      <c r="C636" s="209"/>
      <c r="G636" s="210"/>
      <c r="H636" s="210"/>
      <c r="I636" s="210"/>
      <c r="J636" s="210"/>
      <c r="K636" s="210"/>
      <c r="L636" s="210"/>
      <c r="M636" s="210"/>
      <c r="N636" s="210"/>
      <c r="P636" s="211"/>
    </row>
    <row r="637" spans="3:16">
      <c r="C637" s="209"/>
      <c r="G637" s="210"/>
      <c r="H637" s="210"/>
      <c r="I637" s="210"/>
      <c r="J637" s="210"/>
      <c r="K637" s="210"/>
      <c r="L637" s="210"/>
      <c r="M637" s="210"/>
      <c r="N637" s="210"/>
      <c r="P637" s="211"/>
    </row>
    <row r="638" spans="3:16">
      <c r="C638" s="209"/>
      <c r="G638" s="210"/>
      <c r="H638" s="210"/>
      <c r="I638" s="210"/>
      <c r="J638" s="210"/>
      <c r="K638" s="210"/>
      <c r="L638" s="210"/>
      <c r="M638" s="210"/>
      <c r="N638" s="210"/>
      <c r="P638" s="211"/>
    </row>
    <row r="639" spans="3:16">
      <c r="C639" s="209"/>
      <c r="G639" s="210"/>
      <c r="H639" s="210"/>
      <c r="I639" s="210"/>
      <c r="J639" s="210"/>
      <c r="K639" s="210"/>
      <c r="L639" s="210"/>
      <c r="M639" s="210"/>
      <c r="N639" s="210"/>
      <c r="P639" s="211"/>
    </row>
    <row r="640" spans="3:16">
      <c r="C640" s="209"/>
      <c r="G640" s="210"/>
      <c r="H640" s="210"/>
      <c r="I640" s="210"/>
      <c r="J640" s="210"/>
      <c r="K640" s="210"/>
      <c r="L640" s="210"/>
      <c r="M640" s="210"/>
      <c r="N640" s="210"/>
      <c r="P640" s="211"/>
    </row>
    <row r="641" spans="3:16">
      <c r="C641" s="209"/>
      <c r="G641" s="210"/>
      <c r="H641" s="210"/>
      <c r="I641" s="210"/>
      <c r="J641" s="210"/>
      <c r="K641" s="210"/>
      <c r="L641" s="210"/>
      <c r="M641" s="210"/>
      <c r="N641" s="210"/>
      <c r="P641" s="211"/>
    </row>
    <row r="642" spans="3:16">
      <c r="C642" s="209"/>
      <c r="G642" s="210"/>
      <c r="H642" s="210"/>
      <c r="I642" s="210"/>
      <c r="J642" s="210"/>
      <c r="K642" s="210"/>
      <c r="L642" s="210"/>
      <c r="M642" s="210"/>
      <c r="N642" s="210"/>
      <c r="P642" s="211"/>
    </row>
    <row r="643" spans="3:16">
      <c r="C643" s="209"/>
      <c r="G643" s="210"/>
      <c r="H643" s="210"/>
      <c r="I643" s="210"/>
      <c r="J643" s="210"/>
      <c r="K643" s="210"/>
      <c r="L643" s="210"/>
      <c r="M643" s="210"/>
      <c r="N643" s="210"/>
      <c r="P643" s="211"/>
    </row>
    <row r="644" spans="3:16">
      <c r="C644" s="209"/>
      <c r="G644" s="210"/>
      <c r="H644" s="210"/>
      <c r="I644" s="210"/>
      <c r="J644" s="210"/>
      <c r="K644" s="210"/>
      <c r="L644" s="210"/>
      <c r="M644" s="210"/>
      <c r="N644" s="210"/>
      <c r="P644" s="211"/>
    </row>
    <row r="645" spans="3:16">
      <c r="C645" s="209"/>
      <c r="G645" s="210"/>
      <c r="H645" s="210"/>
      <c r="I645" s="210"/>
      <c r="J645" s="210"/>
      <c r="K645" s="210"/>
      <c r="L645" s="210"/>
      <c r="M645" s="210"/>
      <c r="N645" s="210"/>
      <c r="P645" s="211"/>
    </row>
    <row r="646" spans="3:16">
      <c r="C646" s="209"/>
      <c r="G646" s="210"/>
      <c r="H646" s="210"/>
      <c r="I646" s="210"/>
      <c r="J646" s="210"/>
      <c r="K646" s="210"/>
      <c r="L646" s="210"/>
      <c r="M646" s="210"/>
      <c r="N646" s="210"/>
      <c r="P646" s="211"/>
    </row>
    <row r="647" spans="3:16">
      <c r="C647" s="209"/>
      <c r="G647" s="210"/>
      <c r="H647" s="210"/>
      <c r="I647" s="210"/>
      <c r="J647" s="210"/>
      <c r="K647" s="210"/>
      <c r="L647" s="210"/>
      <c r="M647" s="210"/>
      <c r="N647" s="210"/>
      <c r="P647" s="211"/>
    </row>
    <row r="648" spans="3:16">
      <c r="C648" s="209"/>
      <c r="G648" s="210"/>
      <c r="H648" s="210"/>
      <c r="I648" s="210"/>
      <c r="J648" s="210"/>
      <c r="K648" s="210"/>
      <c r="L648" s="210"/>
      <c r="M648" s="210"/>
      <c r="N648" s="210"/>
      <c r="P648" s="211"/>
    </row>
    <row r="649" spans="3:16">
      <c r="C649" s="209"/>
      <c r="G649" s="210"/>
      <c r="H649" s="210"/>
      <c r="I649" s="210"/>
      <c r="J649" s="210"/>
      <c r="K649" s="210"/>
      <c r="L649" s="210"/>
      <c r="M649" s="210"/>
      <c r="N649" s="210"/>
      <c r="P649" s="211"/>
    </row>
    <row r="650" spans="3:16">
      <c r="C650" s="209"/>
      <c r="G650" s="210"/>
      <c r="H650" s="210"/>
      <c r="I650" s="210"/>
      <c r="J650" s="210"/>
      <c r="K650" s="210"/>
      <c r="L650" s="210"/>
      <c r="M650" s="210"/>
      <c r="N650" s="210"/>
      <c r="P650" s="211"/>
    </row>
    <row r="651" spans="3:16">
      <c r="C651" s="209"/>
      <c r="G651" s="210"/>
      <c r="H651" s="210"/>
      <c r="I651" s="210"/>
      <c r="J651" s="210"/>
      <c r="K651" s="210"/>
      <c r="L651" s="210"/>
      <c r="M651" s="210"/>
      <c r="N651" s="210"/>
      <c r="P651" s="211"/>
    </row>
    <row r="652" spans="3:16">
      <c r="C652" s="209"/>
      <c r="G652" s="210"/>
      <c r="H652" s="210"/>
      <c r="I652" s="210"/>
      <c r="J652" s="210"/>
      <c r="K652" s="210"/>
      <c r="L652" s="210"/>
      <c r="M652" s="210"/>
      <c r="N652" s="210"/>
      <c r="P652" s="211"/>
    </row>
    <row r="653" spans="3:16">
      <c r="C653" s="209"/>
      <c r="G653" s="210"/>
      <c r="H653" s="210"/>
      <c r="I653" s="210"/>
      <c r="J653" s="210"/>
      <c r="K653" s="210"/>
      <c r="L653" s="210"/>
      <c r="M653" s="210"/>
      <c r="N653" s="210"/>
      <c r="P653" s="211"/>
    </row>
    <row r="654" spans="3:16">
      <c r="C654" s="209"/>
      <c r="G654" s="210"/>
      <c r="H654" s="210"/>
      <c r="I654" s="210"/>
      <c r="J654" s="210"/>
      <c r="K654" s="210"/>
      <c r="L654" s="210"/>
      <c r="M654" s="210"/>
      <c r="N654" s="210"/>
      <c r="P654" s="211"/>
    </row>
    <row r="655" spans="3:16">
      <c r="C655" s="209"/>
      <c r="G655" s="210"/>
      <c r="H655" s="210"/>
      <c r="I655" s="210"/>
      <c r="J655" s="210"/>
      <c r="K655" s="210"/>
      <c r="L655" s="210"/>
      <c r="M655" s="210"/>
      <c r="N655" s="210"/>
      <c r="P655" s="211"/>
    </row>
    <row r="656" spans="3:16">
      <c r="C656" s="209"/>
      <c r="G656" s="210"/>
      <c r="H656" s="210"/>
      <c r="I656" s="210"/>
      <c r="J656" s="210"/>
      <c r="K656" s="210"/>
      <c r="L656" s="210"/>
      <c r="M656" s="210"/>
      <c r="N656" s="210"/>
      <c r="P656" s="211"/>
    </row>
    <row r="657" spans="3:16">
      <c r="C657" s="209"/>
      <c r="G657" s="210"/>
      <c r="H657" s="210"/>
      <c r="I657" s="210"/>
      <c r="J657" s="210"/>
      <c r="K657" s="210"/>
      <c r="L657" s="210"/>
      <c r="M657" s="210"/>
      <c r="N657" s="210"/>
      <c r="P657" s="211"/>
    </row>
    <row r="658" spans="3:16">
      <c r="C658" s="209"/>
      <c r="G658" s="210"/>
      <c r="H658" s="210"/>
      <c r="I658" s="210"/>
      <c r="J658" s="210"/>
      <c r="K658" s="210"/>
      <c r="L658" s="210"/>
      <c r="M658" s="210"/>
      <c r="N658" s="210"/>
      <c r="P658" s="211"/>
    </row>
    <row r="659" spans="3:16">
      <c r="C659" s="209"/>
      <c r="G659" s="210"/>
      <c r="H659" s="210"/>
      <c r="I659" s="210"/>
      <c r="J659" s="210"/>
      <c r="K659" s="210"/>
      <c r="L659" s="210"/>
      <c r="M659" s="210"/>
      <c r="N659" s="210"/>
      <c r="P659" s="211"/>
    </row>
    <row r="660" spans="3:16">
      <c r="C660" s="209"/>
      <c r="G660" s="210"/>
      <c r="H660" s="210"/>
      <c r="I660" s="210"/>
      <c r="J660" s="210"/>
      <c r="K660" s="210"/>
      <c r="L660" s="210"/>
      <c r="M660" s="210"/>
      <c r="N660" s="210"/>
      <c r="P660" s="211"/>
    </row>
    <row r="661" spans="3:16">
      <c r="C661" s="209"/>
      <c r="G661" s="210"/>
      <c r="H661" s="210"/>
      <c r="I661" s="210"/>
      <c r="J661" s="210"/>
      <c r="K661" s="210"/>
      <c r="L661" s="210"/>
      <c r="M661" s="210"/>
      <c r="N661" s="210"/>
      <c r="P661" s="211"/>
    </row>
    <row r="662" spans="3:16">
      <c r="C662" s="209"/>
      <c r="G662" s="210"/>
      <c r="H662" s="210"/>
      <c r="I662" s="210"/>
      <c r="J662" s="210"/>
      <c r="K662" s="210"/>
      <c r="L662" s="210"/>
      <c r="M662" s="210"/>
      <c r="N662" s="210"/>
      <c r="P662" s="211"/>
    </row>
    <row r="663" spans="3:16">
      <c r="C663" s="209"/>
      <c r="G663" s="210"/>
      <c r="H663" s="210"/>
      <c r="I663" s="210"/>
      <c r="J663" s="210"/>
      <c r="K663" s="210"/>
      <c r="L663" s="210"/>
      <c r="M663" s="210"/>
      <c r="N663" s="210"/>
      <c r="P663" s="211"/>
    </row>
    <row r="664" spans="3:16">
      <c r="C664" s="209"/>
      <c r="G664" s="210"/>
      <c r="H664" s="210"/>
      <c r="I664" s="210"/>
      <c r="J664" s="210"/>
      <c r="K664" s="210"/>
      <c r="L664" s="210"/>
      <c r="M664" s="210"/>
      <c r="N664" s="210"/>
      <c r="P664" s="211"/>
    </row>
    <row r="665" spans="3:16">
      <c r="C665" s="209"/>
      <c r="G665" s="210"/>
      <c r="H665" s="210"/>
      <c r="I665" s="210"/>
      <c r="J665" s="210"/>
      <c r="K665" s="210"/>
      <c r="L665" s="210"/>
      <c r="M665" s="210"/>
      <c r="N665" s="210"/>
      <c r="P665" s="211"/>
    </row>
    <row r="666" spans="3:16">
      <c r="C666" s="209"/>
      <c r="G666" s="210"/>
      <c r="H666" s="210"/>
      <c r="I666" s="210"/>
      <c r="J666" s="210"/>
      <c r="K666" s="210"/>
      <c r="L666" s="210"/>
      <c r="M666" s="210"/>
      <c r="N666" s="210"/>
      <c r="P666" s="211"/>
    </row>
    <row r="667" spans="3:16">
      <c r="C667" s="209"/>
      <c r="G667" s="210"/>
      <c r="H667" s="210"/>
      <c r="I667" s="210"/>
      <c r="J667" s="210"/>
      <c r="K667" s="210"/>
      <c r="L667" s="210"/>
      <c r="M667" s="210"/>
      <c r="N667" s="210"/>
      <c r="P667" s="211"/>
    </row>
    <row r="668" spans="3:16">
      <c r="C668" s="209"/>
      <c r="G668" s="210"/>
      <c r="H668" s="210"/>
      <c r="I668" s="210"/>
      <c r="J668" s="210"/>
      <c r="K668" s="210"/>
      <c r="L668" s="210"/>
      <c r="M668" s="210"/>
      <c r="N668" s="210"/>
      <c r="P668" s="211"/>
    </row>
    <row r="669" spans="3:16">
      <c r="C669" s="209"/>
      <c r="G669" s="210"/>
      <c r="H669" s="210"/>
      <c r="I669" s="210"/>
      <c r="J669" s="210"/>
      <c r="K669" s="210"/>
      <c r="L669" s="210"/>
      <c r="M669" s="210"/>
      <c r="N669" s="210"/>
      <c r="P669" s="211"/>
    </row>
    <row r="670" spans="3:16">
      <c r="C670" s="209"/>
      <c r="G670" s="210"/>
      <c r="H670" s="210"/>
      <c r="I670" s="210"/>
      <c r="J670" s="210"/>
      <c r="K670" s="210"/>
      <c r="L670" s="210"/>
      <c r="M670" s="210"/>
      <c r="N670" s="210"/>
      <c r="P670" s="211"/>
    </row>
    <row r="671" spans="3:16">
      <c r="C671" s="209"/>
      <c r="G671" s="210"/>
      <c r="H671" s="210"/>
      <c r="I671" s="210"/>
      <c r="J671" s="210"/>
      <c r="K671" s="210"/>
      <c r="L671" s="210"/>
      <c r="M671" s="210"/>
      <c r="N671" s="210"/>
      <c r="P671" s="211"/>
    </row>
    <row r="672" spans="3:16">
      <c r="C672" s="209"/>
      <c r="G672" s="210"/>
      <c r="H672" s="210"/>
      <c r="I672" s="210"/>
      <c r="J672" s="210"/>
      <c r="K672" s="210"/>
      <c r="L672" s="210"/>
      <c r="M672" s="210"/>
      <c r="N672" s="210"/>
      <c r="P672" s="211"/>
    </row>
    <row r="673" spans="3:16">
      <c r="C673" s="209"/>
      <c r="G673" s="210"/>
      <c r="H673" s="210"/>
      <c r="I673" s="210"/>
      <c r="J673" s="210"/>
      <c r="K673" s="210"/>
      <c r="L673" s="210"/>
      <c r="M673" s="210"/>
      <c r="N673" s="210"/>
      <c r="P673" s="211"/>
    </row>
    <row r="674" spans="3:16">
      <c r="C674" s="209"/>
      <c r="G674" s="210"/>
      <c r="H674" s="210"/>
      <c r="I674" s="210"/>
      <c r="J674" s="210"/>
      <c r="K674" s="210"/>
      <c r="L674" s="210"/>
      <c r="M674" s="210"/>
      <c r="N674" s="210"/>
      <c r="P674" s="211"/>
    </row>
    <row r="675" spans="3:16">
      <c r="C675" s="209"/>
      <c r="G675" s="210"/>
      <c r="H675" s="210"/>
      <c r="I675" s="210"/>
      <c r="J675" s="210"/>
      <c r="K675" s="210"/>
      <c r="L675" s="210"/>
      <c r="M675" s="210"/>
      <c r="N675" s="210"/>
      <c r="P675" s="211"/>
    </row>
    <row r="676" spans="3:16">
      <c r="C676" s="209"/>
      <c r="G676" s="210"/>
      <c r="H676" s="210"/>
      <c r="I676" s="210"/>
      <c r="J676" s="210"/>
      <c r="K676" s="210"/>
      <c r="L676" s="210"/>
      <c r="M676" s="210"/>
      <c r="N676" s="210"/>
      <c r="P676" s="211"/>
    </row>
    <row r="677" spans="3:16">
      <c r="C677" s="209"/>
      <c r="G677" s="210"/>
      <c r="H677" s="210"/>
      <c r="I677" s="210"/>
      <c r="J677" s="210"/>
      <c r="K677" s="210"/>
      <c r="L677" s="210"/>
      <c r="M677" s="210"/>
      <c r="N677" s="210"/>
      <c r="P677" s="211"/>
    </row>
    <row r="678" spans="3:16">
      <c r="C678" s="209"/>
      <c r="G678" s="210"/>
      <c r="H678" s="210"/>
      <c r="I678" s="210"/>
      <c r="J678" s="210"/>
      <c r="K678" s="210"/>
      <c r="L678" s="210"/>
      <c r="M678" s="210"/>
      <c r="N678" s="210"/>
      <c r="P678" s="211"/>
    </row>
    <row r="679" spans="3:16">
      <c r="C679" s="209"/>
      <c r="G679" s="210"/>
      <c r="H679" s="210"/>
      <c r="I679" s="210"/>
      <c r="J679" s="210"/>
      <c r="K679" s="210"/>
      <c r="L679" s="210"/>
      <c r="M679" s="210"/>
      <c r="N679" s="210"/>
      <c r="P679" s="211"/>
    </row>
    <row r="680" spans="3:16">
      <c r="C680" s="209"/>
      <c r="G680" s="210"/>
      <c r="H680" s="210"/>
      <c r="I680" s="210"/>
      <c r="J680" s="210"/>
      <c r="K680" s="210"/>
      <c r="L680" s="210"/>
      <c r="M680" s="210"/>
      <c r="N680" s="210"/>
      <c r="P680" s="211"/>
    </row>
    <row r="681" spans="3:16">
      <c r="C681" s="209"/>
      <c r="G681" s="210"/>
      <c r="H681" s="210"/>
      <c r="I681" s="210"/>
      <c r="J681" s="210"/>
      <c r="K681" s="210"/>
      <c r="L681" s="210"/>
      <c r="M681" s="210"/>
      <c r="N681" s="210"/>
      <c r="P681" s="211"/>
    </row>
    <row r="682" spans="3:16">
      <c r="C682" s="209"/>
      <c r="G682" s="210"/>
      <c r="H682" s="210"/>
      <c r="I682" s="210"/>
      <c r="J682" s="210"/>
      <c r="K682" s="210"/>
      <c r="L682" s="210"/>
      <c r="M682" s="210"/>
      <c r="N682" s="210"/>
      <c r="P682" s="211"/>
    </row>
    <row r="683" spans="3:16">
      <c r="C683" s="209"/>
      <c r="G683" s="210"/>
      <c r="H683" s="210"/>
      <c r="I683" s="210"/>
      <c r="J683" s="210"/>
      <c r="K683" s="210"/>
      <c r="L683" s="210"/>
      <c r="M683" s="210"/>
      <c r="N683" s="210"/>
      <c r="P683" s="211"/>
    </row>
    <row r="684" spans="3:16">
      <c r="C684" s="209"/>
      <c r="G684" s="210"/>
      <c r="H684" s="210"/>
      <c r="I684" s="210"/>
      <c r="J684" s="210"/>
      <c r="K684" s="210"/>
      <c r="L684" s="210"/>
      <c r="M684" s="210"/>
      <c r="N684" s="210"/>
      <c r="P684" s="211"/>
    </row>
    <row r="685" spans="3:16">
      <c r="C685" s="209"/>
      <c r="G685" s="210"/>
      <c r="H685" s="210"/>
      <c r="I685" s="210"/>
      <c r="J685" s="210"/>
      <c r="K685" s="210"/>
      <c r="L685" s="210"/>
      <c r="M685" s="210"/>
      <c r="N685" s="210"/>
      <c r="P685" s="211"/>
    </row>
    <row r="686" spans="3:16">
      <c r="C686" s="209"/>
      <c r="G686" s="210"/>
      <c r="H686" s="210"/>
      <c r="I686" s="210"/>
      <c r="J686" s="210"/>
      <c r="K686" s="210"/>
      <c r="L686" s="210"/>
      <c r="M686" s="210"/>
      <c r="N686" s="210"/>
      <c r="P686" s="211"/>
    </row>
    <row r="687" spans="3:16">
      <c r="C687" s="209"/>
      <c r="G687" s="210"/>
      <c r="H687" s="210"/>
      <c r="I687" s="210"/>
      <c r="J687" s="210"/>
      <c r="K687" s="210"/>
      <c r="L687" s="210"/>
      <c r="M687" s="210"/>
      <c r="N687" s="210"/>
      <c r="P687" s="211"/>
    </row>
    <row r="688" spans="3:16">
      <c r="C688" s="209"/>
      <c r="G688" s="210"/>
      <c r="H688" s="210"/>
      <c r="I688" s="210"/>
      <c r="J688" s="210"/>
      <c r="K688" s="210"/>
      <c r="L688" s="210"/>
      <c r="M688" s="210"/>
      <c r="N688" s="210"/>
      <c r="P688" s="211"/>
    </row>
    <row r="689" spans="3:16">
      <c r="C689" s="209"/>
      <c r="G689" s="210"/>
      <c r="H689" s="210"/>
      <c r="I689" s="210"/>
      <c r="J689" s="210"/>
      <c r="K689" s="210"/>
      <c r="L689" s="210"/>
      <c r="M689" s="210"/>
      <c r="N689" s="210"/>
      <c r="P689" s="211"/>
    </row>
    <row r="690" spans="3:16">
      <c r="C690" s="209"/>
      <c r="G690" s="210"/>
      <c r="H690" s="210"/>
      <c r="I690" s="210"/>
      <c r="J690" s="210"/>
      <c r="K690" s="210"/>
      <c r="L690" s="210"/>
      <c r="M690" s="210"/>
      <c r="N690" s="210"/>
      <c r="P690" s="211"/>
    </row>
    <row r="691" spans="3:16">
      <c r="C691" s="209"/>
      <c r="G691" s="210"/>
      <c r="H691" s="210"/>
      <c r="I691" s="210"/>
      <c r="J691" s="210"/>
      <c r="K691" s="210"/>
      <c r="L691" s="210"/>
      <c r="M691" s="210"/>
      <c r="N691" s="210"/>
      <c r="P691" s="211"/>
    </row>
    <row r="692" spans="3:16">
      <c r="C692" s="209"/>
      <c r="G692" s="210"/>
      <c r="H692" s="210"/>
      <c r="I692" s="210"/>
      <c r="J692" s="210"/>
      <c r="K692" s="210"/>
      <c r="L692" s="210"/>
      <c r="M692" s="210"/>
      <c r="N692" s="210"/>
      <c r="P692" s="211"/>
    </row>
    <row r="693" spans="3:16">
      <c r="C693" s="209"/>
      <c r="G693" s="210"/>
      <c r="H693" s="210"/>
      <c r="I693" s="210"/>
      <c r="J693" s="210"/>
      <c r="K693" s="210"/>
      <c r="L693" s="210"/>
      <c r="M693" s="210"/>
      <c r="N693" s="210"/>
      <c r="P693" s="211"/>
    </row>
    <row r="694" spans="3:16">
      <c r="C694" s="209"/>
      <c r="G694" s="210"/>
      <c r="H694" s="210"/>
      <c r="I694" s="210"/>
      <c r="J694" s="210"/>
      <c r="K694" s="210"/>
      <c r="L694" s="210"/>
      <c r="M694" s="210"/>
      <c r="N694" s="210"/>
      <c r="P694" s="211"/>
    </row>
    <row r="695" spans="3:16">
      <c r="C695" s="209"/>
      <c r="G695" s="210"/>
      <c r="H695" s="210"/>
      <c r="I695" s="210"/>
      <c r="J695" s="210"/>
      <c r="K695" s="210"/>
      <c r="L695" s="210"/>
      <c r="M695" s="210"/>
      <c r="N695" s="210"/>
      <c r="P695" s="211"/>
    </row>
    <row r="696" spans="3:16">
      <c r="C696" s="209"/>
      <c r="G696" s="210"/>
      <c r="H696" s="210"/>
      <c r="I696" s="210"/>
      <c r="J696" s="210"/>
      <c r="K696" s="210"/>
      <c r="L696" s="210"/>
      <c r="M696" s="210"/>
      <c r="N696" s="210"/>
      <c r="P696" s="211"/>
    </row>
    <row r="697" spans="3:16">
      <c r="C697" s="209"/>
      <c r="G697" s="210"/>
      <c r="H697" s="210"/>
      <c r="I697" s="210"/>
      <c r="J697" s="210"/>
      <c r="K697" s="210"/>
      <c r="L697" s="210"/>
      <c r="M697" s="210"/>
      <c r="N697" s="210"/>
      <c r="P697" s="211"/>
    </row>
    <row r="698" spans="3:16">
      <c r="C698" s="209"/>
      <c r="G698" s="210"/>
      <c r="H698" s="210"/>
      <c r="I698" s="210"/>
      <c r="J698" s="210"/>
      <c r="K698" s="210"/>
      <c r="L698" s="210"/>
      <c r="M698" s="210"/>
      <c r="N698" s="210"/>
      <c r="P698" s="211"/>
    </row>
    <row r="699" spans="3:16">
      <c r="C699" s="209"/>
      <c r="G699" s="210"/>
      <c r="H699" s="210"/>
      <c r="I699" s="210"/>
      <c r="J699" s="210"/>
      <c r="K699" s="210"/>
      <c r="L699" s="210"/>
      <c r="M699" s="210"/>
      <c r="N699" s="210"/>
      <c r="P699" s="211"/>
    </row>
    <row r="700" spans="3:16">
      <c r="C700" s="209"/>
      <c r="G700" s="210"/>
      <c r="H700" s="210"/>
      <c r="I700" s="210"/>
      <c r="J700" s="210"/>
      <c r="K700" s="210"/>
      <c r="L700" s="210"/>
      <c r="M700" s="210"/>
      <c r="N700" s="210"/>
      <c r="P700" s="211"/>
    </row>
    <row r="701" spans="3:16">
      <c r="C701" s="209"/>
      <c r="G701" s="210"/>
      <c r="H701" s="210"/>
      <c r="I701" s="210"/>
      <c r="J701" s="210"/>
      <c r="K701" s="210"/>
      <c r="L701" s="210"/>
      <c r="M701" s="210"/>
      <c r="N701" s="210"/>
      <c r="P701" s="211"/>
    </row>
    <row r="702" spans="3:16">
      <c r="C702" s="209"/>
      <c r="G702" s="210"/>
      <c r="H702" s="210"/>
      <c r="I702" s="210"/>
      <c r="J702" s="210"/>
      <c r="K702" s="210"/>
      <c r="L702" s="210"/>
      <c r="M702" s="210"/>
      <c r="N702" s="210"/>
      <c r="P702" s="211"/>
    </row>
    <row r="703" spans="3:16">
      <c r="C703" s="209"/>
      <c r="G703" s="210"/>
      <c r="H703" s="210"/>
      <c r="I703" s="210"/>
      <c r="J703" s="210"/>
      <c r="K703" s="210"/>
      <c r="L703" s="210"/>
      <c r="M703" s="210"/>
      <c r="N703" s="210"/>
      <c r="P703" s="211"/>
    </row>
    <row r="704" spans="3:16">
      <c r="C704" s="209"/>
      <c r="G704" s="210"/>
      <c r="H704" s="210"/>
      <c r="I704" s="210"/>
      <c r="J704" s="210"/>
      <c r="K704" s="210"/>
      <c r="L704" s="210"/>
      <c r="M704" s="210"/>
      <c r="N704" s="210"/>
      <c r="P704" s="211"/>
    </row>
    <row r="705" spans="3:16">
      <c r="C705" s="209"/>
      <c r="G705" s="210"/>
      <c r="H705" s="210"/>
      <c r="I705" s="210"/>
      <c r="J705" s="210"/>
      <c r="K705" s="210"/>
      <c r="L705" s="210"/>
      <c r="M705" s="210"/>
      <c r="N705" s="210"/>
      <c r="P705" s="211"/>
    </row>
    <row r="706" spans="3:16">
      <c r="C706" s="209"/>
      <c r="G706" s="210"/>
      <c r="H706" s="210"/>
      <c r="I706" s="210"/>
      <c r="J706" s="210"/>
      <c r="K706" s="210"/>
      <c r="L706" s="210"/>
      <c r="M706" s="210"/>
      <c r="N706" s="210"/>
      <c r="P706" s="211"/>
    </row>
    <row r="707" spans="3:16">
      <c r="C707" s="209"/>
      <c r="G707" s="210"/>
      <c r="H707" s="210"/>
      <c r="I707" s="210"/>
      <c r="J707" s="210"/>
      <c r="K707" s="210"/>
      <c r="L707" s="210"/>
      <c r="M707" s="210"/>
      <c r="N707" s="210"/>
      <c r="P707" s="211"/>
    </row>
    <row r="708" spans="3:16">
      <c r="C708" s="209"/>
      <c r="G708" s="210"/>
      <c r="H708" s="210"/>
      <c r="I708" s="210"/>
      <c r="J708" s="210"/>
      <c r="K708" s="210"/>
      <c r="L708" s="210"/>
      <c r="M708" s="210"/>
      <c r="N708" s="210"/>
      <c r="P708" s="211"/>
    </row>
    <row r="709" spans="3:16">
      <c r="C709" s="209"/>
      <c r="G709" s="210"/>
      <c r="H709" s="210"/>
      <c r="I709" s="210"/>
      <c r="J709" s="210"/>
      <c r="K709" s="210"/>
      <c r="L709" s="210"/>
      <c r="M709" s="210"/>
      <c r="N709" s="210"/>
      <c r="P709" s="211"/>
    </row>
    <row r="710" spans="3:16">
      <c r="C710" s="209"/>
      <c r="G710" s="210"/>
      <c r="H710" s="210"/>
      <c r="I710" s="210"/>
      <c r="J710" s="210"/>
      <c r="K710" s="210"/>
      <c r="L710" s="210"/>
      <c r="M710" s="210"/>
      <c r="N710" s="210"/>
      <c r="P710" s="211"/>
    </row>
    <row r="711" spans="3:16">
      <c r="C711" s="209"/>
      <c r="G711" s="210"/>
      <c r="H711" s="210"/>
      <c r="I711" s="210"/>
      <c r="J711" s="210"/>
      <c r="K711" s="210"/>
      <c r="L711" s="210"/>
      <c r="M711" s="210"/>
      <c r="N711" s="210"/>
      <c r="P711" s="211"/>
    </row>
    <row r="712" spans="3:16">
      <c r="C712" s="209"/>
      <c r="G712" s="210"/>
      <c r="H712" s="210"/>
      <c r="I712" s="210"/>
      <c r="J712" s="210"/>
      <c r="K712" s="210"/>
      <c r="L712" s="210"/>
      <c r="M712" s="210"/>
      <c r="N712" s="210"/>
      <c r="P712" s="211"/>
    </row>
    <row r="713" spans="3:16">
      <c r="C713" s="209"/>
      <c r="G713" s="210"/>
      <c r="H713" s="210"/>
      <c r="I713" s="210"/>
      <c r="J713" s="210"/>
      <c r="K713" s="210"/>
      <c r="L713" s="210"/>
      <c r="M713" s="210"/>
      <c r="N713" s="210"/>
      <c r="P713" s="211"/>
    </row>
    <row r="714" spans="3:16">
      <c r="C714" s="209"/>
      <c r="G714" s="210"/>
      <c r="H714" s="210"/>
      <c r="I714" s="210"/>
      <c r="J714" s="210"/>
      <c r="K714" s="210"/>
      <c r="L714" s="210"/>
      <c r="M714" s="210"/>
      <c r="N714" s="210"/>
      <c r="P714" s="211"/>
    </row>
    <row r="715" spans="3:16">
      <c r="C715" s="209"/>
      <c r="G715" s="210"/>
      <c r="H715" s="210"/>
      <c r="I715" s="210"/>
      <c r="J715" s="210"/>
      <c r="K715" s="210"/>
      <c r="L715" s="210"/>
      <c r="M715" s="210"/>
      <c r="N715" s="210"/>
      <c r="P715" s="211"/>
    </row>
    <row r="716" spans="3:16">
      <c r="C716" s="209"/>
      <c r="G716" s="210"/>
      <c r="H716" s="210"/>
      <c r="I716" s="210"/>
      <c r="J716" s="210"/>
      <c r="K716" s="210"/>
      <c r="L716" s="210"/>
      <c r="M716" s="210"/>
      <c r="N716" s="210"/>
      <c r="P716" s="211"/>
    </row>
    <row r="717" spans="3:16">
      <c r="C717" s="209"/>
      <c r="G717" s="210"/>
      <c r="H717" s="210"/>
      <c r="I717" s="210"/>
      <c r="J717" s="210"/>
      <c r="K717" s="210"/>
      <c r="L717" s="210"/>
      <c r="M717" s="210"/>
      <c r="N717" s="210"/>
      <c r="P717" s="211"/>
    </row>
    <row r="718" spans="3:16">
      <c r="C718" s="209"/>
      <c r="G718" s="210"/>
      <c r="H718" s="210"/>
      <c r="I718" s="210"/>
      <c r="J718" s="210"/>
      <c r="K718" s="210"/>
      <c r="L718" s="210"/>
      <c r="M718" s="210"/>
      <c r="N718" s="210"/>
      <c r="P718" s="211"/>
    </row>
    <row r="719" spans="3:16">
      <c r="C719" s="209"/>
      <c r="G719" s="210"/>
      <c r="H719" s="210"/>
      <c r="I719" s="210"/>
      <c r="J719" s="210"/>
      <c r="K719" s="210"/>
      <c r="L719" s="210"/>
      <c r="M719" s="210"/>
      <c r="N719" s="210"/>
      <c r="P719" s="211"/>
    </row>
    <row r="720" spans="3:16">
      <c r="C720" s="209"/>
      <c r="G720" s="210"/>
      <c r="H720" s="210"/>
      <c r="I720" s="210"/>
      <c r="J720" s="210"/>
      <c r="K720" s="210"/>
      <c r="L720" s="210"/>
      <c r="M720" s="210"/>
      <c r="N720" s="210"/>
      <c r="P720" s="211"/>
    </row>
    <row r="721" spans="3:16">
      <c r="C721" s="209"/>
      <c r="G721" s="210"/>
      <c r="H721" s="210"/>
      <c r="I721" s="210"/>
      <c r="J721" s="210"/>
      <c r="K721" s="210"/>
      <c r="L721" s="210"/>
      <c r="M721" s="210"/>
      <c r="N721" s="210"/>
      <c r="P721" s="211"/>
    </row>
    <row r="722" spans="3:16">
      <c r="C722" s="209"/>
      <c r="G722" s="210"/>
      <c r="H722" s="210"/>
      <c r="I722" s="210"/>
      <c r="J722" s="210"/>
      <c r="K722" s="210"/>
      <c r="L722" s="210"/>
      <c r="M722" s="210"/>
      <c r="N722" s="210"/>
      <c r="P722" s="211"/>
    </row>
    <row r="723" spans="3:16">
      <c r="C723" s="209"/>
      <c r="G723" s="210"/>
      <c r="H723" s="210"/>
      <c r="I723" s="210"/>
      <c r="J723" s="210"/>
      <c r="K723" s="210"/>
      <c r="L723" s="210"/>
      <c r="M723" s="210"/>
      <c r="N723" s="210"/>
      <c r="P723" s="211"/>
    </row>
    <row r="724" spans="3:16">
      <c r="C724" s="209"/>
      <c r="G724" s="210"/>
      <c r="H724" s="210"/>
      <c r="I724" s="210"/>
      <c r="J724" s="210"/>
      <c r="K724" s="210"/>
      <c r="L724" s="210"/>
      <c r="M724" s="210"/>
      <c r="N724" s="210"/>
      <c r="P724" s="211"/>
    </row>
    <row r="725" spans="3:16">
      <c r="C725" s="209"/>
      <c r="G725" s="210"/>
      <c r="H725" s="210"/>
      <c r="I725" s="210"/>
      <c r="J725" s="210"/>
      <c r="K725" s="210"/>
      <c r="L725" s="210"/>
      <c r="M725" s="210"/>
      <c r="N725" s="210"/>
      <c r="P725" s="211"/>
    </row>
    <row r="726" spans="3:16">
      <c r="C726" s="209"/>
      <c r="G726" s="210"/>
      <c r="H726" s="210"/>
      <c r="I726" s="210"/>
      <c r="J726" s="210"/>
      <c r="K726" s="210"/>
      <c r="L726" s="210"/>
      <c r="M726" s="210"/>
      <c r="N726" s="210"/>
      <c r="P726" s="211"/>
    </row>
    <row r="727" spans="3:16">
      <c r="C727" s="209"/>
      <c r="G727" s="210"/>
      <c r="H727" s="210"/>
      <c r="I727" s="210"/>
      <c r="J727" s="210"/>
      <c r="K727" s="210"/>
      <c r="L727" s="210"/>
      <c r="M727" s="210"/>
      <c r="N727" s="210"/>
      <c r="P727" s="211"/>
    </row>
    <row r="728" spans="3:16">
      <c r="C728" s="209"/>
      <c r="G728" s="210"/>
      <c r="H728" s="210"/>
      <c r="I728" s="210"/>
      <c r="J728" s="210"/>
      <c r="K728" s="210"/>
      <c r="L728" s="210"/>
      <c r="M728" s="210"/>
      <c r="N728" s="210"/>
      <c r="P728" s="211"/>
    </row>
    <row r="729" spans="3:16">
      <c r="C729" s="209"/>
      <c r="G729" s="210"/>
      <c r="H729" s="210"/>
      <c r="I729" s="210"/>
      <c r="J729" s="210"/>
      <c r="K729" s="210"/>
      <c r="L729" s="210"/>
      <c r="M729" s="210"/>
      <c r="N729" s="210"/>
      <c r="P729" s="211"/>
    </row>
    <row r="730" spans="3:16">
      <c r="C730" s="209"/>
      <c r="G730" s="210"/>
      <c r="H730" s="210"/>
      <c r="I730" s="210"/>
      <c r="J730" s="210"/>
      <c r="K730" s="210"/>
      <c r="L730" s="210"/>
      <c r="M730" s="210"/>
      <c r="N730" s="210"/>
      <c r="P730" s="211"/>
    </row>
    <row r="731" spans="3:16">
      <c r="C731" s="209"/>
      <c r="G731" s="210"/>
      <c r="H731" s="210"/>
      <c r="I731" s="210"/>
      <c r="J731" s="210"/>
      <c r="K731" s="210"/>
      <c r="L731" s="210"/>
      <c r="M731" s="210"/>
      <c r="N731" s="210"/>
      <c r="P731" s="211"/>
    </row>
    <row r="732" spans="3:16">
      <c r="C732" s="209"/>
      <c r="G732" s="210"/>
      <c r="H732" s="210"/>
      <c r="I732" s="210"/>
      <c r="J732" s="210"/>
      <c r="K732" s="210"/>
      <c r="L732" s="210"/>
      <c r="M732" s="210"/>
      <c r="N732" s="210"/>
      <c r="P732" s="211"/>
    </row>
    <row r="733" spans="3:16">
      <c r="C733" s="209"/>
      <c r="G733" s="210"/>
      <c r="H733" s="210"/>
      <c r="I733" s="210"/>
      <c r="J733" s="210"/>
      <c r="K733" s="210"/>
      <c r="L733" s="210"/>
      <c r="M733" s="210"/>
      <c r="N733" s="210"/>
      <c r="P733" s="211"/>
    </row>
    <row r="734" spans="3:16">
      <c r="C734" s="209"/>
      <c r="G734" s="210"/>
      <c r="H734" s="210"/>
      <c r="I734" s="210"/>
      <c r="J734" s="210"/>
      <c r="K734" s="210"/>
      <c r="L734" s="210"/>
      <c r="M734" s="210"/>
      <c r="N734" s="210"/>
      <c r="P734" s="211"/>
    </row>
    <row r="735" spans="3:16">
      <c r="C735" s="209"/>
      <c r="G735" s="210"/>
      <c r="H735" s="210"/>
      <c r="I735" s="210"/>
      <c r="J735" s="210"/>
      <c r="K735" s="210"/>
      <c r="L735" s="210"/>
      <c r="M735" s="210"/>
      <c r="N735" s="210"/>
      <c r="P735" s="211"/>
    </row>
    <row r="736" spans="3:16">
      <c r="C736" s="209"/>
      <c r="G736" s="210"/>
      <c r="H736" s="210"/>
      <c r="I736" s="210"/>
      <c r="J736" s="210"/>
      <c r="K736" s="210"/>
      <c r="L736" s="210"/>
      <c r="M736" s="210"/>
      <c r="N736" s="210"/>
      <c r="P736" s="211"/>
    </row>
    <row r="737" spans="3:16">
      <c r="C737" s="209"/>
      <c r="G737" s="210"/>
      <c r="H737" s="210"/>
      <c r="I737" s="210"/>
      <c r="J737" s="210"/>
      <c r="K737" s="210"/>
      <c r="L737" s="210"/>
      <c r="M737" s="210"/>
      <c r="N737" s="210"/>
      <c r="P737" s="211"/>
    </row>
    <row r="738" spans="3:16">
      <c r="C738" s="209"/>
      <c r="G738" s="210"/>
      <c r="H738" s="210"/>
      <c r="I738" s="210"/>
      <c r="J738" s="210"/>
      <c r="K738" s="210"/>
      <c r="L738" s="210"/>
      <c r="M738" s="210"/>
      <c r="N738" s="210"/>
      <c r="P738" s="211"/>
    </row>
    <row r="739" spans="3:16">
      <c r="C739" s="209"/>
      <c r="G739" s="210"/>
      <c r="H739" s="210"/>
      <c r="I739" s="210"/>
      <c r="J739" s="210"/>
      <c r="K739" s="210"/>
      <c r="L739" s="210"/>
      <c r="M739" s="210"/>
      <c r="N739" s="210"/>
      <c r="P739" s="211"/>
    </row>
    <row r="740" spans="3:16">
      <c r="C740" s="209"/>
      <c r="G740" s="210"/>
      <c r="H740" s="210"/>
      <c r="I740" s="210"/>
      <c r="J740" s="210"/>
      <c r="K740" s="210"/>
      <c r="L740" s="210"/>
      <c r="M740" s="210"/>
      <c r="N740" s="210"/>
      <c r="P740" s="211"/>
    </row>
    <row r="741" spans="3:16">
      <c r="C741" s="209"/>
      <c r="G741" s="210"/>
      <c r="H741" s="210"/>
      <c r="I741" s="210"/>
      <c r="J741" s="210"/>
      <c r="K741" s="210"/>
      <c r="L741" s="210"/>
      <c r="M741" s="210"/>
      <c r="N741" s="210"/>
      <c r="P741" s="211"/>
    </row>
    <row r="742" spans="3:16">
      <c r="C742" s="209"/>
      <c r="G742" s="210"/>
      <c r="H742" s="210"/>
      <c r="I742" s="210"/>
      <c r="J742" s="210"/>
      <c r="K742" s="210"/>
      <c r="L742" s="210"/>
      <c r="M742" s="210"/>
      <c r="N742" s="210"/>
      <c r="P742" s="211"/>
    </row>
    <row r="743" spans="3:16">
      <c r="C743" s="209"/>
      <c r="G743" s="210"/>
      <c r="H743" s="210"/>
      <c r="I743" s="210"/>
      <c r="J743" s="210"/>
      <c r="K743" s="210"/>
      <c r="L743" s="210"/>
      <c r="M743" s="210"/>
      <c r="N743" s="210"/>
      <c r="P743" s="211"/>
    </row>
    <row r="744" spans="3:16">
      <c r="C744" s="209"/>
      <c r="G744" s="210"/>
      <c r="H744" s="210"/>
      <c r="I744" s="210"/>
      <c r="J744" s="210"/>
      <c r="K744" s="210"/>
      <c r="L744" s="210"/>
      <c r="M744" s="210"/>
      <c r="N744" s="210"/>
      <c r="P744" s="211"/>
    </row>
    <row r="745" spans="3:16">
      <c r="C745" s="209"/>
      <c r="G745" s="210"/>
      <c r="H745" s="210"/>
      <c r="I745" s="210"/>
      <c r="J745" s="210"/>
      <c r="K745" s="210"/>
      <c r="L745" s="210"/>
      <c r="M745" s="210"/>
      <c r="N745" s="210"/>
      <c r="P745" s="211"/>
    </row>
    <row r="746" spans="3:16">
      <c r="C746" s="209"/>
      <c r="G746" s="210"/>
      <c r="H746" s="210"/>
      <c r="I746" s="210"/>
      <c r="J746" s="210"/>
      <c r="K746" s="210"/>
      <c r="L746" s="210"/>
      <c r="M746" s="210"/>
      <c r="N746" s="210"/>
      <c r="P746" s="211"/>
    </row>
    <row r="747" spans="3:16">
      <c r="C747" s="209"/>
      <c r="G747" s="210"/>
      <c r="H747" s="210"/>
      <c r="I747" s="210"/>
      <c r="J747" s="210"/>
      <c r="K747" s="210"/>
      <c r="L747" s="210"/>
      <c r="M747" s="210"/>
      <c r="N747" s="210"/>
      <c r="P747" s="211"/>
    </row>
    <row r="748" spans="3:16">
      <c r="C748" s="209"/>
      <c r="G748" s="210"/>
      <c r="H748" s="210"/>
      <c r="I748" s="210"/>
      <c r="J748" s="210"/>
      <c r="K748" s="210"/>
      <c r="L748" s="210"/>
      <c r="M748" s="210"/>
      <c r="N748" s="210"/>
      <c r="P748" s="211"/>
    </row>
    <row r="749" spans="3:16">
      <c r="C749" s="209"/>
      <c r="G749" s="210"/>
      <c r="H749" s="210"/>
      <c r="I749" s="210"/>
      <c r="J749" s="210"/>
      <c r="K749" s="210"/>
      <c r="L749" s="210"/>
      <c r="M749" s="210"/>
      <c r="N749" s="210"/>
      <c r="P749" s="211"/>
    </row>
    <row r="750" spans="3:16">
      <c r="C750" s="209"/>
      <c r="G750" s="210"/>
      <c r="H750" s="210"/>
      <c r="I750" s="210"/>
      <c r="J750" s="210"/>
      <c r="K750" s="210"/>
      <c r="L750" s="210"/>
      <c r="M750" s="210"/>
      <c r="N750" s="210"/>
      <c r="P750" s="211"/>
    </row>
    <row r="751" spans="3:16">
      <c r="C751" s="209"/>
      <c r="G751" s="210"/>
      <c r="H751" s="210"/>
      <c r="I751" s="210"/>
      <c r="J751" s="210"/>
      <c r="K751" s="210"/>
      <c r="L751" s="210"/>
      <c r="M751" s="210"/>
      <c r="N751" s="210"/>
      <c r="P751" s="211"/>
    </row>
    <row r="752" spans="3:16">
      <c r="C752" s="209"/>
      <c r="G752" s="210"/>
      <c r="H752" s="210"/>
      <c r="I752" s="210"/>
      <c r="J752" s="210"/>
      <c r="K752" s="210"/>
      <c r="L752" s="210"/>
      <c r="M752" s="210"/>
      <c r="N752" s="210"/>
      <c r="P752" s="211"/>
    </row>
    <row r="753" spans="3:16">
      <c r="C753" s="209"/>
      <c r="G753" s="210"/>
      <c r="H753" s="210"/>
      <c r="I753" s="210"/>
      <c r="J753" s="210"/>
      <c r="K753" s="210"/>
      <c r="L753" s="210"/>
      <c r="M753" s="210"/>
      <c r="N753" s="210"/>
      <c r="P753" s="211"/>
    </row>
    <row r="754" spans="3:16">
      <c r="C754" s="209"/>
      <c r="G754" s="210"/>
      <c r="H754" s="210"/>
      <c r="I754" s="210"/>
      <c r="J754" s="210"/>
      <c r="K754" s="210"/>
      <c r="L754" s="210"/>
      <c r="M754" s="210"/>
      <c r="N754" s="210"/>
      <c r="P754" s="211"/>
    </row>
    <row r="755" spans="3:16">
      <c r="C755" s="209"/>
      <c r="G755" s="210"/>
      <c r="H755" s="210"/>
      <c r="I755" s="210"/>
      <c r="J755" s="210"/>
      <c r="K755" s="210"/>
      <c r="L755" s="210"/>
      <c r="M755" s="210"/>
      <c r="N755" s="210"/>
      <c r="P755" s="211"/>
    </row>
    <row r="756" spans="3:16">
      <c r="C756" s="209"/>
      <c r="G756" s="210"/>
      <c r="H756" s="210"/>
      <c r="I756" s="210"/>
      <c r="J756" s="210"/>
      <c r="K756" s="210"/>
      <c r="L756" s="210"/>
      <c r="M756" s="210"/>
      <c r="N756" s="210"/>
      <c r="P756" s="211"/>
    </row>
    <row r="757" spans="3:16">
      <c r="C757" s="209"/>
      <c r="G757" s="210"/>
      <c r="H757" s="210"/>
      <c r="I757" s="210"/>
      <c r="J757" s="210"/>
      <c r="K757" s="210"/>
      <c r="L757" s="210"/>
      <c r="M757" s="210"/>
      <c r="N757" s="210"/>
      <c r="P757" s="211"/>
    </row>
    <row r="758" spans="3:16">
      <c r="C758" s="209"/>
      <c r="G758" s="210"/>
      <c r="H758" s="210"/>
      <c r="I758" s="210"/>
      <c r="J758" s="210"/>
      <c r="K758" s="210"/>
      <c r="L758" s="210"/>
      <c r="M758" s="210"/>
      <c r="N758" s="210"/>
      <c r="P758" s="211"/>
    </row>
    <row r="759" spans="3:16">
      <c r="C759" s="209"/>
      <c r="G759" s="210"/>
      <c r="H759" s="210"/>
      <c r="I759" s="210"/>
      <c r="J759" s="210"/>
      <c r="K759" s="210"/>
      <c r="L759" s="210"/>
      <c r="M759" s="210"/>
      <c r="N759" s="210"/>
      <c r="P759" s="211"/>
    </row>
    <row r="760" spans="3:16">
      <c r="C760" s="209"/>
      <c r="G760" s="210"/>
      <c r="H760" s="210"/>
      <c r="I760" s="210"/>
      <c r="J760" s="210"/>
      <c r="K760" s="210"/>
      <c r="L760" s="210"/>
      <c r="M760" s="210"/>
      <c r="N760" s="210"/>
      <c r="P760" s="211"/>
    </row>
    <row r="761" spans="3:16">
      <c r="C761" s="209"/>
      <c r="G761" s="210"/>
      <c r="H761" s="210"/>
      <c r="I761" s="210"/>
      <c r="J761" s="210"/>
      <c r="K761" s="210"/>
      <c r="L761" s="210"/>
      <c r="M761" s="210"/>
      <c r="N761" s="210"/>
      <c r="P761" s="211"/>
    </row>
    <row r="762" spans="3:16">
      <c r="C762" s="209"/>
      <c r="G762" s="210"/>
      <c r="H762" s="210"/>
      <c r="I762" s="210"/>
      <c r="J762" s="210"/>
      <c r="K762" s="210"/>
      <c r="L762" s="210"/>
      <c r="M762" s="210"/>
      <c r="N762" s="210"/>
      <c r="P762" s="211"/>
    </row>
    <row r="763" spans="3:16">
      <c r="C763" s="209"/>
      <c r="G763" s="210"/>
      <c r="H763" s="210"/>
      <c r="I763" s="210"/>
      <c r="J763" s="210"/>
      <c r="K763" s="210"/>
      <c r="L763" s="210"/>
      <c r="M763" s="210"/>
      <c r="N763" s="210"/>
      <c r="P763" s="211"/>
    </row>
    <row r="764" spans="3:16">
      <c r="C764" s="209"/>
      <c r="G764" s="210"/>
      <c r="H764" s="210"/>
      <c r="I764" s="210"/>
      <c r="J764" s="210"/>
      <c r="K764" s="210"/>
      <c r="L764" s="210"/>
      <c r="M764" s="210"/>
      <c r="N764" s="210"/>
      <c r="P764" s="211"/>
    </row>
    <row r="765" spans="3:16">
      <c r="C765" s="209"/>
      <c r="G765" s="210"/>
      <c r="H765" s="210"/>
      <c r="I765" s="210"/>
      <c r="J765" s="210"/>
      <c r="K765" s="210"/>
      <c r="L765" s="210"/>
      <c r="M765" s="210"/>
      <c r="N765" s="210"/>
      <c r="P765" s="211"/>
    </row>
    <row r="766" spans="3:16">
      <c r="C766" s="209"/>
      <c r="G766" s="210"/>
      <c r="H766" s="210"/>
      <c r="I766" s="210"/>
      <c r="J766" s="210"/>
      <c r="K766" s="210"/>
      <c r="L766" s="210"/>
      <c r="M766" s="210"/>
      <c r="N766" s="210"/>
      <c r="P766" s="211"/>
    </row>
    <row r="767" spans="3:16">
      <c r="C767" s="209"/>
      <c r="G767" s="210"/>
      <c r="H767" s="210"/>
      <c r="I767" s="210"/>
      <c r="J767" s="210"/>
      <c r="K767" s="210"/>
      <c r="L767" s="210"/>
      <c r="M767" s="210"/>
      <c r="N767" s="210"/>
      <c r="P767" s="211"/>
    </row>
    <row r="768" spans="3:16">
      <c r="C768" s="209"/>
      <c r="G768" s="210"/>
      <c r="H768" s="210"/>
      <c r="I768" s="210"/>
      <c r="J768" s="210"/>
      <c r="K768" s="210"/>
      <c r="L768" s="210"/>
      <c r="M768" s="210"/>
      <c r="N768" s="210"/>
      <c r="P768" s="211"/>
    </row>
    <row r="769" spans="3:16">
      <c r="C769" s="209"/>
      <c r="G769" s="210"/>
      <c r="H769" s="210"/>
      <c r="I769" s="210"/>
      <c r="J769" s="210"/>
      <c r="K769" s="210"/>
      <c r="L769" s="210"/>
      <c r="M769" s="210"/>
      <c r="N769" s="210"/>
      <c r="P769" s="211"/>
    </row>
    <row r="770" spans="3:16">
      <c r="C770" s="209"/>
      <c r="G770" s="210"/>
      <c r="H770" s="210"/>
      <c r="I770" s="210"/>
      <c r="J770" s="210"/>
      <c r="K770" s="210"/>
      <c r="L770" s="210"/>
      <c r="M770" s="210"/>
      <c r="N770" s="210"/>
      <c r="P770" s="211"/>
    </row>
    <row r="771" spans="3:16">
      <c r="C771" s="209"/>
      <c r="G771" s="210"/>
      <c r="H771" s="210"/>
      <c r="I771" s="210"/>
      <c r="J771" s="210"/>
      <c r="K771" s="210"/>
      <c r="L771" s="210"/>
      <c r="M771" s="210"/>
      <c r="N771" s="210"/>
      <c r="P771" s="211"/>
    </row>
    <row r="772" spans="3:16">
      <c r="C772" s="209"/>
      <c r="G772" s="210"/>
      <c r="H772" s="210"/>
      <c r="I772" s="210"/>
      <c r="J772" s="210"/>
      <c r="K772" s="210"/>
      <c r="L772" s="210"/>
      <c r="M772" s="210"/>
      <c r="N772" s="210"/>
      <c r="P772" s="211"/>
    </row>
    <row r="773" spans="3:16">
      <c r="C773" s="209"/>
      <c r="G773" s="210"/>
      <c r="H773" s="210"/>
      <c r="I773" s="210"/>
      <c r="J773" s="210"/>
      <c r="K773" s="210"/>
      <c r="L773" s="210"/>
      <c r="M773" s="210"/>
      <c r="N773" s="210"/>
      <c r="P773" s="211"/>
    </row>
    <row r="774" spans="3:16">
      <c r="C774" s="209"/>
      <c r="G774" s="210"/>
      <c r="H774" s="210"/>
      <c r="I774" s="210"/>
      <c r="J774" s="210"/>
      <c r="K774" s="210"/>
      <c r="L774" s="210"/>
      <c r="M774" s="210"/>
      <c r="N774" s="210"/>
      <c r="P774" s="211"/>
    </row>
    <row r="775" spans="3:16">
      <c r="C775" s="209"/>
      <c r="G775" s="210"/>
      <c r="H775" s="210"/>
      <c r="I775" s="210"/>
      <c r="J775" s="210"/>
      <c r="K775" s="210"/>
      <c r="L775" s="210"/>
      <c r="M775" s="210"/>
      <c r="N775" s="210"/>
      <c r="P775" s="211"/>
    </row>
    <row r="776" spans="3:16">
      <c r="C776" s="209"/>
      <c r="G776" s="210"/>
      <c r="H776" s="210"/>
      <c r="I776" s="210"/>
      <c r="J776" s="210"/>
      <c r="K776" s="210"/>
      <c r="L776" s="210"/>
      <c r="M776" s="210"/>
      <c r="N776" s="210"/>
      <c r="P776" s="211"/>
    </row>
    <row r="777" spans="3:16">
      <c r="C777" s="209"/>
      <c r="G777" s="210"/>
      <c r="H777" s="210"/>
      <c r="I777" s="210"/>
      <c r="J777" s="210"/>
      <c r="K777" s="210"/>
      <c r="L777" s="210"/>
      <c r="M777" s="210"/>
      <c r="N777" s="210"/>
      <c r="P777" s="211"/>
    </row>
    <row r="778" spans="3:16">
      <c r="C778" s="209"/>
      <c r="G778" s="210"/>
      <c r="H778" s="210"/>
      <c r="I778" s="210"/>
      <c r="J778" s="210"/>
      <c r="K778" s="210"/>
      <c r="L778" s="210"/>
      <c r="M778" s="210"/>
      <c r="N778" s="210"/>
      <c r="P778" s="211"/>
    </row>
    <row r="779" spans="3:16">
      <c r="C779" s="209"/>
      <c r="G779" s="210"/>
      <c r="H779" s="210"/>
      <c r="I779" s="210"/>
      <c r="J779" s="210"/>
      <c r="K779" s="210"/>
      <c r="L779" s="210"/>
      <c r="M779" s="210"/>
      <c r="N779" s="210"/>
      <c r="P779" s="211"/>
    </row>
    <row r="780" spans="3:16">
      <c r="C780" s="209"/>
      <c r="G780" s="210"/>
      <c r="H780" s="210"/>
      <c r="I780" s="210"/>
      <c r="J780" s="210"/>
      <c r="K780" s="210"/>
      <c r="L780" s="210"/>
      <c r="M780" s="210"/>
      <c r="N780" s="210"/>
      <c r="P780" s="211"/>
    </row>
    <row r="781" spans="3:16">
      <c r="C781" s="209"/>
      <c r="G781" s="210"/>
      <c r="H781" s="210"/>
      <c r="I781" s="210"/>
      <c r="J781" s="210"/>
      <c r="K781" s="210"/>
      <c r="L781" s="210"/>
      <c r="M781" s="210"/>
      <c r="N781" s="210"/>
      <c r="P781" s="211"/>
    </row>
    <row r="782" spans="3:16">
      <c r="C782" s="209"/>
      <c r="G782" s="210"/>
      <c r="H782" s="210"/>
      <c r="I782" s="210"/>
      <c r="J782" s="210"/>
      <c r="K782" s="210"/>
      <c r="L782" s="210"/>
      <c r="M782" s="210"/>
      <c r="N782" s="210"/>
      <c r="P782" s="211"/>
    </row>
    <row r="783" spans="3:16">
      <c r="C783" s="209"/>
      <c r="G783" s="210"/>
      <c r="H783" s="210"/>
      <c r="I783" s="210"/>
      <c r="J783" s="210"/>
      <c r="K783" s="210"/>
      <c r="L783" s="210"/>
      <c r="M783" s="210"/>
      <c r="N783" s="210"/>
      <c r="P783" s="211"/>
    </row>
    <row r="784" spans="3:16">
      <c r="C784" s="209"/>
      <c r="G784" s="210"/>
      <c r="H784" s="210"/>
      <c r="I784" s="210"/>
      <c r="J784" s="210"/>
      <c r="K784" s="210"/>
      <c r="L784" s="210"/>
      <c r="M784" s="210"/>
      <c r="N784" s="210"/>
      <c r="P784" s="211"/>
    </row>
    <row r="785" spans="3:16">
      <c r="C785" s="209"/>
      <c r="G785" s="210"/>
      <c r="H785" s="210"/>
      <c r="I785" s="210"/>
      <c r="J785" s="210"/>
      <c r="K785" s="210"/>
      <c r="L785" s="210"/>
      <c r="M785" s="210"/>
      <c r="N785" s="210"/>
      <c r="P785" s="211"/>
    </row>
    <row r="786" spans="3:16">
      <c r="C786" s="209"/>
      <c r="G786" s="210"/>
      <c r="H786" s="210"/>
      <c r="I786" s="210"/>
      <c r="J786" s="210"/>
      <c r="K786" s="210"/>
      <c r="L786" s="210"/>
      <c r="M786" s="210"/>
      <c r="N786" s="210"/>
      <c r="P786" s="211"/>
    </row>
    <row r="787" spans="3:16">
      <c r="C787" s="209"/>
      <c r="G787" s="210"/>
      <c r="H787" s="210"/>
      <c r="I787" s="210"/>
      <c r="J787" s="210"/>
      <c r="K787" s="210"/>
      <c r="L787" s="210"/>
      <c r="M787" s="210"/>
      <c r="N787" s="210"/>
      <c r="P787" s="211"/>
    </row>
    <row r="788" spans="3:16">
      <c r="C788" s="209"/>
      <c r="G788" s="210"/>
      <c r="H788" s="210"/>
      <c r="I788" s="210"/>
      <c r="J788" s="210"/>
      <c r="K788" s="210"/>
      <c r="L788" s="210"/>
      <c r="M788" s="210"/>
      <c r="N788" s="210"/>
      <c r="P788" s="211"/>
    </row>
    <row r="789" spans="3:16">
      <c r="C789" s="209"/>
      <c r="G789" s="210"/>
      <c r="H789" s="210"/>
      <c r="I789" s="210"/>
      <c r="J789" s="210"/>
      <c r="K789" s="210"/>
      <c r="L789" s="210"/>
      <c r="M789" s="210"/>
      <c r="N789" s="210"/>
      <c r="P789" s="211"/>
    </row>
    <row r="790" spans="3:16">
      <c r="C790" s="209"/>
      <c r="G790" s="210"/>
      <c r="H790" s="210"/>
      <c r="I790" s="210"/>
      <c r="J790" s="210"/>
      <c r="K790" s="210"/>
      <c r="L790" s="210"/>
      <c r="M790" s="210"/>
      <c r="N790" s="210"/>
      <c r="P790" s="211"/>
    </row>
    <row r="791" spans="3:16">
      <c r="C791" s="209"/>
      <c r="G791" s="210"/>
      <c r="H791" s="210"/>
      <c r="I791" s="210"/>
      <c r="J791" s="210"/>
      <c r="K791" s="210"/>
      <c r="L791" s="210"/>
      <c r="M791" s="210"/>
      <c r="N791" s="210"/>
      <c r="P791" s="211"/>
    </row>
    <row r="792" spans="3:16">
      <c r="C792" s="209"/>
      <c r="G792" s="210"/>
      <c r="H792" s="210"/>
      <c r="I792" s="210"/>
      <c r="J792" s="210"/>
      <c r="K792" s="210"/>
      <c r="L792" s="210"/>
      <c r="M792" s="210"/>
      <c r="N792" s="210"/>
      <c r="P792" s="211"/>
    </row>
    <row r="793" spans="3:16">
      <c r="C793" s="209"/>
      <c r="G793" s="210"/>
      <c r="H793" s="210"/>
      <c r="I793" s="210"/>
      <c r="J793" s="210"/>
      <c r="K793" s="210"/>
      <c r="L793" s="210"/>
      <c r="M793" s="210"/>
      <c r="N793" s="210"/>
      <c r="P793" s="211"/>
    </row>
    <row r="794" spans="3:16">
      <c r="C794" s="209"/>
      <c r="G794" s="210"/>
      <c r="H794" s="210"/>
      <c r="I794" s="210"/>
      <c r="J794" s="210"/>
      <c r="K794" s="210"/>
      <c r="L794" s="210"/>
      <c r="M794" s="210"/>
      <c r="N794" s="210"/>
      <c r="P794" s="211"/>
    </row>
    <row r="795" spans="3:16">
      <c r="C795" s="209"/>
      <c r="G795" s="210"/>
      <c r="H795" s="210"/>
      <c r="I795" s="210"/>
      <c r="J795" s="210"/>
      <c r="K795" s="210"/>
      <c r="L795" s="210"/>
      <c r="M795" s="210"/>
      <c r="N795" s="210"/>
      <c r="P795" s="211"/>
    </row>
    <row r="796" spans="3:16">
      <c r="C796" s="209"/>
      <c r="G796" s="210"/>
      <c r="H796" s="210"/>
      <c r="I796" s="210"/>
      <c r="J796" s="210"/>
      <c r="K796" s="210"/>
      <c r="L796" s="210"/>
      <c r="M796" s="210"/>
      <c r="N796" s="210"/>
      <c r="P796" s="211"/>
    </row>
    <row r="797" spans="3:16">
      <c r="C797" s="209"/>
      <c r="G797" s="210"/>
      <c r="H797" s="210"/>
      <c r="I797" s="210"/>
      <c r="J797" s="210"/>
      <c r="K797" s="210"/>
      <c r="L797" s="210"/>
      <c r="M797" s="210"/>
      <c r="N797" s="210"/>
      <c r="P797" s="211"/>
    </row>
    <row r="798" spans="3:16">
      <c r="C798" s="209"/>
      <c r="G798" s="210"/>
      <c r="H798" s="210"/>
      <c r="I798" s="210"/>
      <c r="J798" s="210"/>
      <c r="K798" s="210"/>
      <c r="L798" s="210"/>
      <c r="M798" s="210"/>
      <c r="N798" s="210"/>
      <c r="P798" s="211"/>
    </row>
    <row r="799" spans="3:16">
      <c r="C799" s="209"/>
      <c r="G799" s="210"/>
      <c r="H799" s="210"/>
      <c r="I799" s="210"/>
      <c r="J799" s="210"/>
      <c r="K799" s="210"/>
      <c r="L799" s="210"/>
      <c r="M799" s="210"/>
      <c r="N799" s="210"/>
      <c r="P799" s="211"/>
    </row>
    <row r="800" spans="3:16">
      <c r="C800" s="209"/>
      <c r="G800" s="210"/>
      <c r="H800" s="210"/>
      <c r="I800" s="210"/>
      <c r="J800" s="210"/>
      <c r="K800" s="210"/>
      <c r="L800" s="210"/>
      <c r="M800" s="210"/>
      <c r="N800" s="210"/>
      <c r="P800" s="211"/>
    </row>
    <row r="801" spans="3:16">
      <c r="C801" s="209"/>
      <c r="G801" s="210"/>
      <c r="H801" s="210"/>
      <c r="I801" s="210"/>
      <c r="J801" s="210"/>
      <c r="K801" s="210"/>
      <c r="L801" s="210"/>
      <c r="M801" s="210"/>
      <c r="N801" s="210"/>
      <c r="P801" s="211"/>
    </row>
    <row r="802" spans="3:16">
      <c r="C802" s="209"/>
      <c r="G802" s="210"/>
      <c r="H802" s="210"/>
      <c r="I802" s="210"/>
      <c r="J802" s="210"/>
      <c r="K802" s="210"/>
      <c r="L802" s="210"/>
      <c r="M802" s="210"/>
      <c r="N802" s="210"/>
      <c r="P802" s="211"/>
    </row>
    <row r="803" spans="3:16">
      <c r="C803" s="209"/>
      <c r="G803" s="210"/>
      <c r="H803" s="210"/>
      <c r="I803" s="210"/>
      <c r="J803" s="210"/>
      <c r="K803" s="210"/>
      <c r="L803" s="210"/>
      <c r="M803" s="210"/>
      <c r="N803" s="210"/>
      <c r="P803" s="211"/>
    </row>
    <row r="804" spans="3:16">
      <c r="C804" s="209"/>
      <c r="G804" s="210"/>
      <c r="H804" s="210"/>
      <c r="I804" s="210"/>
      <c r="J804" s="210"/>
      <c r="K804" s="210"/>
      <c r="L804" s="210"/>
      <c r="M804" s="210"/>
      <c r="N804" s="210"/>
      <c r="P804" s="211"/>
    </row>
    <row r="805" spans="3:16">
      <c r="C805" s="209"/>
      <c r="G805" s="210"/>
      <c r="H805" s="210"/>
      <c r="I805" s="210"/>
      <c r="J805" s="210"/>
      <c r="K805" s="210"/>
      <c r="L805" s="210"/>
      <c r="M805" s="210"/>
      <c r="N805" s="210"/>
      <c r="P805" s="211"/>
    </row>
    <row r="806" spans="3:16">
      <c r="C806" s="209"/>
      <c r="G806" s="210"/>
      <c r="H806" s="210"/>
      <c r="I806" s="210"/>
      <c r="J806" s="210"/>
      <c r="K806" s="210"/>
      <c r="L806" s="210"/>
      <c r="M806" s="210"/>
      <c r="N806" s="210"/>
      <c r="P806" s="211"/>
    </row>
    <row r="807" spans="3:16">
      <c r="C807" s="209"/>
      <c r="G807" s="210"/>
      <c r="H807" s="210"/>
      <c r="I807" s="210"/>
      <c r="J807" s="210"/>
      <c r="K807" s="210"/>
      <c r="L807" s="210"/>
      <c r="M807" s="210"/>
      <c r="N807" s="210"/>
      <c r="P807" s="211"/>
    </row>
    <row r="808" spans="3:16">
      <c r="C808" s="209"/>
      <c r="G808" s="210"/>
      <c r="H808" s="210"/>
      <c r="I808" s="210"/>
      <c r="J808" s="210"/>
      <c r="K808" s="210"/>
      <c r="L808" s="210"/>
      <c r="M808" s="210"/>
      <c r="N808" s="210"/>
      <c r="P808" s="211"/>
    </row>
    <row r="809" spans="3:16">
      <c r="C809" s="209"/>
      <c r="G809" s="210"/>
      <c r="H809" s="210"/>
      <c r="I809" s="210"/>
      <c r="J809" s="210"/>
      <c r="K809" s="210"/>
      <c r="L809" s="210"/>
      <c r="M809" s="210"/>
      <c r="N809" s="210"/>
      <c r="P809" s="211"/>
    </row>
    <row r="810" spans="3:16">
      <c r="C810" s="209"/>
      <c r="G810" s="210"/>
      <c r="H810" s="210"/>
      <c r="I810" s="210"/>
      <c r="J810" s="210"/>
      <c r="K810" s="210"/>
      <c r="L810" s="210"/>
      <c r="M810" s="210"/>
      <c r="N810" s="210"/>
      <c r="P810" s="211"/>
    </row>
    <row r="811" spans="3:16">
      <c r="C811" s="209"/>
      <c r="G811" s="210"/>
      <c r="H811" s="210"/>
      <c r="I811" s="210"/>
      <c r="J811" s="210"/>
      <c r="K811" s="210"/>
      <c r="L811" s="210"/>
      <c r="M811" s="210"/>
      <c r="N811" s="210"/>
      <c r="P811" s="211"/>
    </row>
    <row r="812" spans="3:16">
      <c r="C812" s="209"/>
      <c r="G812" s="210"/>
      <c r="H812" s="210"/>
      <c r="I812" s="210"/>
      <c r="J812" s="210"/>
      <c r="K812" s="210"/>
      <c r="L812" s="210"/>
      <c r="M812" s="210"/>
      <c r="N812" s="210"/>
      <c r="P812" s="211"/>
    </row>
    <row r="813" spans="3:16">
      <c r="C813" s="209"/>
      <c r="G813" s="210"/>
      <c r="H813" s="210"/>
      <c r="I813" s="210"/>
      <c r="J813" s="210"/>
      <c r="K813" s="210"/>
      <c r="L813" s="210"/>
      <c r="M813" s="210"/>
      <c r="N813" s="210"/>
      <c r="P813" s="211"/>
    </row>
    <row r="814" spans="3:16">
      <c r="C814" s="209"/>
      <c r="G814" s="210"/>
      <c r="H814" s="210"/>
      <c r="I814" s="210"/>
      <c r="J814" s="210"/>
      <c r="K814" s="210"/>
      <c r="L814" s="210"/>
      <c r="M814" s="210"/>
      <c r="N814" s="210"/>
      <c r="P814" s="211"/>
    </row>
    <row r="815" spans="3:16">
      <c r="C815" s="209"/>
      <c r="G815" s="210"/>
      <c r="H815" s="210"/>
      <c r="I815" s="210"/>
      <c r="J815" s="210"/>
      <c r="K815" s="210"/>
      <c r="L815" s="210"/>
      <c r="M815" s="210"/>
      <c r="N815" s="210"/>
      <c r="P815" s="211"/>
    </row>
    <row r="816" spans="3:16">
      <c r="C816" s="209"/>
      <c r="G816" s="210"/>
      <c r="H816" s="210"/>
      <c r="I816" s="210"/>
      <c r="J816" s="210"/>
      <c r="K816" s="210"/>
      <c r="L816" s="210"/>
      <c r="M816" s="210"/>
      <c r="N816" s="210"/>
      <c r="P816" s="211"/>
    </row>
    <row r="817" spans="3:16">
      <c r="C817" s="209"/>
      <c r="G817" s="210"/>
      <c r="H817" s="210"/>
      <c r="I817" s="210"/>
      <c r="J817" s="210"/>
      <c r="K817" s="210"/>
      <c r="L817" s="210"/>
      <c r="M817" s="210"/>
      <c r="N817" s="210"/>
      <c r="P817" s="211"/>
    </row>
    <row r="818" spans="3:16">
      <c r="C818" s="209"/>
      <c r="G818" s="210"/>
      <c r="H818" s="210"/>
      <c r="I818" s="210"/>
      <c r="J818" s="210"/>
      <c r="K818" s="210"/>
      <c r="L818" s="210"/>
      <c r="M818" s="210"/>
      <c r="N818" s="210"/>
      <c r="P818" s="211"/>
    </row>
    <row r="819" spans="3:16">
      <c r="C819" s="209"/>
      <c r="G819" s="210"/>
      <c r="H819" s="210"/>
      <c r="I819" s="210"/>
      <c r="J819" s="210"/>
      <c r="K819" s="210"/>
      <c r="L819" s="210"/>
      <c r="M819" s="210"/>
      <c r="N819" s="210"/>
      <c r="P819" s="211"/>
    </row>
    <row r="820" spans="3:16">
      <c r="C820" s="209"/>
      <c r="G820" s="210"/>
      <c r="H820" s="210"/>
      <c r="I820" s="210"/>
      <c r="J820" s="210"/>
      <c r="K820" s="210"/>
      <c r="L820" s="210"/>
      <c r="M820" s="210"/>
      <c r="N820" s="210"/>
      <c r="P820" s="211"/>
    </row>
    <row r="821" spans="3:16">
      <c r="C821" s="209"/>
      <c r="G821" s="210"/>
      <c r="H821" s="210"/>
      <c r="I821" s="210"/>
      <c r="J821" s="210"/>
      <c r="K821" s="210"/>
      <c r="L821" s="210"/>
      <c r="M821" s="210"/>
      <c r="N821" s="210"/>
      <c r="P821" s="211"/>
    </row>
    <row r="822" spans="3:16">
      <c r="C822" s="209"/>
      <c r="G822" s="210"/>
      <c r="H822" s="210"/>
      <c r="I822" s="210"/>
      <c r="J822" s="210"/>
      <c r="K822" s="210"/>
      <c r="L822" s="210"/>
      <c r="M822" s="210"/>
      <c r="N822" s="210"/>
      <c r="P822" s="211"/>
    </row>
    <row r="823" spans="3:16">
      <c r="C823" s="209"/>
      <c r="G823" s="210"/>
      <c r="H823" s="210"/>
      <c r="I823" s="210"/>
      <c r="J823" s="210"/>
      <c r="K823" s="210"/>
      <c r="L823" s="210"/>
      <c r="M823" s="210"/>
      <c r="N823" s="210"/>
      <c r="P823" s="211"/>
    </row>
    <row r="824" spans="3:16">
      <c r="C824" s="209"/>
      <c r="G824" s="210"/>
      <c r="H824" s="210"/>
      <c r="I824" s="210"/>
      <c r="J824" s="210"/>
      <c r="K824" s="210"/>
      <c r="L824" s="210"/>
      <c r="M824" s="210"/>
      <c r="N824" s="210"/>
      <c r="P824" s="211"/>
    </row>
    <row r="825" spans="3:16">
      <c r="C825" s="209"/>
      <c r="G825" s="210"/>
      <c r="H825" s="210"/>
      <c r="I825" s="210"/>
      <c r="J825" s="210"/>
      <c r="K825" s="210"/>
      <c r="L825" s="210"/>
      <c r="M825" s="210"/>
      <c r="N825" s="210"/>
      <c r="P825" s="211"/>
    </row>
    <row r="826" spans="3:16">
      <c r="C826" s="209"/>
      <c r="G826" s="210"/>
      <c r="H826" s="210"/>
      <c r="I826" s="210"/>
      <c r="J826" s="210"/>
      <c r="K826" s="210"/>
      <c r="L826" s="210"/>
      <c r="M826" s="210"/>
      <c r="N826" s="210"/>
      <c r="P826" s="211"/>
    </row>
    <row r="827" spans="3:16">
      <c r="C827" s="209"/>
      <c r="G827" s="210"/>
      <c r="H827" s="210"/>
      <c r="I827" s="210"/>
      <c r="J827" s="210"/>
      <c r="K827" s="210"/>
      <c r="L827" s="210"/>
      <c r="M827" s="210"/>
      <c r="N827" s="210"/>
      <c r="P827" s="211"/>
    </row>
    <row r="828" spans="3:16">
      <c r="C828" s="209"/>
      <c r="G828" s="210"/>
      <c r="H828" s="210"/>
      <c r="I828" s="210"/>
      <c r="J828" s="210"/>
      <c r="K828" s="210"/>
      <c r="L828" s="210"/>
      <c r="M828" s="210"/>
      <c r="N828" s="210"/>
      <c r="P828" s="211"/>
    </row>
    <row r="829" spans="3:16">
      <c r="C829" s="209"/>
      <c r="G829" s="210"/>
      <c r="H829" s="210"/>
      <c r="I829" s="210"/>
      <c r="J829" s="210"/>
      <c r="K829" s="210"/>
      <c r="L829" s="210"/>
      <c r="M829" s="210"/>
      <c r="N829" s="210"/>
      <c r="P829" s="211"/>
    </row>
    <row r="830" spans="3:16">
      <c r="C830" s="209"/>
      <c r="G830" s="210"/>
      <c r="H830" s="210"/>
      <c r="I830" s="210"/>
      <c r="J830" s="210"/>
      <c r="K830" s="210"/>
      <c r="L830" s="210"/>
      <c r="M830" s="210"/>
      <c r="N830" s="210"/>
      <c r="P830" s="211"/>
    </row>
    <row r="831" spans="3:16">
      <c r="C831" s="209"/>
      <c r="G831" s="210"/>
      <c r="H831" s="210"/>
      <c r="I831" s="210"/>
      <c r="J831" s="210"/>
      <c r="K831" s="210"/>
      <c r="L831" s="210"/>
      <c r="M831" s="210"/>
      <c r="N831" s="210"/>
      <c r="P831" s="211"/>
    </row>
    <row r="832" spans="3:16">
      <c r="C832" s="209"/>
      <c r="G832" s="210"/>
      <c r="H832" s="210"/>
      <c r="I832" s="210"/>
      <c r="J832" s="210"/>
      <c r="K832" s="210"/>
      <c r="L832" s="210"/>
      <c r="M832" s="210"/>
      <c r="N832" s="210"/>
      <c r="P832" s="211"/>
    </row>
    <row r="833" spans="3:16">
      <c r="C833" s="209"/>
      <c r="G833" s="210"/>
      <c r="H833" s="210"/>
      <c r="I833" s="210"/>
      <c r="J833" s="210"/>
      <c r="K833" s="210"/>
      <c r="L833" s="210"/>
      <c r="M833" s="210"/>
      <c r="N833" s="210"/>
      <c r="P833" s="211"/>
    </row>
    <row r="834" spans="3:16">
      <c r="C834" s="209"/>
      <c r="G834" s="210"/>
      <c r="H834" s="210"/>
      <c r="I834" s="210"/>
      <c r="J834" s="210"/>
      <c r="K834" s="210"/>
      <c r="L834" s="210"/>
      <c r="M834" s="210"/>
      <c r="N834" s="210"/>
      <c r="P834" s="211"/>
    </row>
    <row r="835" spans="3:16">
      <c r="C835" s="209"/>
      <c r="G835" s="210"/>
      <c r="H835" s="210"/>
      <c r="I835" s="210"/>
      <c r="J835" s="210"/>
      <c r="K835" s="210"/>
      <c r="L835" s="210"/>
      <c r="M835" s="210"/>
      <c r="N835" s="210"/>
      <c r="P835" s="211"/>
    </row>
    <row r="836" spans="3:16">
      <c r="C836" s="209"/>
      <c r="G836" s="210"/>
      <c r="H836" s="210"/>
      <c r="I836" s="210"/>
      <c r="J836" s="210"/>
      <c r="K836" s="210"/>
      <c r="L836" s="210"/>
      <c r="M836" s="210"/>
      <c r="N836" s="210"/>
      <c r="P836" s="211"/>
    </row>
    <row r="837" spans="3:16">
      <c r="C837" s="209"/>
      <c r="G837" s="210"/>
      <c r="H837" s="210"/>
      <c r="I837" s="210"/>
      <c r="J837" s="210"/>
      <c r="K837" s="210"/>
      <c r="L837" s="210"/>
      <c r="M837" s="210"/>
      <c r="N837" s="210"/>
      <c r="P837" s="211"/>
    </row>
    <row r="838" spans="3:16">
      <c r="C838" s="209"/>
      <c r="G838" s="210"/>
      <c r="H838" s="210"/>
      <c r="I838" s="210"/>
      <c r="J838" s="210"/>
      <c r="K838" s="210"/>
      <c r="L838" s="210"/>
      <c r="M838" s="210"/>
      <c r="N838" s="210"/>
      <c r="P838" s="211"/>
    </row>
    <row r="839" spans="3:16">
      <c r="C839" s="209"/>
      <c r="G839" s="210"/>
      <c r="H839" s="210"/>
      <c r="I839" s="210"/>
      <c r="J839" s="210"/>
      <c r="K839" s="210"/>
      <c r="L839" s="210"/>
      <c r="M839" s="210"/>
      <c r="N839" s="210"/>
      <c r="P839" s="211"/>
    </row>
    <row r="840" spans="3:16">
      <c r="C840" s="209"/>
      <c r="G840" s="210"/>
      <c r="H840" s="210"/>
      <c r="I840" s="210"/>
      <c r="J840" s="210"/>
      <c r="K840" s="210"/>
      <c r="L840" s="210"/>
      <c r="M840" s="210"/>
      <c r="N840" s="210"/>
      <c r="P840" s="211"/>
    </row>
    <row r="841" spans="3:16">
      <c r="C841" s="209"/>
      <c r="G841" s="210"/>
      <c r="H841" s="210"/>
      <c r="I841" s="210"/>
      <c r="J841" s="210"/>
      <c r="K841" s="210"/>
      <c r="L841" s="210"/>
      <c r="M841" s="210"/>
      <c r="N841" s="210"/>
      <c r="P841" s="211"/>
    </row>
    <row r="842" spans="3:16">
      <c r="C842" s="209"/>
      <c r="G842" s="210"/>
      <c r="H842" s="210"/>
      <c r="I842" s="210"/>
      <c r="J842" s="210"/>
      <c r="K842" s="210"/>
      <c r="L842" s="210"/>
      <c r="M842" s="210"/>
      <c r="N842" s="210"/>
      <c r="P842" s="211"/>
    </row>
    <row r="843" spans="3:16">
      <c r="C843" s="209"/>
      <c r="G843" s="210"/>
      <c r="H843" s="210"/>
      <c r="I843" s="210"/>
      <c r="J843" s="210"/>
      <c r="K843" s="210"/>
      <c r="L843" s="210"/>
      <c r="M843" s="210"/>
      <c r="N843" s="210"/>
      <c r="P843" s="211"/>
    </row>
    <row r="844" spans="3:16">
      <c r="C844" s="209"/>
      <c r="G844" s="210"/>
      <c r="H844" s="210"/>
      <c r="I844" s="210"/>
      <c r="J844" s="210"/>
      <c r="K844" s="210"/>
      <c r="L844" s="210"/>
      <c r="M844" s="210"/>
      <c r="N844" s="210"/>
      <c r="P844" s="211"/>
    </row>
    <row r="845" spans="3:16">
      <c r="C845" s="209"/>
      <c r="G845" s="210"/>
      <c r="H845" s="210"/>
      <c r="I845" s="210"/>
      <c r="J845" s="210"/>
      <c r="K845" s="210"/>
      <c r="L845" s="210"/>
      <c r="M845" s="210"/>
      <c r="N845" s="210"/>
      <c r="P845" s="211"/>
    </row>
    <row r="846" spans="3:16">
      <c r="C846" s="209"/>
      <c r="G846" s="210"/>
      <c r="H846" s="210"/>
      <c r="I846" s="210"/>
      <c r="J846" s="210"/>
      <c r="K846" s="210"/>
      <c r="L846" s="210"/>
      <c r="M846" s="210"/>
      <c r="N846" s="210"/>
      <c r="P846" s="211"/>
    </row>
    <row r="847" spans="3:16">
      <c r="C847" s="209"/>
      <c r="G847" s="210"/>
      <c r="H847" s="210"/>
      <c r="I847" s="210"/>
      <c r="J847" s="210"/>
      <c r="K847" s="210"/>
      <c r="L847" s="210"/>
      <c r="M847" s="210"/>
      <c r="N847" s="210"/>
      <c r="P847" s="211"/>
    </row>
    <row r="848" spans="3:16">
      <c r="C848" s="209"/>
      <c r="G848" s="210"/>
      <c r="H848" s="210"/>
      <c r="I848" s="210"/>
      <c r="J848" s="210"/>
      <c r="K848" s="210"/>
      <c r="L848" s="210"/>
      <c r="M848" s="210"/>
      <c r="N848" s="210"/>
      <c r="P848" s="211"/>
    </row>
    <row r="849" spans="3:16">
      <c r="C849" s="209"/>
      <c r="G849" s="210"/>
      <c r="H849" s="210"/>
      <c r="I849" s="210"/>
      <c r="J849" s="210"/>
      <c r="K849" s="210"/>
      <c r="L849" s="210"/>
      <c r="M849" s="210"/>
      <c r="N849" s="210"/>
      <c r="P849" s="211"/>
    </row>
    <row r="850" spans="3:16">
      <c r="C850" s="209"/>
      <c r="G850" s="210"/>
      <c r="H850" s="210"/>
      <c r="I850" s="210"/>
      <c r="J850" s="210"/>
      <c r="K850" s="210"/>
      <c r="L850" s="210"/>
      <c r="M850" s="210"/>
      <c r="N850" s="210"/>
      <c r="P850" s="211"/>
    </row>
    <row r="851" spans="3:16">
      <c r="C851" s="209"/>
      <c r="G851" s="210"/>
      <c r="H851" s="210"/>
      <c r="I851" s="210"/>
      <c r="J851" s="210"/>
      <c r="K851" s="210"/>
      <c r="L851" s="210"/>
      <c r="M851" s="210"/>
      <c r="N851" s="210"/>
      <c r="P851" s="211"/>
    </row>
    <row r="852" spans="3:16">
      <c r="C852" s="209"/>
      <c r="G852" s="210"/>
      <c r="H852" s="210"/>
      <c r="I852" s="210"/>
      <c r="J852" s="210"/>
      <c r="K852" s="210"/>
      <c r="L852" s="210"/>
      <c r="M852" s="210"/>
      <c r="N852" s="210"/>
      <c r="P852" s="211"/>
    </row>
    <row r="853" spans="3:16">
      <c r="C853" s="209"/>
      <c r="G853" s="210"/>
      <c r="H853" s="210"/>
      <c r="I853" s="210"/>
      <c r="J853" s="210"/>
      <c r="K853" s="210"/>
      <c r="L853" s="210"/>
      <c r="M853" s="210"/>
      <c r="N853" s="210"/>
      <c r="P853" s="211"/>
    </row>
    <row r="854" spans="3:16">
      <c r="C854" s="209"/>
      <c r="G854" s="210"/>
      <c r="H854" s="210"/>
      <c r="I854" s="210"/>
      <c r="J854" s="210"/>
      <c r="K854" s="210"/>
      <c r="L854" s="210"/>
      <c r="M854" s="210"/>
      <c r="N854" s="210"/>
      <c r="P854" s="211"/>
    </row>
    <row r="855" spans="3:16">
      <c r="C855" s="209"/>
      <c r="G855" s="210"/>
      <c r="H855" s="210"/>
      <c r="I855" s="210"/>
      <c r="J855" s="210"/>
      <c r="K855" s="210"/>
      <c r="L855" s="210"/>
      <c r="M855" s="210"/>
      <c r="N855" s="210"/>
      <c r="P855" s="211"/>
    </row>
    <row r="856" spans="3:16">
      <c r="C856" s="209"/>
      <c r="G856" s="210"/>
      <c r="H856" s="210"/>
      <c r="I856" s="210"/>
      <c r="J856" s="210"/>
      <c r="K856" s="210"/>
      <c r="L856" s="210"/>
      <c r="M856" s="210"/>
      <c r="N856" s="210"/>
      <c r="P856" s="211"/>
    </row>
    <row r="857" spans="3:16">
      <c r="C857" s="209"/>
      <c r="G857" s="210"/>
      <c r="H857" s="210"/>
      <c r="I857" s="210"/>
      <c r="J857" s="210"/>
      <c r="K857" s="210"/>
      <c r="L857" s="210"/>
      <c r="M857" s="210"/>
      <c r="N857" s="210"/>
      <c r="P857" s="211"/>
    </row>
    <row r="858" spans="3:16">
      <c r="C858" s="209"/>
      <c r="G858" s="210"/>
      <c r="H858" s="210"/>
      <c r="I858" s="210"/>
      <c r="J858" s="210"/>
      <c r="K858" s="210"/>
      <c r="L858" s="210"/>
      <c r="M858" s="210"/>
      <c r="N858" s="210"/>
      <c r="P858" s="211"/>
    </row>
    <row r="859" spans="3:16">
      <c r="C859" s="209"/>
      <c r="G859" s="210"/>
      <c r="H859" s="210"/>
      <c r="I859" s="210"/>
      <c r="J859" s="210"/>
      <c r="K859" s="210"/>
      <c r="L859" s="210"/>
      <c r="M859" s="210"/>
      <c r="N859" s="210"/>
      <c r="P859" s="211"/>
    </row>
    <row r="860" spans="3:16">
      <c r="C860" s="209"/>
      <c r="G860" s="210"/>
      <c r="H860" s="210"/>
      <c r="I860" s="210"/>
      <c r="J860" s="210"/>
      <c r="K860" s="210"/>
      <c r="L860" s="210"/>
      <c r="M860" s="210"/>
      <c r="N860" s="210"/>
      <c r="P860" s="211"/>
    </row>
    <row r="861" spans="3:16">
      <c r="C861" s="209"/>
      <c r="G861" s="210"/>
      <c r="H861" s="210"/>
      <c r="I861" s="210"/>
      <c r="J861" s="210"/>
      <c r="K861" s="210"/>
      <c r="L861" s="210"/>
      <c r="M861" s="210"/>
      <c r="N861" s="210"/>
      <c r="P861" s="211"/>
    </row>
    <row r="862" spans="3:16">
      <c r="C862" s="209"/>
      <c r="G862" s="210"/>
      <c r="H862" s="210"/>
      <c r="I862" s="210"/>
      <c r="J862" s="210"/>
      <c r="K862" s="210"/>
      <c r="L862" s="210"/>
      <c r="M862" s="210"/>
      <c r="N862" s="210"/>
      <c r="P862" s="211"/>
    </row>
    <row r="863" spans="3:16">
      <c r="C863" s="209"/>
      <c r="G863" s="210"/>
      <c r="H863" s="210"/>
      <c r="I863" s="210"/>
      <c r="J863" s="210"/>
      <c r="K863" s="210"/>
      <c r="L863" s="210"/>
      <c r="M863" s="210"/>
      <c r="N863" s="210"/>
      <c r="P863" s="211"/>
    </row>
    <row r="864" spans="3:16">
      <c r="C864" s="209"/>
      <c r="G864" s="210"/>
      <c r="H864" s="210"/>
      <c r="I864" s="210"/>
      <c r="J864" s="210"/>
      <c r="K864" s="210"/>
      <c r="L864" s="210"/>
      <c r="M864" s="210"/>
      <c r="N864" s="210"/>
      <c r="P864" s="211"/>
    </row>
    <row r="865" spans="3:16">
      <c r="C865" s="209"/>
      <c r="G865" s="210"/>
      <c r="H865" s="210"/>
      <c r="I865" s="210"/>
      <c r="J865" s="210"/>
      <c r="K865" s="210"/>
      <c r="L865" s="210"/>
      <c r="M865" s="210"/>
      <c r="N865" s="210"/>
      <c r="P865" s="211"/>
    </row>
    <row r="866" spans="3:16">
      <c r="C866" s="209"/>
      <c r="G866" s="210"/>
      <c r="H866" s="210"/>
      <c r="I866" s="210"/>
      <c r="J866" s="210"/>
      <c r="K866" s="210"/>
      <c r="L866" s="210"/>
      <c r="M866" s="210"/>
      <c r="N866" s="210"/>
      <c r="P866" s="211"/>
    </row>
    <row r="867" spans="3:16">
      <c r="C867" s="209"/>
      <c r="G867" s="210"/>
      <c r="H867" s="210"/>
      <c r="I867" s="210"/>
      <c r="J867" s="210"/>
      <c r="K867" s="210"/>
      <c r="L867" s="210"/>
      <c r="M867" s="210"/>
      <c r="N867" s="210"/>
      <c r="P867" s="211"/>
    </row>
    <row r="868" spans="3:16">
      <c r="C868" s="209"/>
      <c r="G868" s="210"/>
      <c r="H868" s="210"/>
      <c r="I868" s="210"/>
      <c r="J868" s="210"/>
      <c r="K868" s="210"/>
      <c r="L868" s="210"/>
      <c r="M868" s="210"/>
      <c r="N868" s="210"/>
      <c r="P868" s="211"/>
    </row>
    <row r="869" spans="3:16">
      <c r="C869" s="209"/>
      <c r="G869" s="210"/>
      <c r="H869" s="210"/>
      <c r="I869" s="210"/>
      <c r="J869" s="210"/>
      <c r="K869" s="210"/>
      <c r="L869" s="210"/>
      <c r="M869" s="210"/>
      <c r="N869" s="210"/>
      <c r="P869" s="211"/>
    </row>
    <row r="870" spans="3:16">
      <c r="C870" s="209"/>
      <c r="G870" s="210"/>
      <c r="H870" s="210"/>
      <c r="I870" s="210"/>
      <c r="J870" s="210"/>
      <c r="K870" s="210"/>
      <c r="L870" s="210"/>
      <c r="M870" s="210"/>
      <c r="N870" s="210"/>
      <c r="P870" s="211"/>
    </row>
    <row r="871" spans="3:16">
      <c r="C871" s="209"/>
      <c r="G871" s="210"/>
      <c r="H871" s="210"/>
      <c r="I871" s="210"/>
      <c r="J871" s="210"/>
      <c r="K871" s="210"/>
      <c r="L871" s="210"/>
      <c r="M871" s="210"/>
      <c r="N871" s="210"/>
      <c r="P871" s="211"/>
    </row>
    <row r="872" spans="3:16">
      <c r="C872" s="209"/>
      <c r="G872" s="210"/>
      <c r="H872" s="210"/>
      <c r="I872" s="210"/>
      <c r="J872" s="210"/>
      <c r="K872" s="210"/>
      <c r="L872" s="210"/>
      <c r="M872" s="210"/>
      <c r="N872" s="210"/>
      <c r="P872" s="211"/>
    </row>
    <row r="873" spans="3:16">
      <c r="C873" s="209"/>
      <c r="G873" s="210"/>
      <c r="H873" s="210"/>
      <c r="I873" s="210"/>
      <c r="J873" s="210"/>
      <c r="K873" s="210"/>
      <c r="L873" s="210"/>
      <c r="M873" s="210"/>
      <c r="N873" s="210"/>
      <c r="P873" s="211"/>
    </row>
    <row r="874" spans="3:16">
      <c r="C874" s="209"/>
      <c r="G874" s="210"/>
      <c r="H874" s="210"/>
      <c r="I874" s="210"/>
      <c r="J874" s="210"/>
      <c r="K874" s="210"/>
      <c r="L874" s="210"/>
      <c r="M874" s="210"/>
      <c r="N874" s="210"/>
      <c r="P874" s="211"/>
    </row>
    <row r="875" spans="3:16">
      <c r="C875" s="209"/>
      <c r="G875" s="210"/>
      <c r="H875" s="210"/>
      <c r="I875" s="210"/>
      <c r="J875" s="210"/>
      <c r="K875" s="210"/>
      <c r="L875" s="210"/>
      <c r="M875" s="210"/>
      <c r="N875" s="210"/>
      <c r="P875" s="211"/>
    </row>
    <row r="876" spans="3:16">
      <c r="C876" s="209"/>
      <c r="G876" s="210"/>
      <c r="H876" s="210"/>
      <c r="I876" s="210"/>
      <c r="J876" s="210"/>
      <c r="K876" s="210"/>
      <c r="L876" s="210"/>
      <c r="M876" s="210"/>
      <c r="N876" s="210"/>
      <c r="P876" s="211"/>
    </row>
    <row r="877" spans="3:16">
      <c r="C877" s="209"/>
      <c r="G877" s="210"/>
      <c r="H877" s="210"/>
      <c r="I877" s="210"/>
      <c r="J877" s="210"/>
      <c r="K877" s="210"/>
      <c r="L877" s="210"/>
      <c r="M877" s="210"/>
      <c r="N877" s="210"/>
      <c r="P877" s="211"/>
    </row>
    <row r="878" spans="3:16">
      <c r="C878" s="209"/>
      <c r="G878" s="210"/>
      <c r="H878" s="210"/>
      <c r="I878" s="210"/>
      <c r="J878" s="210"/>
      <c r="K878" s="210"/>
      <c r="L878" s="210"/>
      <c r="M878" s="210"/>
      <c r="N878" s="210"/>
      <c r="P878" s="211"/>
    </row>
    <row r="879" spans="3:16">
      <c r="C879" s="209"/>
      <c r="G879" s="210"/>
      <c r="H879" s="210"/>
      <c r="I879" s="210"/>
      <c r="J879" s="210"/>
      <c r="K879" s="210"/>
      <c r="L879" s="210"/>
      <c r="M879" s="210"/>
      <c r="N879" s="210"/>
      <c r="P879" s="211"/>
    </row>
    <row r="880" spans="3:16">
      <c r="C880" s="209"/>
      <c r="G880" s="210"/>
      <c r="H880" s="210"/>
      <c r="I880" s="210"/>
      <c r="J880" s="210"/>
      <c r="K880" s="210"/>
      <c r="L880" s="210"/>
      <c r="M880" s="210"/>
      <c r="N880" s="210"/>
      <c r="P880" s="211"/>
    </row>
    <row r="881" spans="3:16">
      <c r="C881" s="209"/>
      <c r="G881" s="210"/>
      <c r="H881" s="210"/>
      <c r="I881" s="210"/>
      <c r="J881" s="210"/>
      <c r="K881" s="210"/>
      <c r="L881" s="210"/>
      <c r="M881" s="210"/>
      <c r="N881" s="210"/>
      <c r="P881" s="211"/>
    </row>
    <row r="882" spans="3:16">
      <c r="C882" s="209"/>
      <c r="G882" s="210"/>
      <c r="H882" s="210"/>
      <c r="I882" s="210"/>
      <c r="J882" s="210"/>
      <c r="K882" s="210"/>
      <c r="L882" s="210"/>
      <c r="M882" s="210"/>
      <c r="N882" s="210"/>
      <c r="P882" s="211"/>
    </row>
    <row r="883" spans="3:16">
      <c r="C883" s="209"/>
      <c r="G883" s="210"/>
      <c r="H883" s="210"/>
      <c r="I883" s="210"/>
      <c r="J883" s="210"/>
      <c r="K883" s="210"/>
      <c r="L883" s="210"/>
      <c r="M883" s="210"/>
      <c r="N883" s="210"/>
      <c r="P883" s="211"/>
    </row>
    <row r="884" spans="3:16">
      <c r="C884" s="209"/>
      <c r="G884" s="210"/>
      <c r="H884" s="210"/>
      <c r="I884" s="210"/>
      <c r="J884" s="210"/>
      <c r="K884" s="210"/>
      <c r="L884" s="210"/>
      <c r="M884" s="210"/>
      <c r="N884" s="210"/>
      <c r="P884" s="211"/>
    </row>
    <row r="885" spans="3:16">
      <c r="C885" s="209"/>
      <c r="G885" s="210"/>
      <c r="H885" s="210"/>
      <c r="I885" s="210"/>
      <c r="J885" s="210"/>
      <c r="K885" s="210"/>
      <c r="L885" s="210"/>
      <c r="M885" s="210"/>
      <c r="N885" s="210"/>
      <c r="P885" s="211"/>
    </row>
    <row r="886" spans="3:16">
      <c r="C886" s="209"/>
      <c r="G886" s="210"/>
      <c r="H886" s="210"/>
      <c r="I886" s="210"/>
      <c r="J886" s="210"/>
      <c r="K886" s="210"/>
      <c r="L886" s="210"/>
      <c r="M886" s="210"/>
      <c r="N886" s="210"/>
      <c r="P886" s="211"/>
    </row>
    <row r="887" spans="3:16">
      <c r="C887" s="209"/>
      <c r="G887" s="210"/>
      <c r="H887" s="210"/>
      <c r="I887" s="210"/>
      <c r="J887" s="210"/>
      <c r="K887" s="210"/>
      <c r="L887" s="210"/>
      <c r="M887" s="210"/>
      <c r="N887" s="210"/>
      <c r="P887" s="211"/>
    </row>
    <row r="888" spans="3:16">
      <c r="C888" s="209"/>
      <c r="G888" s="210"/>
      <c r="H888" s="210"/>
      <c r="I888" s="210"/>
      <c r="J888" s="210"/>
      <c r="K888" s="210"/>
      <c r="L888" s="210"/>
      <c r="M888" s="210"/>
      <c r="N888" s="210"/>
      <c r="P888" s="211"/>
    </row>
    <row r="889" spans="3:16">
      <c r="C889" s="209"/>
      <c r="G889" s="210"/>
      <c r="H889" s="210"/>
      <c r="I889" s="210"/>
      <c r="J889" s="210"/>
      <c r="K889" s="210"/>
      <c r="L889" s="210"/>
      <c r="M889" s="210"/>
      <c r="N889" s="210"/>
      <c r="P889" s="211"/>
    </row>
    <row r="890" spans="3:16">
      <c r="C890" s="209"/>
      <c r="G890" s="210"/>
      <c r="H890" s="210"/>
      <c r="I890" s="210"/>
      <c r="J890" s="210"/>
      <c r="K890" s="210"/>
      <c r="L890" s="210"/>
      <c r="M890" s="210"/>
      <c r="N890" s="210"/>
      <c r="P890" s="211"/>
    </row>
    <row r="891" spans="3:16">
      <c r="C891" s="209"/>
      <c r="G891" s="210"/>
      <c r="H891" s="210"/>
      <c r="I891" s="210"/>
      <c r="J891" s="210"/>
      <c r="K891" s="210"/>
      <c r="L891" s="210"/>
      <c r="M891" s="210"/>
      <c r="N891" s="210"/>
      <c r="P891" s="211"/>
    </row>
    <row r="892" spans="3:16">
      <c r="C892" s="209"/>
      <c r="G892" s="210"/>
      <c r="H892" s="210"/>
      <c r="I892" s="210"/>
      <c r="J892" s="210"/>
      <c r="K892" s="210"/>
      <c r="L892" s="210"/>
      <c r="M892" s="210"/>
      <c r="N892" s="210"/>
      <c r="P892" s="211"/>
    </row>
    <row r="893" spans="3:16">
      <c r="C893" s="209"/>
      <c r="G893" s="210"/>
      <c r="H893" s="210"/>
      <c r="I893" s="210"/>
      <c r="J893" s="210"/>
      <c r="K893" s="210"/>
      <c r="L893" s="210"/>
      <c r="M893" s="210"/>
      <c r="N893" s="210"/>
      <c r="P893" s="211"/>
    </row>
    <row r="894" spans="3:16">
      <c r="C894" s="209"/>
      <c r="G894" s="210"/>
      <c r="H894" s="210"/>
      <c r="I894" s="210"/>
      <c r="J894" s="210"/>
      <c r="K894" s="210"/>
      <c r="L894" s="210"/>
      <c r="M894" s="210"/>
      <c r="N894" s="210"/>
      <c r="P894" s="211"/>
    </row>
    <row r="895" spans="3:16">
      <c r="C895" s="209"/>
      <c r="G895" s="210"/>
      <c r="H895" s="210"/>
      <c r="I895" s="210"/>
      <c r="J895" s="210"/>
      <c r="K895" s="210"/>
      <c r="L895" s="210"/>
      <c r="M895" s="210"/>
      <c r="N895" s="210"/>
      <c r="P895" s="211"/>
    </row>
    <row r="896" spans="3:16">
      <c r="C896" s="209"/>
      <c r="G896" s="210"/>
      <c r="H896" s="210"/>
      <c r="I896" s="210"/>
      <c r="J896" s="210"/>
      <c r="K896" s="210"/>
      <c r="L896" s="210"/>
      <c r="M896" s="210"/>
      <c r="N896" s="210"/>
      <c r="P896" s="211"/>
    </row>
    <row r="897" spans="3:16">
      <c r="C897" s="209"/>
      <c r="G897" s="210"/>
      <c r="H897" s="210"/>
      <c r="I897" s="210"/>
      <c r="J897" s="210"/>
      <c r="K897" s="210"/>
      <c r="L897" s="210"/>
      <c r="M897" s="210"/>
      <c r="N897" s="210"/>
      <c r="P897" s="211"/>
    </row>
    <row r="898" spans="3:16">
      <c r="C898" s="209"/>
      <c r="G898" s="210"/>
      <c r="H898" s="210"/>
      <c r="I898" s="210"/>
      <c r="J898" s="210"/>
      <c r="K898" s="210"/>
      <c r="L898" s="210"/>
      <c r="M898" s="210"/>
      <c r="N898" s="210"/>
      <c r="P898" s="211"/>
    </row>
    <row r="899" spans="3:16">
      <c r="C899" s="209"/>
      <c r="G899" s="210"/>
      <c r="H899" s="210"/>
      <c r="I899" s="210"/>
      <c r="J899" s="210"/>
      <c r="K899" s="210"/>
      <c r="L899" s="210"/>
      <c r="M899" s="210"/>
      <c r="N899" s="210"/>
      <c r="P899" s="211"/>
    </row>
    <row r="900" spans="3:16">
      <c r="C900" s="209"/>
      <c r="G900" s="210"/>
      <c r="H900" s="210"/>
      <c r="I900" s="210"/>
      <c r="J900" s="210"/>
      <c r="K900" s="210"/>
      <c r="L900" s="210"/>
      <c r="M900" s="210"/>
      <c r="N900" s="210"/>
      <c r="P900" s="211"/>
    </row>
    <row r="901" spans="3:16">
      <c r="C901" s="209"/>
      <c r="G901" s="210"/>
      <c r="H901" s="210"/>
      <c r="I901" s="210"/>
      <c r="J901" s="210"/>
      <c r="K901" s="210"/>
      <c r="L901" s="210"/>
      <c r="M901" s="210"/>
      <c r="N901" s="210"/>
      <c r="P901" s="211"/>
    </row>
    <row r="902" spans="3:16">
      <c r="C902" s="209"/>
      <c r="G902" s="210"/>
      <c r="H902" s="210"/>
      <c r="I902" s="210"/>
      <c r="J902" s="210"/>
      <c r="K902" s="210"/>
      <c r="L902" s="210"/>
      <c r="M902" s="210"/>
      <c r="N902" s="210"/>
      <c r="P902" s="211"/>
    </row>
    <row r="903" spans="3:16">
      <c r="C903" s="209"/>
      <c r="G903" s="210"/>
      <c r="H903" s="210"/>
      <c r="I903" s="210"/>
      <c r="J903" s="210"/>
      <c r="K903" s="210"/>
      <c r="L903" s="210"/>
      <c r="M903" s="210"/>
      <c r="N903" s="210"/>
      <c r="P903" s="211"/>
    </row>
    <row r="904" spans="3:16">
      <c r="C904" s="209"/>
      <c r="G904" s="210"/>
      <c r="H904" s="210"/>
      <c r="I904" s="210"/>
      <c r="J904" s="210"/>
      <c r="K904" s="210"/>
      <c r="L904" s="210"/>
      <c r="M904" s="210"/>
      <c r="N904" s="210"/>
      <c r="P904" s="211"/>
    </row>
    <row r="905" spans="3:16">
      <c r="C905" s="209"/>
      <c r="G905" s="210"/>
      <c r="H905" s="210"/>
      <c r="I905" s="210"/>
      <c r="J905" s="210"/>
      <c r="K905" s="210"/>
      <c r="L905" s="210"/>
      <c r="M905" s="210"/>
      <c r="N905" s="210"/>
      <c r="P905" s="211"/>
    </row>
    <row r="906" spans="3:16">
      <c r="C906" s="209"/>
      <c r="G906" s="210"/>
      <c r="H906" s="210"/>
      <c r="I906" s="210"/>
      <c r="J906" s="210"/>
      <c r="K906" s="210"/>
      <c r="L906" s="210"/>
      <c r="M906" s="210"/>
      <c r="N906" s="210"/>
      <c r="P906" s="211"/>
    </row>
    <row r="907" spans="3:16">
      <c r="C907" s="209"/>
      <c r="G907" s="210"/>
      <c r="H907" s="210"/>
      <c r="I907" s="210"/>
      <c r="J907" s="210"/>
      <c r="K907" s="210"/>
      <c r="L907" s="210"/>
      <c r="M907" s="210"/>
      <c r="N907" s="210"/>
      <c r="P907" s="211"/>
    </row>
    <row r="908" spans="3:16">
      <c r="C908" s="209"/>
      <c r="G908" s="210"/>
      <c r="H908" s="210"/>
      <c r="I908" s="210"/>
      <c r="J908" s="210"/>
      <c r="K908" s="210"/>
      <c r="L908" s="210"/>
      <c r="M908" s="210"/>
      <c r="N908" s="210"/>
      <c r="P908" s="211"/>
    </row>
    <row r="909" spans="3:16">
      <c r="C909" s="209"/>
      <c r="G909" s="210"/>
      <c r="H909" s="210"/>
      <c r="I909" s="210"/>
      <c r="J909" s="210"/>
      <c r="K909" s="210"/>
      <c r="L909" s="210"/>
      <c r="M909" s="210"/>
      <c r="N909" s="210"/>
      <c r="P909" s="211"/>
    </row>
    <row r="910" spans="3:16">
      <c r="C910" s="209"/>
      <c r="G910" s="210"/>
      <c r="H910" s="210"/>
      <c r="I910" s="210"/>
      <c r="J910" s="210"/>
      <c r="K910" s="210"/>
      <c r="L910" s="210"/>
      <c r="M910" s="210"/>
      <c r="N910" s="210"/>
      <c r="P910" s="211"/>
    </row>
    <row r="911" spans="3:16">
      <c r="C911" s="209"/>
      <c r="G911" s="210"/>
      <c r="H911" s="210"/>
      <c r="I911" s="210"/>
      <c r="J911" s="210"/>
      <c r="K911" s="210"/>
      <c r="L911" s="210"/>
      <c r="M911" s="210"/>
      <c r="N911" s="210"/>
      <c r="P911" s="211"/>
    </row>
    <row r="912" spans="3:16">
      <c r="C912" s="209"/>
      <c r="G912" s="210"/>
      <c r="H912" s="210"/>
      <c r="I912" s="210"/>
      <c r="J912" s="210"/>
      <c r="K912" s="210"/>
      <c r="L912" s="210"/>
      <c r="M912" s="210"/>
      <c r="N912" s="210"/>
      <c r="P912" s="211"/>
    </row>
    <row r="913" spans="3:16">
      <c r="C913" s="209"/>
      <c r="G913" s="210"/>
      <c r="H913" s="210"/>
      <c r="I913" s="210"/>
      <c r="J913" s="210"/>
      <c r="K913" s="210"/>
      <c r="L913" s="210"/>
      <c r="M913" s="210"/>
      <c r="N913" s="210"/>
      <c r="P913" s="211"/>
    </row>
    <row r="914" spans="3:16">
      <c r="C914" s="209"/>
      <c r="G914" s="210"/>
      <c r="H914" s="210"/>
      <c r="I914" s="210"/>
      <c r="J914" s="210"/>
      <c r="K914" s="210"/>
      <c r="L914" s="210"/>
      <c r="M914" s="210"/>
      <c r="N914" s="210"/>
      <c r="P914" s="211"/>
    </row>
    <row r="915" spans="3:16">
      <c r="C915" s="209"/>
      <c r="G915" s="210"/>
      <c r="H915" s="210"/>
      <c r="I915" s="210"/>
      <c r="J915" s="210"/>
      <c r="K915" s="210"/>
      <c r="L915" s="210"/>
      <c r="M915" s="210"/>
      <c r="N915" s="210"/>
      <c r="P915" s="211"/>
    </row>
    <row r="916" spans="3:16">
      <c r="C916" s="209"/>
      <c r="G916" s="210"/>
      <c r="H916" s="210"/>
      <c r="I916" s="210"/>
      <c r="J916" s="210"/>
      <c r="K916" s="210"/>
      <c r="L916" s="210"/>
      <c r="M916" s="210"/>
      <c r="N916" s="210"/>
      <c r="P916" s="211"/>
    </row>
    <row r="917" spans="3:16">
      <c r="C917" s="209"/>
      <c r="G917" s="210"/>
      <c r="H917" s="210"/>
      <c r="I917" s="210"/>
      <c r="J917" s="210"/>
      <c r="K917" s="210"/>
      <c r="L917" s="210"/>
      <c r="M917" s="210"/>
      <c r="N917" s="210"/>
      <c r="P917" s="211"/>
    </row>
    <row r="918" spans="3:16">
      <c r="C918" s="209"/>
      <c r="G918" s="210"/>
      <c r="H918" s="210"/>
      <c r="I918" s="210"/>
      <c r="J918" s="210"/>
      <c r="K918" s="210"/>
      <c r="L918" s="210"/>
      <c r="M918" s="210"/>
      <c r="N918" s="210"/>
      <c r="P918" s="211"/>
    </row>
    <row r="919" spans="3:16">
      <c r="C919" s="209"/>
      <c r="G919" s="210"/>
      <c r="H919" s="210"/>
      <c r="I919" s="210"/>
      <c r="J919" s="210"/>
      <c r="K919" s="210"/>
      <c r="L919" s="210"/>
      <c r="M919" s="210"/>
      <c r="N919" s="210"/>
      <c r="P919" s="211"/>
    </row>
    <row r="920" spans="3:16">
      <c r="C920" s="209"/>
      <c r="G920" s="210"/>
      <c r="H920" s="210"/>
      <c r="I920" s="210"/>
      <c r="J920" s="210"/>
      <c r="K920" s="210"/>
      <c r="L920" s="210"/>
      <c r="M920" s="210"/>
      <c r="N920" s="210"/>
      <c r="P920" s="211"/>
    </row>
    <row r="921" spans="3:16">
      <c r="C921" s="209"/>
      <c r="G921" s="210"/>
      <c r="H921" s="210"/>
      <c r="I921" s="210"/>
      <c r="J921" s="210"/>
      <c r="K921" s="210"/>
      <c r="L921" s="210"/>
      <c r="M921" s="210"/>
      <c r="N921" s="210"/>
      <c r="P921" s="211"/>
    </row>
    <row r="922" spans="3:16">
      <c r="C922" s="209"/>
      <c r="G922" s="210"/>
      <c r="H922" s="210"/>
      <c r="I922" s="210"/>
      <c r="J922" s="210"/>
      <c r="K922" s="210"/>
      <c r="L922" s="210"/>
      <c r="M922" s="210"/>
      <c r="N922" s="210"/>
      <c r="P922" s="211"/>
    </row>
    <row r="923" spans="3:16">
      <c r="C923" s="209"/>
      <c r="G923" s="210"/>
      <c r="H923" s="210"/>
      <c r="I923" s="210"/>
      <c r="J923" s="210"/>
      <c r="K923" s="210"/>
      <c r="L923" s="210"/>
      <c r="M923" s="210"/>
      <c r="N923" s="210"/>
      <c r="P923" s="211"/>
    </row>
    <row r="924" spans="3:16">
      <c r="C924" s="209"/>
      <c r="G924" s="210"/>
      <c r="H924" s="210"/>
      <c r="I924" s="210"/>
      <c r="J924" s="210"/>
      <c r="K924" s="210"/>
      <c r="L924" s="210"/>
      <c r="M924" s="210"/>
      <c r="N924" s="210"/>
      <c r="P924" s="211"/>
    </row>
    <row r="925" spans="3:16">
      <c r="C925" s="209"/>
      <c r="G925" s="210"/>
      <c r="H925" s="210"/>
      <c r="I925" s="210"/>
      <c r="J925" s="210"/>
      <c r="K925" s="210"/>
      <c r="L925" s="210"/>
      <c r="M925" s="210"/>
      <c r="N925" s="210"/>
      <c r="P925" s="211"/>
    </row>
    <row r="926" spans="3:16">
      <c r="C926" s="209"/>
      <c r="G926" s="210"/>
      <c r="H926" s="210"/>
      <c r="I926" s="210"/>
      <c r="J926" s="210"/>
      <c r="K926" s="210"/>
      <c r="L926" s="210"/>
      <c r="M926" s="210"/>
      <c r="N926" s="210"/>
      <c r="P926" s="211"/>
    </row>
    <row r="927" spans="3:16">
      <c r="C927" s="209"/>
      <c r="G927" s="210"/>
      <c r="H927" s="210"/>
      <c r="I927" s="210"/>
      <c r="J927" s="210"/>
      <c r="K927" s="210"/>
      <c r="L927" s="210"/>
      <c r="M927" s="210"/>
      <c r="N927" s="210"/>
      <c r="P927" s="211"/>
    </row>
    <row r="928" spans="3:16">
      <c r="C928" s="209"/>
      <c r="G928" s="210"/>
      <c r="H928" s="210"/>
      <c r="I928" s="210"/>
      <c r="J928" s="210"/>
      <c r="K928" s="210"/>
      <c r="L928" s="210"/>
      <c r="M928" s="210"/>
      <c r="N928" s="210"/>
      <c r="P928" s="211"/>
    </row>
    <row r="929" spans="3:16">
      <c r="C929" s="209"/>
      <c r="G929" s="210"/>
      <c r="H929" s="210"/>
      <c r="I929" s="210"/>
      <c r="J929" s="210"/>
      <c r="K929" s="210"/>
      <c r="L929" s="210"/>
      <c r="M929" s="210"/>
      <c r="N929" s="210"/>
      <c r="P929" s="211"/>
    </row>
    <row r="930" spans="3:16">
      <c r="C930" s="209"/>
      <c r="G930" s="210"/>
      <c r="H930" s="210"/>
      <c r="I930" s="210"/>
      <c r="J930" s="210"/>
      <c r="K930" s="210"/>
      <c r="L930" s="210"/>
      <c r="M930" s="210"/>
      <c r="N930" s="210"/>
      <c r="P930" s="211"/>
    </row>
    <row r="931" spans="3:16">
      <c r="C931" s="209"/>
      <c r="G931" s="210"/>
      <c r="H931" s="210"/>
      <c r="I931" s="210"/>
      <c r="J931" s="210"/>
      <c r="K931" s="210"/>
      <c r="L931" s="210"/>
      <c r="M931" s="210"/>
      <c r="N931" s="210"/>
      <c r="P931" s="211"/>
    </row>
    <row r="932" spans="3:16">
      <c r="C932" s="209"/>
      <c r="G932" s="210"/>
      <c r="H932" s="210"/>
      <c r="I932" s="210"/>
      <c r="J932" s="210"/>
      <c r="K932" s="210"/>
      <c r="L932" s="210"/>
      <c r="M932" s="210"/>
      <c r="N932" s="210"/>
      <c r="P932" s="211"/>
    </row>
    <row r="933" spans="3:16">
      <c r="C933" s="209"/>
      <c r="G933" s="210"/>
      <c r="H933" s="210"/>
      <c r="I933" s="210"/>
      <c r="J933" s="210"/>
      <c r="K933" s="210"/>
      <c r="L933" s="210"/>
      <c r="M933" s="210"/>
      <c r="N933" s="210"/>
      <c r="P933" s="211"/>
    </row>
    <row r="934" spans="3:16">
      <c r="C934" s="209"/>
      <c r="G934" s="210"/>
      <c r="H934" s="210"/>
      <c r="I934" s="210"/>
      <c r="J934" s="210"/>
      <c r="K934" s="210"/>
      <c r="L934" s="210"/>
      <c r="M934" s="210"/>
      <c r="N934" s="210"/>
      <c r="P934" s="211"/>
    </row>
    <row r="935" spans="3:16">
      <c r="C935" s="209"/>
      <c r="G935" s="210"/>
      <c r="H935" s="210"/>
      <c r="I935" s="210"/>
      <c r="J935" s="210"/>
      <c r="K935" s="210"/>
      <c r="L935" s="210"/>
      <c r="M935" s="210"/>
      <c r="N935" s="210"/>
      <c r="P935" s="211"/>
    </row>
    <row r="936" spans="3:16">
      <c r="C936" s="209"/>
      <c r="G936" s="210"/>
      <c r="H936" s="210"/>
      <c r="I936" s="210"/>
      <c r="J936" s="210"/>
      <c r="K936" s="210"/>
      <c r="L936" s="210"/>
      <c r="M936" s="210"/>
      <c r="N936" s="210"/>
      <c r="P936" s="211"/>
    </row>
    <row r="937" spans="3:16">
      <c r="C937" s="209"/>
      <c r="G937" s="210"/>
      <c r="H937" s="210"/>
      <c r="I937" s="210"/>
      <c r="J937" s="210"/>
      <c r="K937" s="210"/>
      <c r="L937" s="210"/>
      <c r="M937" s="210"/>
      <c r="N937" s="210"/>
      <c r="P937" s="211"/>
    </row>
    <row r="938" spans="3:16">
      <c r="C938" s="209"/>
      <c r="G938" s="210"/>
      <c r="H938" s="210"/>
      <c r="I938" s="210"/>
      <c r="J938" s="210"/>
      <c r="K938" s="210"/>
      <c r="L938" s="210"/>
      <c r="M938" s="210"/>
      <c r="N938" s="210"/>
      <c r="P938" s="211"/>
    </row>
    <row r="939" spans="3:16">
      <c r="C939" s="209"/>
      <c r="G939" s="210"/>
      <c r="H939" s="210"/>
      <c r="I939" s="210"/>
      <c r="J939" s="210"/>
      <c r="K939" s="210"/>
      <c r="L939" s="210"/>
      <c r="M939" s="210"/>
      <c r="N939" s="210"/>
      <c r="P939" s="211"/>
    </row>
    <row r="940" spans="3:16">
      <c r="C940" s="209"/>
      <c r="G940" s="210"/>
      <c r="H940" s="210"/>
      <c r="I940" s="210"/>
      <c r="J940" s="210"/>
      <c r="K940" s="210"/>
      <c r="L940" s="210"/>
      <c r="M940" s="210"/>
      <c r="N940" s="210"/>
      <c r="P940" s="211"/>
    </row>
    <row r="941" spans="3:16">
      <c r="C941" s="209"/>
      <c r="G941" s="210"/>
      <c r="H941" s="210"/>
      <c r="I941" s="210"/>
      <c r="J941" s="210"/>
      <c r="K941" s="210"/>
      <c r="L941" s="210"/>
      <c r="M941" s="210"/>
      <c r="N941" s="210"/>
      <c r="P941" s="211"/>
    </row>
    <row r="942" spans="3:16">
      <c r="C942" s="209"/>
      <c r="G942" s="210"/>
      <c r="H942" s="210"/>
      <c r="I942" s="210"/>
      <c r="J942" s="210"/>
      <c r="K942" s="210"/>
      <c r="L942" s="210"/>
      <c r="M942" s="210"/>
      <c r="N942" s="210"/>
      <c r="P942" s="211"/>
    </row>
    <row r="943" spans="3:16">
      <c r="C943" s="209"/>
      <c r="G943" s="210"/>
      <c r="H943" s="210"/>
      <c r="I943" s="210"/>
      <c r="J943" s="210"/>
      <c r="K943" s="210"/>
      <c r="L943" s="210"/>
      <c r="M943" s="210"/>
      <c r="N943" s="210"/>
      <c r="P943" s="211"/>
    </row>
    <row r="944" spans="3:16">
      <c r="C944" s="209"/>
      <c r="G944" s="210"/>
      <c r="H944" s="210"/>
      <c r="I944" s="210"/>
      <c r="J944" s="210"/>
      <c r="K944" s="210"/>
      <c r="L944" s="210"/>
      <c r="M944" s="210"/>
      <c r="N944" s="210"/>
      <c r="P944" s="211"/>
    </row>
    <row r="945" spans="3:16">
      <c r="C945" s="209"/>
      <c r="G945" s="210"/>
      <c r="H945" s="210"/>
      <c r="I945" s="210"/>
      <c r="J945" s="210"/>
      <c r="K945" s="210"/>
      <c r="L945" s="210"/>
      <c r="M945" s="210"/>
      <c r="N945" s="210"/>
      <c r="P945" s="211"/>
    </row>
    <row r="946" spans="3:16">
      <c r="C946" s="209"/>
      <c r="G946" s="210"/>
      <c r="H946" s="210"/>
      <c r="I946" s="210"/>
      <c r="J946" s="210"/>
      <c r="K946" s="210"/>
      <c r="L946" s="210"/>
      <c r="M946" s="210"/>
      <c r="N946" s="210"/>
      <c r="P946" s="211"/>
    </row>
    <row r="947" spans="3:16">
      <c r="C947" s="209"/>
      <c r="G947" s="210"/>
      <c r="H947" s="210"/>
      <c r="I947" s="210"/>
      <c r="J947" s="210"/>
      <c r="K947" s="210"/>
      <c r="L947" s="210"/>
      <c r="M947" s="210"/>
      <c r="N947" s="210"/>
      <c r="P947" s="211"/>
    </row>
    <row r="948" spans="3:16">
      <c r="C948" s="209"/>
      <c r="G948" s="210"/>
      <c r="H948" s="210"/>
      <c r="I948" s="210"/>
      <c r="J948" s="210"/>
      <c r="K948" s="210"/>
      <c r="L948" s="210"/>
      <c r="M948" s="210"/>
      <c r="N948" s="210"/>
      <c r="P948" s="211"/>
    </row>
    <row r="949" spans="3:16">
      <c r="C949" s="209"/>
      <c r="G949" s="210"/>
      <c r="H949" s="210"/>
      <c r="I949" s="210"/>
      <c r="J949" s="210"/>
      <c r="K949" s="210"/>
      <c r="L949" s="210"/>
      <c r="M949" s="210"/>
      <c r="N949" s="210"/>
      <c r="P949" s="211"/>
    </row>
    <row r="950" spans="3:16">
      <c r="C950" s="209"/>
      <c r="G950" s="210"/>
      <c r="H950" s="210"/>
      <c r="I950" s="210"/>
      <c r="J950" s="210"/>
      <c r="K950" s="210"/>
      <c r="L950" s="210"/>
      <c r="M950" s="210"/>
      <c r="N950" s="210"/>
      <c r="P950" s="211"/>
    </row>
    <row r="951" spans="3:16">
      <c r="C951" s="209"/>
      <c r="G951" s="210"/>
      <c r="H951" s="210"/>
      <c r="I951" s="210"/>
      <c r="J951" s="210"/>
      <c r="K951" s="210"/>
      <c r="L951" s="210"/>
      <c r="M951" s="210"/>
      <c r="N951" s="210"/>
      <c r="P951" s="211"/>
    </row>
    <row r="952" spans="3:16">
      <c r="C952" s="209"/>
      <c r="G952" s="210"/>
      <c r="H952" s="210"/>
      <c r="I952" s="210"/>
      <c r="J952" s="210"/>
      <c r="K952" s="210"/>
      <c r="L952" s="210"/>
      <c r="M952" s="210"/>
      <c r="N952" s="210"/>
      <c r="P952" s="211"/>
    </row>
    <row r="953" spans="3:16">
      <c r="C953" s="209"/>
      <c r="G953" s="210"/>
      <c r="H953" s="210"/>
      <c r="I953" s="210"/>
      <c r="J953" s="210"/>
      <c r="K953" s="210"/>
      <c r="L953" s="210"/>
      <c r="M953" s="210"/>
      <c r="N953" s="210"/>
      <c r="P953" s="211"/>
    </row>
    <row r="954" spans="3:16">
      <c r="C954" s="209"/>
      <c r="G954" s="210"/>
      <c r="H954" s="210"/>
      <c r="I954" s="210"/>
      <c r="J954" s="210"/>
      <c r="K954" s="210"/>
      <c r="L954" s="210"/>
      <c r="M954" s="210"/>
      <c r="N954" s="210"/>
      <c r="P954" s="211"/>
    </row>
    <row r="955" spans="3:16">
      <c r="C955" s="209"/>
      <c r="G955" s="210"/>
      <c r="H955" s="210"/>
      <c r="I955" s="210"/>
      <c r="J955" s="210"/>
      <c r="K955" s="210"/>
      <c r="L955" s="210"/>
      <c r="M955" s="210"/>
      <c r="N955" s="210"/>
      <c r="P955" s="211"/>
    </row>
    <row r="956" spans="3:16">
      <c r="C956" s="209"/>
      <c r="G956" s="210"/>
      <c r="H956" s="210"/>
      <c r="I956" s="210"/>
      <c r="J956" s="210"/>
      <c r="K956" s="210"/>
      <c r="L956" s="210"/>
      <c r="M956" s="210"/>
      <c r="N956" s="210"/>
      <c r="P956" s="211"/>
    </row>
    <row r="957" spans="3:16">
      <c r="C957" s="209"/>
      <c r="G957" s="210"/>
      <c r="H957" s="210"/>
      <c r="I957" s="210"/>
      <c r="J957" s="210"/>
      <c r="K957" s="210"/>
      <c r="L957" s="210"/>
      <c r="M957" s="210"/>
      <c r="N957" s="210"/>
      <c r="P957" s="211"/>
    </row>
    <row r="958" spans="3:16">
      <c r="C958" s="209"/>
      <c r="G958" s="210"/>
      <c r="H958" s="210"/>
      <c r="I958" s="210"/>
      <c r="J958" s="210"/>
      <c r="K958" s="210"/>
      <c r="L958" s="210"/>
      <c r="M958" s="210"/>
      <c r="N958" s="210"/>
      <c r="P958" s="211"/>
    </row>
    <row r="959" spans="3:16">
      <c r="C959" s="209"/>
      <c r="G959" s="210"/>
      <c r="H959" s="210"/>
      <c r="I959" s="210"/>
      <c r="J959" s="210"/>
      <c r="K959" s="210"/>
      <c r="L959" s="210"/>
      <c r="M959" s="210"/>
      <c r="N959" s="210"/>
      <c r="P959" s="211"/>
    </row>
    <row r="960" spans="3:16">
      <c r="C960" s="209"/>
      <c r="G960" s="210"/>
      <c r="H960" s="210"/>
      <c r="I960" s="210"/>
      <c r="J960" s="210"/>
      <c r="K960" s="210"/>
      <c r="L960" s="210"/>
      <c r="M960" s="210"/>
      <c r="N960" s="210"/>
      <c r="P960" s="211"/>
    </row>
    <row r="961" spans="3:16">
      <c r="C961" s="209"/>
      <c r="G961" s="210"/>
      <c r="H961" s="210"/>
      <c r="I961" s="210"/>
      <c r="J961" s="210"/>
      <c r="K961" s="210"/>
      <c r="L961" s="210"/>
      <c r="M961" s="210"/>
      <c r="N961" s="210"/>
      <c r="P961" s="211"/>
    </row>
    <row r="962" spans="3:16">
      <c r="C962" s="209"/>
      <c r="G962" s="210"/>
      <c r="H962" s="210"/>
      <c r="I962" s="210"/>
      <c r="J962" s="210"/>
      <c r="K962" s="210"/>
      <c r="L962" s="210"/>
      <c r="M962" s="210"/>
      <c r="N962" s="210"/>
      <c r="P962" s="211"/>
    </row>
    <row r="963" spans="3:16">
      <c r="C963" s="209"/>
      <c r="G963" s="210"/>
      <c r="H963" s="210"/>
      <c r="I963" s="210"/>
      <c r="J963" s="210"/>
      <c r="K963" s="210"/>
      <c r="L963" s="210"/>
      <c r="M963" s="210"/>
      <c r="N963" s="210"/>
      <c r="P963" s="211"/>
    </row>
    <row r="964" spans="3:16">
      <c r="C964" s="209"/>
      <c r="G964" s="210"/>
      <c r="H964" s="210"/>
      <c r="I964" s="210"/>
      <c r="J964" s="210"/>
      <c r="K964" s="210"/>
      <c r="L964" s="210"/>
      <c r="M964" s="210"/>
      <c r="N964" s="210"/>
      <c r="P964" s="211"/>
    </row>
    <row r="965" spans="3:16">
      <c r="C965" s="209"/>
      <c r="G965" s="210"/>
      <c r="H965" s="210"/>
      <c r="I965" s="210"/>
      <c r="J965" s="210"/>
      <c r="K965" s="210"/>
      <c r="L965" s="210"/>
      <c r="M965" s="210"/>
      <c r="N965" s="210"/>
      <c r="P965" s="211"/>
    </row>
    <row r="966" spans="3:16">
      <c r="C966" s="209"/>
      <c r="G966" s="210"/>
      <c r="H966" s="210"/>
      <c r="I966" s="210"/>
      <c r="J966" s="210"/>
      <c r="K966" s="210"/>
      <c r="L966" s="210"/>
      <c r="M966" s="210"/>
      <c r="N966" s="210"/>
      <c r="P966" s="211"/>
    </row>
    <row r="967" spans="3:16">
      <c r="C967" s="209"/>
      <c r="G967" s="210"/>
      <c r="H967" s="210"/>
      <c r="I967" s="210"/>
      <c r="J967" s="210"/>
      <c r="K967" s="210"/>
      <c r="L967" s="210"/>
      <c r="M967" s="210"/>
      <c r="N967" s="210"/>
      <c r="P967" s="211"/>
    </row>
    <row r="968" spans="3:16">
      <c r="C968" s="209"/>
      <c r="G968" s="210"/>
      <c r="H968" s="210"/>
      <c r="I968" s="210"/>
      <c r="J968" s="210"/>
      <c r="K968" s="210"/>
      <c r="L968" s="210"/>
      <c r="M968" s="210"/>
      <c r="N968" s="210"/>
      <c r="P968" s="211"/>
    </row>
    <row r="969" spans="3:16">
      <c r="C969" s="209"/>
      <c r="G969" s="210"/>
      <c r="H969" s="210"/>
      <c r="I969" s="210"/>
      <c r="J969" s="210"/>
      <c r="K969" s="210"/>
      <c r="L969" s="210"/>
      <c r="M969" s="210"/>
      <c r="N969" s="210"/>
      <c r="P969" s="211"/>
    </row>
    <row r="970" spans="3:16">
      <c r="C970" s="209"/>
      <c r="G970" s="210"/>
      <c r="H970" s="210"/>
      <c r="I970" s="210"/>
      <c r="J970" s="210"/>
      <c r="K970" s="210"/>
      <c r="L970" s="210"/>
      <c r="M970" s="210"/>
      <c r="N970" s="210"/>
      <c r="P970" s="211"/>
    </row>
    <row r="971" spans="3:16">
      <c r="C971" s="209"/>
      <c r="G971" s="210"/>
      <c r="H971" s="210"/>
      <c r="I971" s="210"/>
      <c r="J971" s="210"/>
      <c r="K971" s="210"/>
      <c r="L971" s="210"/>
      <c r="M971" s="210"/>
      <c r="N971" s="210"/>
      <c r="P971" s="211"/>
    </row>
    <row r="972" spans="3:16">
      <c r="C972" s="209"/>
      <c r="G972" s="210"/>
      <c r="H972" s="210"/>
      <c r="I972" s="210"/>
      <c r="J972" s="210"/>
      <c r="K972" s="210"/>
      <c r="L972" s="210"/>
      <c r="M972" s="210"/>
      <c r="N972" s="210"/>
      <c r="P972" s="211"/>
    </row>
    <row r="973" spans="3:16">
      <c r="C973" s="209"/>
      <c r="G973" s="210"/>
      <c r="H973" s="210"/>
      <c r="I973" s="210"/>
      <c r="J973" s="210"/>
      <c r="K973" s="210"/>
      <c r="L973" s="210"/>
      <c r="M973" s="210"/>
      <c r="N973" s="210"/>
      <c r="P973" s="211"/>
    </row>
    <row r="974" spans="3:16">
      <c r="C974" s="209"/>
      <c r="G974" s="210"/>
      <c r="H974" s="210"/>
      <c r="I974" s="210"/>
      <c r="J974" s="210"/>
      <c r="K974" s="210"/>
      <c r="L974" s="210"/>
      <c r="M974" s="210"/>
      <c r="N974" s="210"/>
      <c r="P974" s="211"/>
    </row>
    <row r="975" spans="3:16">
      <c r="C975" s="209"/>
      <c r="G975" s="210"/>
      <c r="H975" s="210"/>
      <c r="I975" s="210"/>
      <c r="J975" s="210"/>
      <c r="K975" s="210"/>
      <c r="L975" s="210"/>
      <c r="M975" s="210"/>
      <c r="N975" s="210"/>
      <c r="P975" s="211"/>
    </row>
    <row r="976" spans="3:16">
      <c r="C976" s="209"/>
      <c r="G976" s="210"/>
      <c r="H976" s="210"/>
      <c r="I976" s="210"/>
      <c r="J976" s="210"/>
      <c r="K976" s="210"/>
      <c r="L976" s="210"/>
      <c r="M976" s="210"/>
      <c r="N976" s="210"/>
      <c r="P976" s="211"/>
    </row>
    <row r="977" spans="3:16">
      <c r="C977" s="209"/>
      <c r="G977" s="210"/>
      <c r="H977" s="210"/>
      <c r="I977" s="210"/>
      <c r="J977" s="210"/>
      <c r="K977" s="210"/>
      <c r="L977" s="210"/>
      <c r="M977" s="210"/>
      <c r="N977" s="210"/>
      <c r="P977" s="211"/>
    </row>
    <row r="978" spans="3:16">
      <c r="C978" s="209"/>
      <c r="G978" s="210"/>
      <c r="H978" s="210"/>
      <c r="I978" s="210"/>
      <c r="J978" s="210"/>
      <c r="K978" s="210"/>
      <c r="L978" s="210"/>
      <c r="M978" s="210"/>
      <c r="N978" s="210"/>
      <c r="P978" s="211"/>
    </row>
    <row r="979" spans="3:16">
      <c r="C979" s="209"/>
      <c r="G979" s="210"/>
      <c r="H979" s="210"/>
      <c r="I979" s="210"/>
      <c r="J979" s="210"/>
      <c r="K979" s="210"/>
      <c r="L979" s="210"/>
      <c r="M979" s="210"/>
      <c r="N979" s="210"/>
      <c r="P979" s="211"/>
    </row>
    <row r="980" spans="3:16">
      <c r="C980" s="209"/>
      <c r="G980" s="210"/>
      <c r="H980" s="210"/>
      <c r="I980" s="210"/>
      <c r="J980" s="210"/>
      <c r="K980" s="210"/>
      <c r="L980" s="210"/>
      <c r="M980" s="210"/>
      <c r="N980" s="210"/>
      <c r="P980" s="211"/>
    </row>
    <row r="981" spans="3:16">
      <c r="C981" s="209"/>
      <c r="G981" s="210"/>
      <c r="H981" s="210"/>
      <c r="I981" s="210"/>
      <c r="J981" s="210"/>
      <c r="K981" s="210"/>
      <c r="L981" s="210"/>
      <c r="M981" s="210"/>
      <c r="N981" s="210"/>
      <c r="P981" s="211"/>
    </row>
    <row r="982" spans="3:16">
      <c r="C982" s="209"/>
      <c r="G982" s="210"/>
      <c r="H982" s="210"/>
      <c r="I982" s="210"/>
      <c r="J982" s="210"/>
      <c r="K982" s="210"/>
      <c r="L982" s="210"/>
      <c r="M982" s="210"/>
      <c r="N982" s="210"/>
      <c r="P982" s="211"/>
    </row>
    <row r="983" spans="3:16">
      <c r="C983" s="209"/>
      <c r="G983" s="210"/>
      <c r="H983" s="210"/>
      <c r="I983" s="210"/>
      <c r="J983" s="210"/>
      <c r="K983" s="210"/>
      <c r="L983" s="210"/>
      <c r="M983" s="210"/>
      <c r="N983" s="210"/>
      <c r="P983" s="211"/>
    </row>
    <row r="984" spans="3:16">
      <c r="C984" s="209"/>
      <c r="G984" s="210"/>
      <c r="H984" s="210"/>
      <c r="I984" s="210"/>
      <c r="J984" s="210"/>
      <c r="K984" s="210"/>
      <c r="L984" s="210"/>
      <c r="M984" s="210"/>
      <c r="N984" s="210"/>
      <c r="P984" s="211"/>
    </row>
    <row r="985" spans="3:16">
      <c r="C985" s="209"/>
      <c r="G985" s="210"/>
      <c r="H985" s="210"/>
      <c r="I985" s="210"/>
      <c r="J985" s="210"/>
      <c r="K985" s="210"/>
      <c r="L985" s="210"/>
      <c r="M985" s="210"/>
      <c r="N985" s="210"/>
      <c r="P985" s="211"/>
    </row>
    <row r="986" spans="3:16">
      <c r="C986" s="209"/>
      <c r="G986" s="210"/>
      <c r="H986" s="210"/>
      <c r="I986" s="210"/>
      <c r="J986" s="210"/>
      <c r="K986" s="210"/>
      <c r="L986" s="210"/>
      <c r="M986" s="210"/>
      <c r="N986" s="210"/>
      <c r="P986" s="211"/>
    </row>
    <row r="987" spans="3:16">
      <c r="C987" s="209"/>
      <c r="G987" s="210"/>
      <c r="H987" s="210"/>
      <c r="I987" s="210"/>
      <c r="J987" s="210"/>
      <c r="K987" s="210"/>
      <c r="L987" s="210"/>
      <c r="M987" s="210"/>
      <c r="N987" s="210"/>
      <c r="P987" s="211"/>
    </row>
    <row r="988" spans="3:16">
      <c r="C988" s="209"/>
      <c r="G988" s="210"/>
      <c r="H988" s="210"/>
      <c r="I988" s="210"/>
      <c r="J988" s="210"/>
      <c r="K988" s="210"/>
      <c r="L988" s="210"/>
      <c r="M988" s="210"/>
      <c r="N988" s="210"/>
      <c r="P988" s="211"/>
    </row>
    <row r="989" spans="3:16">
      <c r="C989" s="209"/>
      <c r="G989" s="210"/>
      <c r="H989" s="210"/>
      <c r="I989" s="210"/>
      <c r="J989" s="210"/>
      <c r="K989" s="210"/>
      <c r="L989" s="210"/>
      <c r="M989" s="210"/>
      <c r="N989" s="210"/>
      <c r="P989" s="211"/>
    </row>
    <row r="990" spans="3:16">
      <c r="C990" s="209"/>
      <c r="G990" s="210"/>
      <c r="H990" s="210"/>
      <c r="I990" s="210"/>
      <c r="J990" s="210"/>
      <c r="K990" s="210"/>
      <c r="L990" s="210"/>
      <c r="M990" s="210"/>
      <c r="N990" s="210"/>
      <c r="P990" s="211"/>
    </row>
    <row r="991" spans="3:16">
      <c r="C991" s="209"/>
      <c r="G991" s="210"/>
      <c r="H991" s="210"/>
      <c r="I991" s="210"/>
      <c r="J991" s="210"/>
      <c r="K991" s="210"/>
      <c r="L991" s="210"/>
      <c r="M991" s="210"/>
      <c r="N991" s="210"/>
      <c r="P991" s="211"/>
    </row>
    <row r="992" spans="3:16">
      <c r="C992" s="209"/>
      <c r="G992" s="210"/>
      <c r="H992" s="210"/>
      <c r="I992" s="210"/>
      <c r="J992" s="210"/>
      <c r="K992" s="210"/>
      <c r="L992" s="210"/>
      <c r="M992" s="210"/>
      <c r="N992" s="210"/>
      <c r="P992" s="211"/>
    </row>
    <row r="993" spans="3:16">
      <c r="C993" s="209"/>
      <c r="G993" s="210"/>
      <c r="H993" s="210"/>
      <c r="I993" s="210"/>
      <c r="J993" s="210"/>
      <c r="K993" s="210"/>
      <c r="L993" s="210"/>
      <c r="M993" s="210"/>
      <c r="N993" s="210"/>
      <c r="P993" s="211"/>
    </row>
    <row r="994" spans="3:16">
      <c r="C994" s="209"/>
      <c r="G994" s="210"/>
      <c r="H994" s="210"/>
      <c r="I994" s="210"/>
      <c r="J994" s="210"/>
      <c r="K994" s="210"/>
      <c r="L994" s="210"/>
      <c r="M994" s="210"/>
      <c r="N994" s="210"/>
      <c r="P994" s="211"/>
    </row>
    <row r="995" spans="3:16">
      <c r="C995" s="209"/>
      <c r="G995" s="210"/>
      <c r="H995" s="210"/>
      <c r="I995" s="210"/>
      <c r="J995" s="210"/>
      <c r="K995" s="210"/>
      <c r="L995" s="210"/>
      <c r="M995" s="210"/>
      <c r="N995" s="210"/>
      <c r="P995" s="211"/>
    </row>
    <row r="996" spans="3:16">
      <c r="C996" s="209"/>
      <c r="G996" s="210"/>
      <c r="H996" s="210"/>
      <c r="I996" s="210"/>
      <c r="J996" s="210"/>
      <c r="K996" s="210"/>
      <c r="L996" s="210"/>
      <c r="M996" s="210"/>
      <c r="N996" s="210"/>
      <c r="P996" s="211"/>
    </row>
    <row r="997" spans="3:16">
      <c r="C997" s="209"/>
      <c r="G997" s="210"/>
      <c r="H997" s="210"/>
      <c r="I997" s="210"/>
      <c r="J997" s="210"/>
      <c r="K997" s="210"/>
      <c r="L997" s="210"/>
      <c r="M997" s="210"/>
      <c r="N997" s="210"/>
      <c r="P997" s="211"/>
    </row>
    <row r="998" spans="3:16">
      <c r="C998" s="209"/>
      <c r="G998" s="210"/>
      <c r="H998" s="210"/>
      <c r="I998" s="210"/>
      <c r="J998" s="210"/>
      <c r="K998" s="210"/>
      <c r="L998" s="210"/>
      <c r="M998" s="210"/>
      <c r="N998" s="210"/>
      <c r="P998" s="211"/>
    </row>
    <row r="999" spans="3:16">
      <c r="C999" s="209"/>
      <c r="G999" s="210"/>
      <c r="H999" s="210"/>
      <c r="I999" s="210"/>
      <c r="J999" s="210"/>
      <c r="K999" s="210"/>
      <c r="L999" s="210"/>
      <c r="M999" s="210"/>
      <c r="N999" s="210"/>
      <c r="P999" s="211"/>
    </row>
    <row r="1000" spans="3:16">
      <c r="C1000" s="209"/>
      <c r="G1000" s="210"/>
      <c r="H1000" s="210"/>
      <c r="I1000" s="210"/>
      <c r="J1000" s="210"/>
      <c r="K1000" s="210"/>
      <c r="L1000" s="210"/>
      <c r="M1000" s="210"/>
      <c r="N1000" s="210"/>
      <c r="P1000" s="211"/>
    </row>
    <row r="1001" spans="3:16">
      <c r="C1001" s="209"/>
      <c r="G1001" s="210"/>
      <c r="H1001" s="210"/>
      <c r="I1001" s="210"/>
      <c r="J1001" s="210"/>
      <c r="K1001" s="210"/>
      <c r="L1001" s="210"/>
      <c r="M1001" s="210"/>
      <c r="N1001" s="210"/>
      <c r="P1001" s="211"/>
    </row>
    <row r="1002" spans="3:16">
      <c r="C1002" s="209"/>
      <c r="G1002" s="210"/>
      <c r="H1002" s="210"/>
      <c r="I1002" s="210"/>
      <c r="J1002" s="210"/>
      <c r="K1002" s="210"/>
      <c r="L1002" s="210"/>
      <c r="M1002" s="210"/>
      <c r="N1002" s="210"/>
      <c r="P1002" s="211"/>
    </row>
    <row r="1003" spans="3:16">
      <c r="C1003" s="209"/>
      <c r="G1003" s="210"/>
      <c r="H1003" s="210"/>
      <c r="I1003" s="210"/>
      <c r="J1003" s="210"/>
      <c r="K1003" s="210"/>
      <c r="L1003" s="210"/>
      <c r="M1003" s="210"/>
      <c r="N1003" s="210"/>
      <c r="P1003" s="211"/>
    </row>
    <row r="1004" spans="3:16">
      <c r="C1004" s="209"/>
      <c r="G1004" s="210"/>
      <c r="H1004" s="210"/>
      <c r="I1004" s="210"/>
      <c r="J1004" s="210"/>
      <c r="K1004" s="210"/>
      <c r="L1004" s="210"/>
      <c r="M1004" s="210"/>
      <c r="N1004" s="210"/>
      <c r="P1004" s="211"/>
    </row>
    <row r="1005" spans="3:16">
      <c r="C1005" s="209"/>
      <c r="G1005" s="210"/>
      <c r="H1005" s="210"/>
      <c r="I1005" s="210"/>
      <c r="J1005" s="210"/>
      <c r="K1005" s="210"/>
      <c r="L1005" s="210"/>
      <c r="M1005" s="210"/>
      <c r="N1005" s="210"/>
      <c r="P1005" s="211"/>
    </row>
    <row r="1006" spans="3:16">
      <c r="C1006" s="209"/>
      <c r="G1006" s="210"/>
      <c r="H1006" s="210"/>
      <c r="I1006" s="210"/>
      <c r="J1006" s="210"/>
      <c r="K1006" s="210"/>
      <c r="L1006" s="210"/>
      <c r="M1006" s="210"/>
      <c r="N1006" s="210"/>
      <c r="P1006" s="211"/>
    </row>
    <row r="1007" spans="3:16">
      <c r="C1007" s="209"/>
      <c r="G1007" s="210"/>
      <c r="H1007" s="210"/>
      <c r="I1007" s="210"/>
      <c r="J1007" s="210"/>
      <c r="K1007" s="210"/>
      <c r="L1007" s="210"/>
      <c r="M1007" s="210"/>
      <c r="N1007" s="210"/>
      <c r="P1007" s="211"/>
    </row>
    <row r="1008" spans="3:16">
      <c r="C1008" s="209"/>
      <c r="G1008" s="210"/>
      <c r="H1008" s="210"/>
      <c r="I1008" s="210"/>
      <c r="J1008" s="210"/>
      <c r="K1008" s="210"/>
      <c r="L1008" s="210"/>
      <c r="M1008" s="210"/>
      <c r="N1008" s="210"/>
      <c r="P1008" s="211"/>
    </row>
    <row r="1009" spans="3:16">
      <c r="C1009" s="209"/>
      <c r="G1009" s="210"/>
      <c r="H1009" s="210"/>
      <c r="I1009" s="210"/>
      <c r="J1009" s="210"/>
      <c r="K1009" s="210"/>
      <c r="L1009" s="210"/>
      <c r="M1009" s="210"/>
      <c r="N1009" s="210"/>
      <c r="P1009" s="211"/>
    </row>
    <row r="1010" spans="3:16">
      <c r="C1010" s="209"/>
      <c r="G1010" s="210"/>
      <c r="H1010" s="210"/>
      <c r="I1010" s="210"/>
      <c r="J1010" s="210"/>
      <c r="K1010" s="210"/>
      <c r="L1010" s="210"/>
      <c r="M1010" s="210"/>
      <c r="N1010" s="210"/>
      <c r="P1010" s="211"/>
    </row>
    <row r="1011" spans="3:16">
      <c r="C1011" s="209"/>
      <c r="G1011" s="210"/>
      <c r="H1011" s="210"/>
      <c r="I1011" s="210"/>
      <c r="J1011" s="210"/>
      <c r="K1011" s="210"/>
      <c r="L1011" s="210"/>
      <c r="M1011" s="210"/>
      <c r="N1011" s="210"/>
      <c r="P1011" s="211"/>
    </row>
    <row r="1012" spans="3:16">
      <c r="C1012" s="209"/>
      <c r="G1012" s="210"/>
      <c r="H1012" s="210"/>
      <c r="I1012" s="210"/>
      <c r="J1012" s="210"/>
      <c r="K1012" s="210"/>
      <c r="L1012" s="210"/>
      <c r="M1012" s="210"/>
      <c r="N1012" s="210"/>
      <c r="P1012" s="211"/>
    </row>
    <row r="1013" spans="3:16">
      <c r="C1013" s="209"/>
      <c r="G1013" s="210"/>
      <c r="H1013" s="210"/>
      <c r="I1013" s="210"/>
      <c r="J1013" s="210"/>
      <c r="K1013" s="210"/>
      <c r="L1013" s="210"/>
      <c r="M1013" s="210"/>
      <c r="N1013" s="210"/>
      <c r="P1013" s="211"/>
    </row>
    <row r="1014" spans="3:16">
      <c r="C1014" s="209"/>
      <c r="G1014" s="210"/>
      <c r="H1014" s="210"/>
      <c r="I1014" s="210"/>
      <c r="J1014" s="210"/>
      <c r="K1014" s="210"/>
      <c r="L1014" s="210"/>
      <c r="M1014" s="210"/>
      <c r="N1014" s="210"/>
      <c r="P1014" s="211"/>
    </row>
    <row r="1015" spans="3:16">
      <c r="C1015" s="209"/>
      <c r="G1015" s="210"/>
      <c r="H1015" s="210"/>
      <c r="I1015" s="210"/>
      <c r="J1015" s="210"/>
      <c r="K1015" s="210"/>
      <c r="L1015" s="210"/>
      <c r="M1015" s="210"/>
      <c r="N1015" s="210"/>
      <c r="P1015" s="211"/>
    </row>
    <row r="1016" spans="3:16">
      <c r="C1016" s="209"/>
      <c r="G1016" s="210"/>
      <c r="H1016" s="210"/>
      <c r="I1016" s="210"/>
      <c r="J1016" s="210"/>
      <c r="K1016" s="210"/>
      <c r="L1016" s="210"/>
      <c r="M1016" s="210"/>
      <c r="N1016" s="210"/>
      <c r="P1016" s="211"/>
    </row>
    <row r="1017" spans="3:16">
      <c r="C1017" s="209"/>
      <c r="G1017" s="210"/>
      <c r="H1017" s="210"/>
      <c r="I1017" s="210"/>
      <c r="J1017" s="210"/>
      <c r="K1017" s="210"/>
      <c r="L1017" s="210"/>
      <c r="M1017" s="210"/>
      <c r="N1017" s="210"/>
      <c r="P1017" s="211"/>
    </row>
    <row r="1018" spans="3:16">
      <c r="C1018" s="209"/>
      <c r="G1018" s="210"/>
      <c r="H1018" s="210"/>
      <c r="I1018" s="210"/>
      <c r="J1018" s="210"/>
      <c r="K1018" s="210"/>
      <c r="L1018" s="210"/>
      <c r="M1018" s="210"/>
      <c r="N1018" s="210"/>
      <c r="P1018" s="211"/>
    </row>
    <row r="1019" spans="3:16">
      <c r="C1019" s="209"/>
      <c r="G1019" s="210"/>
      <c r="H1019" s="210"/>
      <c r="I1019" s="210"/>
      <c r="J1019" s="210"/>
      <c r="K1019" s="210"/>
      <c r="L1019" s="210"/>
      <c r="M1019" s="210"/>
      <c r="N1019" s="210"/>
      <c r="P1019" s="211"/>
    </row>
    <row r="1020" spans="3:16">
      <c r="C1020" s="209"/>
      <c r="G1020" s="210"/>
      <c r="H1020" s="210"/>
      <c r="I1020" s="210"/>
      <c r="J1020" s="210"/>
      <c r="K1020" s="210"/>
      <c r="L1020" s="210"/>
      <c r="M1020" s="210"/>
      <c r="N1020" s="210"/>
      <c r="P1020" s="211"/>
    </row>
    <row r="1021" spans="3:16">
      <c r="C1021" s="209"/>
      <c r="G1021" s="210"/>
      <c r="H1021" s="210"/>
      <c r="I1021" s="210"/>
      <c r="J1021" s="210"/>
      <c r="K1021" s="210"/>
      <c r="L1021" s="210"/>
      <c r="M1021" s="210"/>
      <c r="N1021" s="210"/>
      <c r="P1021" s="211"/>
    </row>
    <row r="1022" spans="3:16">
      <c r="C1022" s="209"/>
      <c r="G1022" s="210"/>
      <c r="H1022" s="210"/>
      <c r="I1022" s="210"/>
      <c r="J1022" s="210"/>
      <c r="K1022" s="210"/>
      <c r="L1022" s="210"/>
      <c r="M1022" s="210"/>
      <c r="N1022" s="210"/>
      <c r="P1022" s="211"/>
    </row>
    <row r="1023" spans="3:16">
      <c r="C1023" s="209"/>
      <c r="G1023" s="210"/>
      <c r="H1023" s="210"/>
      <c r="I1023" s="210"/>
      <c r="J1023" s="210"/>
      <c r="K1023" s="210"/>
      <c r="L1023" s="210"/>
      <c r="M1023" s="210"/>
      <c r="N1023" s="210"/>
      <c r="P1023" s="211"/>
    </row>
    <row r="1024" spans="3:16">
      <c r="C1024" s="209"/>
      <c r="G1024" s="210"/>
      <c r="H1024" s="210"/>
      <c r="I1024" s="210"/>
      <c r="J1024" s="210"/>
      <c r="K1024" s="210"/>
      <c r="L1024" s="210"/>
      <c r="M1024" s="210"/>
      <c r="N1024" s="210"/>
      <c r="P1024" s="211"/>
    </row>
    <row r="1025" spans="3:16">
      <c r="C1025" s="209"/>
      <c r="G1025" s="210"/>
      <c r="H1025" s="210"/>
      <c r="I1025" s="210"/>
      <c r="J1025" s="210"/>
      <c r="K1025" s="210"/>
      <c r="L1025" s="210"/>
      <c r="M1025" s="210"/>
      <c r="N1025" s="210"/>
      <c r="P1025" s="211"/>
    </row>
    <row r="1026" spans="3:16">
      <c r="C1026" s="209"/>
      <c r="G1026" s="210"/>
      <c r="H1026" s="210"/>
      <c r="I1026" s="210"/>
      <c r="J1026" s="210"/>
      <c r="K1026" s="210"/>
      <c r="L1026" s="210"/>
      <c r="M1026" s="210"/>
      <c r="N1026" s="210"/>
      <c r="P1026" s="211"/>
    </row>
    <row r="1027" spans="3:16">
      <c r="C1027" s="209"/>
      <c r="G1027" s="210"/>
      <c r="H1027" s="210"/>
      <c r="I1027" s="210"/>
      <c r="J1027" s="210"/>
      <c r="K1027" s="210"/>
      <c r="L1027" s="210"/>
      <c r="M1027" s="210"/>
      <c r="N1027" s="210"/>
      <c r="P1027" s="211"/>
    </row>
    <row r="1028" spans="3:16">
      <c r="C1028" s="209"/>
      <c r="G1028" s="210"/>
      <c r="H1028" s="210"/>
      <c r="I1028" s="210"/>
      <c r="J1028" s="210"/>
      <c r="K1028" s="210"/>
      <c r="L1028" s="210"/>
      <c r="M1028" s="210"/>
      <c r="N1028" s="210"/>
      <c r="P1028" s="211"/>
    </row>
    <row r="1029" spans="3:16">
      <c r="C1029" s="209"/>
      <c r="G1029" s="210"/>
      <c r="H1029" s="210"/>
      <c r="I1029" s="210"/>
      <c r="J1029" s="210"/>
      <c r="K1029" s="210"/>
      <c r="L1029" s="210"/>
      <c r="M1029" s="210"/>
      <c r="N1029" s="210"/>
      <c r="P1029" s="211"/>
    </row>
    <row r="1030" spans="3:16">
      <c r="C1030" s="209"/>
      <c r="G1030" s="210"/>
      <c r="H1030" s="210"/>
      <c r="I1030" s="210"/>
      <c r="J1030" s="210"/>
      <c r="K1030" s="210"/>
      <c r="L1030" s="210"/>
      <c r="M1030" s="210"/>
      <c r="N1030" s="210"/>
      <c r="P1030" s="211"/>
    </row>
    <row r="1031" spans="3:16">
      <c r="C1031" s="209"/>
      <c r="G1031" s="210"/>
      <c r="H1031" s="210"/>
      <c r="I1031" s="210"/>
      <c r="J1031" s="210"/>
      <c r="K1031" s="210"/>
      <c r="L1031" s="210"/>
      <c r="M1031" s="210"/>
      <c r="N1031" s="210"/>
      <c r="P1031" s="211"/>
    </row>
    <row r="1032" spans="3:16">
      <c r="C1032" s="209"/>
      <c r="G1032" s="210"/>
      <c r="H1032" s="210"/>
      <c r="I1032" s="210"/>
      <c r="J1032" s="210"/>
      <c r="K1032" s="210"/>
      <c r="L1032" s="210"/>
      <c r="M1032" s="210"/>
      <c r="N1032" s="210"/>
      <c r="P1032" s="211"/>
    </row>
    <row r="1033" spans="3:16">
      <c r="C1033" s="209"/>
      <c r="G1033" s="210"/>
      <c r="H1033" s="210"/>
      <c r="I1033" s="210"/>
      <c r="J1033" s="210"/>
      <c r="K1033" s="210"/>
      <c r="L1033" s="210"/>
      <c r="M1033" s="210"/>
      <c r="N1033" s="210"/>
      <c r="P1033" s="211"/>
    </row>
    <row r="1034" spans="3:16">
      <c r="C1034" s="209"/>
      <c r="G1034" s="210"/>
      <c r="H1034" s="210"/>
      <c r="I1034" s="210"/>
      <c r="J1034" s="210"/>
      <c r="K1034" s="210"/>
      <c r="L1034" s="210"/>
      <c r="M1034" s="210"/>
      <c r="N1034" s="210"/>
      <c r="P1034" s="211"/>
    </row>
    <row r="1035" spans="3:16">
      <c r="C1035" s="209"/>
      <c r="G1035" s="210"/>
      <c r="H1035" s="210"/>
      <c r="I1035" s="210"/>
      <c r="J1035" s="210"/>
      <c r="K1035" s="210"/>
      <c r="L1035" s="210"/>
      <c r="M1035" s="210"/>
      <c r="N1035" s="210"/>
      <c r="P1035" s="211"/>
    </row>
    <row r="1036" spans="3:16">
      <c r="C1036" s="209"/>
      <c r="G1036" s="210"/>
      <c r="H1036" s="210"/>
      <c r="I1036" s="210"/>
      <c r="J1036" s="210"/>
      <c r="K1036" s="210"/>
      <c r="L1036" s="210"/>
      <c r="M1036" s="210"/>
      <c r="N1036" s="210"/>
      <c r="P1036" s="211"/>
    </row>
    <row r="1037" spans="3:16">
      <c r="C1037" s="209"/>
      <c r="G1037" s="210"/>
      <c r="H1037" s="210"/>
      <c r="I1037" s="210"/>
      <c r="J1037" s="210"/>
      <c r="K1037" s="210"/>
      <c r="L1037" s="210"/>
      <c r="M1037" s="210"/>
      <c r="N1037" s="210"/>
      <c r="P1037" s="211"/>
    </row>
    <row r="1038" spans="3:16">
      <c r="C1038" s="209"/>
      <c r="G1038" s="210"/>
      <c r="H1038" s="210"/>
      <c r="I1038" s="210"/>
      <c r="J1038" s="210"/>
      <c r="K1038" s="210"/>
      <c r="L1038" s="210"/>
      <c r="M1038" s="210"/>
      <c r="N1038" s="210"/>
      <c r="P1038" s="211"/>
    </row>
    <row r="1039" spans="3:16">
      <c r="C1039" s="209"/>
      <c r="G1039" s="210"/>
      <c r="H1039" s="210"/>
      <c r="I1039" s="210"/>
      <c r="J1039" s="210"/>
      <c r="K1039" s="210"/>
      <c r="L1039" s="210"/>
      <c r="M1039" s="210"/>
      <c r="N1039" s="210"/>
      <c r="P1039" s="211"/>
    </row>
    <row r="1040" spans="3:16">
      <c r="C1040" s="209"/>
      <c r="G1040" s="210"/>
      <c r="H1040" s="210"/>
      <c r="I1040" s="210"/>
      <c r="J1040" s="210"/>
      <c r="K1040" s="210"/>
      <c r="L1040" s="210"/>
      <c r="M1040" s="210"/>
      <c r="N1040" s="210"/>
      <c r="P1040" s="211"/>
    </row>
    <row r="1041" spans="3:16">
      <c r="C1041" s="209"/>
      <c r="G1041" s="210"/>
      <c r="H1041" s="210"/>
      <c r="I1041" s="210"/>
      <c r="J1041" s="210"/>
      <c r="K1041" s="210"/>
      <c r="L1041" s="210"/>
      <c r="M1041" s="210"/>
      <c r="N1041" s="210"/>
      <c r="P1041" s="211"/>
    </row>
    <row r="1042" spans="3:16">
      <c r="C1042" s="209"/>
      <c r="G1042" s="210"/>
      <c r="H1042" s="210"/>
      <c r="I1042" s="210"/>
      <c r="J1042" s="210"/>
      <c r="K1042" s="210"/>
      <c r="L1042" s="210"/>
      <c r="M1042" s="210"/>
      <c r="N1042" s="210"/>
      <c r="P1042" s="211"/>
    </row>
    <row r="1043" spans="3:16">
      <c r="C1043" s="209"/>
      <c r="G1043" s="210"/>
      <c r="H1043" s="210"/>
      <c r="I1043" s="210"/>
      <c r="J1043" s="210"/>
      <c r="K1043" s="210"/>
      <c r="L1043" s="210"/>
      <c r="M1043" s="210"/>
      <c r="N1043" s="210"/>
      <c r="P1043" s="211"/>
    </row>
    <row r="1044" spans="3:16">
      <c r="C1044" s="209"/>
      <c r="G1044" s="210"/>
      <c r="H1044" s="210"/>
      <c r="I1044" s="210"/>
      <c r="J1044" s="210"/>
      <c r="K1044" s="210"/>
      <c r="L1044" s="210"/>
      <c r="M1044" s="210"/>
      <c r="N1044" s="210"/>
      <c r="P1044" s="211"/>
    </row>
    <row r="1045" spans="3:16">
      <c r="C1045" s="209"/>
      <c r="G1045" s="210"/>
      <c r="H1045" s="210"/>
      <c r="I1045" s="210"/>
      <c r="J1045" s="210"/>
      <c r="K1045" s="210"/>
      <c r="L1045" s="210"/>
      <c r="M1045" s="210"/>
      <c r="N1045" s="210"/>
      <c r="P1045" s="211"/>
    </row>
    <row r="1046" spans="3:16">
      <c r="C1046" s="209"/>
      <c r="G1046" s="210"/>
      <c r="H1046" s="210"/>
      <c r="I1046" s="210"/>
      <c r="J1046" s="210"/>
      <c r="K1046" s="210"/>
      <c r="L1046" s="210"/>
      <c r="M1046" s="210"/>
      <c r="N1046" s="210"/>
      <c r="P1046" s="211"/>
    </row>
    <row r="1047" spans="3:16">
      <c r="C1047" s="209"/>
      <c r="G1047" s="210"/>
      <c r="H1047" s="210"/>
      <c r="I1047" s="210"/>
      <c r="J1047" s="210"/>
      <c r="K1047" s="210"/>
      <c r="L1047" s="210"/>
      <c r="M1047" s="210"/>
      <c r="N1047" s="210"/>
      <c r="P1047" s="211"/>
    </row>
    <row r="1048" spans="3:16">
      <c r="C1048" s="209"/>
      <c r="G1048" s="210"/>
      <c r="H1048" s="210"/>
      <c r="I1048" s="210"/>
      <c r="J1048" s="210"/>
      <c r="K1048" s="210"/>
      <c r="L1048" s="210"/>
      <c r="M1048" s="210"/>
      <c r="N1048" s="210"/>
      <c r="P1048" s="211"/>
    </row>
    <row r="1049" spans="3:16">
      <c r="C1049" s="209"/>
      <c r="G1049" s="210"/>
      <c r="H1049" s="210"/>
      <c r="I1049" s="210"/>
      <c r="J1049" s="210"/>
      <c r="K1049" s="210"/>
      <c r="L1049" s="210"/>
      <c r="M1049" s="210"/>
      <c r="N1049" s="210"/>
      <c r="P1049" s="211"/>
    </row>
    <row r="1050" spans="3:16">
      <c r="C1050" s="209"/>
      <c r="G1050" s="210"/>
      <c r="H1050" s="210"/>
      <c r="I1050" s="210"/>
      <c r="J1050" s="210"/>
      <c r="K1050" s="210"/>
      <c r="L1050" s="210"/>
      <c r="M1050" s="210"/>
      <c r="N1050" s="210"/>
      <c r="P1050" s="211"/>
    </row>
    <row r="1051" spans="3:16">
      <c r="C1051" s="209"/>
      <c r="G1051" s="210"/>
      <c r="H1051" s="210"/>
      <c r="I1051" s="210"/>
      <c r="J1051" s="210"/>
      <c r="K1051" s="210"/>
      <c r="L1051" s="210"/>
      <c r="M1051" s="210"/>
      <c r="N1051" s="210"/>
      <c r="P1051" s="211"/>
    </row>
    <row r="1052" spans="3:16">
      <c r="C1052" s="209"/>
      <c r="G1052" s="210"/>
      <c r="H1052" s="210"/>
      <c r="I1052" s="210"/>
      <c r="J1052" s="210"/>
      <c r="K1052" s="210"/>
      <c r="L1052" s="210"/>
      <c r="M1052" s="210"/>
      <c r="N1052" s="210"/>
      <c r="P1052" s="211"/>
    </row>
    <row r="1053" spans="3:16">
      <c r="C1053" s="209"/>
      <c r="G1053" s="210"/>
      <c r="H1053" s="210"/>
      <c r="I1053" s="210"/>
      <c r="J1053" s="210"/>
      <c r="K1053" s="210"/>
      <c r="L1053" s="210"/>
      <c r="M1053" s="210"/>
      <c r="N1053" s="210"/>
      <c r="P1053" s="211"/>
    </row>
    <row r="1054" spans="3:16">
      <c r="C1054" s="209"/>
      <c r="G1054" s="210"/>
      <c r="H1054" s="210"/>
      <c r="I1054" s="210"/>
      <c r="J1054" s="210"/>
      <c r="K1054" s="210"/>
      <c r="L1054" s="210"/>
      <c r="M1054" s="210"/>
      <c r="N1054" s="210"/>
      <c r="P1054" s="211"/>
    </row>
    <row r="1055" spans="3:16">
      <c r="C1055" s="209"/>
      <c r="G1055" s="210"/>
      <c r="H1055" s="210"/>
      <c r="I1055" s="210"/>
      <c r="J1055" s="210"/>
      <c r="K1055" s="210"/>
      <c r="L1055" s="210"/>
      <c r="M1055" s="210"/>
      <c r="N1055" s="210"/>
      <c r="P1055" s="211"/>
    </row>
    <row r="1056" spans="3:16">
      <c r="C1056" s="209"/>
      <c r="G1056" s="210"/>
      <c r="H1056" s="210"/>
      <c r="I1056" s="210"/>
      <c r="J1056" s="210"/>
      <c r="K1056" s="210"/>
      <c r="L1056" s="210"/>
      <c r="M1056" s="210"/>
      <c r="N1056" s="210"/>
      <c r="P1056" s="211"/>
    </row>
    <row r="1057" spans="3:16">
      <c r="C1057" s="209"/>
      <c r="G1057" s="210"/>
      <c r="H1057" s="210"/>
      <c r="I1057" s="210"/>
      <c r="J1057" s="210"/>
      <c r="K1057" s="210"/>
      <c r="L1057" s="210"/>
      <c r="M1057" s="210"/>
      <c r="N1057" s="210"/>
      <c r="P1057" s="211"/>
    </row>
    <row r="1058" spans="3:16">
      <c r="C1058" s="209"/>
      <c r="G1058" s="210"/>
      <c r="H1058" s="210"/>
      <c r="I1058" s="210"/>
      <c r="J1058" s="210"/>
      <c r="K1058" s="210"/>
      <c r="L1058" s="210"/>
      <c r="M1058" s="210"/>
      <c r="N1058" s="210"/>
      <c r="P1058" s="211"/>
    </row>
    <row r="1059" spans="3:16">
      <c r="C1059" s="209"/>
      <c r="G1059" s="210"/>
      <c r="H1059" s="210"/>
      <c r="I1059" s="210"/>
      <c r="J1059" s="210"/>
      <c r="K1059" s="210"/>
      <c r="L1059" s="210"/>
      <c r="M1059" s="210"/>
      <c r="N1059" s="210"/>
      <c r="P1059" s="211"/>
    </row>
    <row r="1060" spans="3:16">
      <c r="C1060" s="209"/>
      <c r="G1060" s="210"/>
      <c r="H1060" s="210"/>
      <c r="I1060" s="210"/>
      <c r="J1060" s="210"/>
      <c r="K1060" s="210"/>
      <c r="L1060" s="210"/>
      <c r="M1060" s="210"/>
      <c r="N1060" s="210"/>
      <c r="P1060" s="211"/>
    </row>
    <row r="1061" spans="3:16">
      <c r="C1061" s="209"/>
      <c r="G1061" s="210"/>
      <c r="H1061" s="210"/>
      <c r="I1061" s="210"/>
      <c r="J1061" s="210"/>
      <c r="K1061" s="210"/>
      <c r="L1061" s="210"/>
      <c r="M1061" s="210"/>
      <c r="N1061" s="210"/>
      <c r="P1061" s="211"/>
    </row>
    <row r="1062" spans="3:16">
      <c r="C1062" s="209"/>
      <c r="G1062" s="210"/>
      <c r="H1062" s="210"/>
      <c r="I1062" s="210"/>
      <c r="J1062" s="210"/>
      <c r="K1062" s="210"/>
      <c r="L1062" s="210"/>
      <c r="M1062" s="210"/>
      <c r="N1062" s="210"/>
      <c r="P1062" s="211"/>
    </row>
    <row r="1063" spans="3:16">
      <c r="C1063" s="209"/>
      <c r="G1063" s="210"/>
      <c r="H1063" s="210"/>
      <c r="I1063" s="210"/>
      <c r="J1063" s="210"/>
      <c r="K1063" s="210"/>
      <c r="L1063" s="210"/>
      <c r="M1063" s="210"/>
      <c r="N1063" s="210"/>
      <c r="P1063" s="211"/>
    </row>
    <row r="1064" spans="3:16">
      <c r="C1064" s="209"/>
      <c r="G1064" s="210"/>
      <c r="H1064" s="210"/>
      <c r="I1064" s="210"/>
      <c r="J1064" s="210"/>
      <c r="K1064" s="210"/>
      <c r="L1064" s="210"/>
      <c r="M1064" s="210"/>
      <c r="N1064" s="210"/>
      <c r="P1064" s="211"/>
    </row>
    <row r="1065" spans="3:16">
      <c r="C1065" s="209"/>
      <c r="G1065" s="210"/>
      <c r="H1065" s="210"/>
      <c r="I1065" s="210"/>
      <c r="J1065" s="210"/>
      <c r="K1065" s="210"/>
      <c r="L1065" s="210"/>
      <c r="M1065" s="210"/>
      <c r="N1065" s="210"/>
      <c r="P1065" s="211"/>
    </row>
    <row r="1066" spans="3:16">
      <c r="C1066" s="209"/>
      <c r="G1066" s="210"/>
      <c r="H1066" s="210"/>
      <c r="I1066" s="210"/>
      <c r="J1066" s="210"/>
      <c r="K1066" s="210"/>
      <c r="L1066" s="210"/>
      <c r="M1066" s="210"/>
      <c r="N1066" s="210"/>
      <c r="P1066" s="211"/>
    </row>
    <row r="1067" spans="3:16">
      <c r="C1067" s="209"/>
      <c r="G1067" s="210"/>
      <c r="H1067" s="210"/>
      <c r="I1067" s="210"/>
      <c r="J1067" s="210"/>
      <c r="K1067" s="210"/>
      <c r="L1067" s="210"/>
      <c r="M1067" s="210"/>
      <c r="N1067" s="210"/>
      <c r="P1067" s="211"/>
    </row>
    <row r="1068" spans="3:16">
      <c r="C1068" s="209"/>
      <c r="G1068" s="210"/>
      <c r="H1068" s="210"/>
      <c r="I1068" s="210"/>
      <c r="J1068" s="210"/>
      <c r="K1068" s="210"/>
      <c r="L1068" s="210"/>
      <c r="M1068" s="210"/>
      <c r="N1068" s="210"/>
      <c r="P1068" s="211"/>
    </row>
    <row r="1069" spans="3:16">
      <c r="C1069" s="209"/>
      <c r="G1069" s="210"/>
      <c r="H1069" s="210"/>
      <c r="I1069" s="210"/>
      <c r="J1069" s="210"/>
      <c r="K1069" s="210"/>
      <c r="L1069" s="210"/>
      <c r="M1069" s="210"/>
      <c r="N1069" s="210"/>
      <c r="P1069" s="211"/>
    </row>
    <row r="1070" spans="3:16">
      <c r="C1070" s="209"/>
      <c r="G1070" s="210"/>
      <c r="H1070" s="210"/>
      <c r="I1070" s="210"/>
      <c r="J1070" s="210"/>
      <c r="K1070" s="210"/>
      <c r="L1070" s="210"/>
      <c r="M1070" s="210"/>
      <c r="N1070" s="210"/>
      <c r="P1070" s="211"/>
    </row>
    <row r="1071" spans="3:16">
      <c r="C1071" s="209"/>
      <c r="G1071" s="210"/>
      <c r="H1071" s="210"/>
      <c r="I1071" s="210"/>
      <c r="J1071" s="210"/>
      <c r="K1071" s="210"/>
      <c r="L1071" s="210"/>
      <c r="M1071" s="210"/>
      <c r="N1071" s="210"/>
      <c r="P1071" s="211"/>
    </row>
    <row r="1072" spans="3:16">
      <c r="C1072" s="209"/>
      <c r="G1072" s="210"/>
      <c r="H1072" s="210"/>
      <c r="I1072" s="210"/>
      <c r="J1072" s="210"/>
      <c r="K1072" s="210"/>
      <c r="L1072" s="210"/>
      <c r="M1072" s="210"/>
      <c r="N1072" s="210"/>
      <c r="P1072" s="211"/>
    </row>
    <row r="1073" spans="3:16">
      <c r="C1073" s="209"/>
      <c r="G1073" s="210"/>
      <c r="H1073" s="210"/>
      <c r="I1073" s="210"/>
      <c r="J1073" s="210"/>
      <c r="K1073" s="210"/>
      <c r="L1073" s="210"/>
      <c r="M1073" s="210"/>
      <c r="N1073" s="210"/>
      <c r="P1073" s="211"/>
    </row>
    <row r="1074" spans="3:16">
      <c r="C1074" s="209"/>
      <c r="G1074" s="210"/>
      <c r="H1074" s="210"/>
      <c r="I1074" s="210"/>
      <c r="J1074" s="210"/>
      <c r="K1074" s="210"/>
      <c r="L1074" s="210"/>
      <c r="M1074" s="210"/>
      <c r="N1074" s="210"/>
      <c r="P1074" s="211"/>
    </row>
    <row r="1075" spans="3:16">
      <c r="C1075" s="209"/>
      <c r="G1075" s="210"/>
      <c r="H1075" s="210"/>
      <c r="I1075" s="210"/>
      <c r="J1075" s="210"/>
      <c r="K1075" s="210"/>
      <c r="L1075" s="210"/>
      <c r="M1075" s="210"/>
      <c r="N1075" s="210"/>
      <c r="P1075" s="211"/>
    </row>
    <row r="1076" spans="3:16">
      <c r="C1076" s="209"/>
      <c r="G1076" s="210"/>
      <c r="H1076" s="210"/>
      <c r="I1076" s="210"/>
      <c r="J1076" s="210"/>
      <c r="K1076" s="210"/>
      <c r="L1076" s="210"/>
      <c r="M1076" s="210"/>
      <c r="N1076" s="210"/>
      <c r="P1076" s="211"/>
    </row>
    <row r="1077" spans="3:16">
      <c r="C1077" s="209"/>
      <c r="G1077" s="210"/>
      <c r="H1077" s="210"/>
      <c r="I1077" s="210"/>
      <c r="J1077" s="210"/>
      <c r="K1077" s="210"/>
      <c r="L1077" s="210"/>
      <c r="M1077" s="210"/>
      <c r="N1077" s="210"/>
      <c r="P1077" s="211"/>
    </row>
    <row r="1078" spans="3:16">
      <c r="C1078" s="209"/>
      <c r="G1078" s="210"/>
      <c r="H1078" s="210"/>
      <c r="I1078" s="210"/>
      <c r="J1078" s="210"/>
      <c r="K1078" s="210"/>
      <c r="L1078" s="210"/>
      <c r="M1078" s="210"/>
      <c r="N1078" s="210"/>
      <c r="P1078" s="211"/>
    </row>
    <row r="1079" spans="3:16">
      <c r="C1079" s="209"/>
      <c r="G1079" s="210"/>
      <c r="H1079" s="210"/>
      <c r="I1079" s="210"/>
      <c r="J1079" s="210"/>
      <c r="K1079" s="210"/>
      <c r="L1079" s="210"/>
      <c r="M1079" s="210"/>
      <c r="N1079" s="210"/>
      <c r="P1079" s="211"/>
    </row>
    <row r="1080" spans="3:16">
      <c r="C1080" s="209"/>
      <c r="G1080" s="210"/>
      <c r="H1080" s="210"/>
      <c r="I1080" s="210"/>
      <c r="J1080" s="210"/>
      <c r="K1080" s="210"/>
      <c r="L1080" s="210"/>
      <c r="M1080" s="210"/>
      <c r="N1080" s="210"/>
      <c r="P1080" s="211"/>
    </row>
    <row r="1081" spans="3:16">
      <c r="C1081" s="209"/>
      <c r="G1081" s="210"/>
      <c r="H1081" s="210"/>
      <c r="I1081" s="210"/>
      <c r="J1081" s="210"/>
      <c r="K1081" s="210"/>
      <c r="L1081" s="210"/>
      <c r="M1081" s="210"/>
      <c r="N1081" s="210"/>
      <c r="P1081" s="211"/>
    </row>
    <row r="1082" spans="3:16">
      <c r="C1082" s="209"/>
      <c r="G1082" s="210"/>
      <c r="H1082" s="210"/>
      <c r="I1082" s="210"/>
      <c r="J1082" s="210"/>
      <c r="K1082" s="210"/>
      <c r="L1082" s="210"/>
      <c r="M1082" s="210"/>
      <c r="N1082" s="210"/>
      <c r="P1082" s="211"/>
    </row>
    <row r="1083" spans="3:16">
      <c r="C1083" s="209"/>
      <c r="G1083" s="210"/>
      <c r="H1083" s="210"/>
      <c r="I1083" s="210"/>
      <c r="J1083" s="210"/>
      <c r="K1083" s="210"/>
      <c r="L1083" s="210"/>
      <c r="M1083" s="210"/>
      <c r="N1083" s="210"/>
      <c r="P1083" s="211"/>
    </row>
    <row r="1084" spans="3:16">
      <c r="C1084" s="209"/>
      <c r="G1084" s="210"/>
      <c r="H1084" s="210"/>
      <c r="I1084" s="210"/>
      <c r="J1084" s="210"/>
      <c r="K1084" s="210"/>
      <c r="L1084" s="210"/>
      <c r="M1084" s="210"/>
      <c r="N1084" s="210"/>
      <c r="P1084" s="211"/>
    </row>
    <row r="1085" spans="3:16">
      <c r="C1085" s="209"/>
      <c r="G1085" s="210"/>
      <c r="H1085" s="210"/>
      <c r="I1085" s="210"/>
      <c r="J1085" s="210"/>
      <c r="K1085" s="210"/>
      <c r="L1085" s="210"/>
      <c r="M1085" s="210"/>
      <c r="N1085" s="210"/>
      <c r="P1085" s="211"/>
    </row>
    <row r="1086" spans="3:16">
      <c r="C1086" s="209"/>
      <c r="G1086" s="210"/>
      <c r="H1086" s="210"/>
      <c r="I1086" s="210"/>
      <c r="J1086" s="210"/>
      <c r="K1086" s="210"/>
      <c r="L1086" s="210"/>
      <c r="M1086" s="210"/>
      <c r="N1086" s="210"/>
      <c r="P1086" s="211"/>
    </row>
    <row r="1087" spans="3:16">
      <c r="C1087" s="209"/>
      <c r="G1087" s="210"/>
      <c r="H1087" s="210"/>
      <c r="I1087" s="210"/>
      <c r="J1087" s="210"/>
      <c r="K1087" s="210"/>
      <c r="L1087" s="210"/>
      <c r="M1087" s="210"/>
      <c r="N1087" s="210"/>
      <c r="P1087" s="211"/>
    </row>
    <row r="1088" spans="3:16">
      <c r="C1088" s="209"/>
      <c r="G1088" s="210"/>
      <c r="H1088" s="210"/>
      <c r="I1088" s="210"/>
      <c r="J1088" s="210"/>
      <c r="K1088" s="210"/>
      <c r="L1088" s="210"/>
      <c r="M1088" s="210"/>
      <c r="N1088" s="210"/>
      <c r="P1088" s="211"/>
    </row>
    <row r="1089" spans="3:16">
      <c r="C1089" s="209"/>
      <c r="G1089" s="210"/>
      <c r="H1089" s="210"/>
      <c r="I1089" s="210"/>
      <c r="J1089" s="210"/>
      <c r="K1089" s="210"/>
      <c r="L1089" s="210"/>
      <c r="M1089" s="210"/>
      <c r="N1089" s="210"/>
      <c r="P1089" s="211"/>
    </row>
    <row r="1090" spans="3:16">
      <c r="C1090" s="209"/>
      <c r="G1090" s="210"/>
      <c r="H1090" s="210"/>
      <c r="I1090" s="210"/>
      <c r="J1090" s="210"/>
      <c r="K1090" s="210"/>
      <c r="L1090" s="210"/>
      <c r="M1090" s="210"/>
      <c r="N1090" s="210"/>
      <c r="P1090" s="211"/>
    </row>
    <row r="1091" spans="3:16">
      <c r="C1091" s="209"/>
      <c r="G1091" s="210"/>
      <c r="H1091" s="210"/>
      <c r="I1091" s="210"/>
      <c r="J1091" s="210"/>
      <c r="K1091" s="210"/>
      <c r="L1091" s="210"/>
      <c r="M1091" s="210"/>
      <c r="N1091" s="210"/>
      <c r="P1091" s="211"/>
    </row>
    <row r="1092" spans="3:16">
      <c r="C1092" s="209"/>
      <c r="G1092" s="210"/>
      <c r="H1092" s="210"/>
      <c r="I1092" s="210"/>
      <c r="J1092" s="210"/>
      <c r="K1092" s="210"/>
      <c r="L1092" s="210"/>
      <c r="M1092" s="210"/>
      <c r="N1092" s="210"/>
      <c r="P1092" s="211"/>
    </row>
    <row r="1093" spans="3:16">
      <c r="C1093" s="209"/>
      <c r="G1093" s="210"/>
      <c r="H1093" s="210"/>
      <c r="I1093" s="210"/>
      <c r="J1093" s="210"/>
      <c r="K1093" s="210"/>
      <c r="L1093" s="210"/>
      <c r="M1093" s="210"/>
      <c r="N1093" s="210"/>
      <c r="P1093" s="211"/>
    </row>
    <row r="1094" spans="3:16">
      <c r="C1094" s="209"/>
      <c r="G1094" s="210"/>
      <c r="H1094" s="210"/>
      <c r="I1094" s="210"/>
      <c r="J1094" s="210"/>
      <c r="K1094" s="210"/>
      <c r="L1094" s="210"/>
      <c r="M1094" s="210"/>
      <c r="N1094" s="210"/>
      <c r="P1094" s="211"/>
    </row>
    <row r="1095" spans="3:16">
      <c r="C1095" s="209"/>
      <c r="G1095" s="210"/>
      <c r="H1095" s="210"/>
      <c r="I1095" s="210"/>
      <c r="J1095" s="210"/>
      <c r="K1095" s="210"/>
      <c r="L1095" s="210"/>
      <c r="M1095" s="210"/>
      <c r="N1095" s="210"/>
      <c r="P1095" s="211"/>
    </row>
    <row r="1096" spans="3:16">
      <c r="C1096" s="209"/>
      <c r="G1096" s="210"/>
      <c r="H1096" s="210"/>
      <c r="I1096" s="210"/>
      <c r="J1096" s="210"/>
      <c r="K1096" s="210"/>
      <c r="L1096" s="210"/>
      <c r="M1096" s="210"/>
      <c r="N1096" s="210"/>
      <c r="P1096" s="211"/>
    </row>
    <row r="1097" spans="3:16">
      <c r="C1097" s="209"/>
      <c r="G1097" s="210"/>
      <c r="H1097" s="210"/>
      <c r="I1097" s="210"/>
      <c r="J1097" s="210"/>
      <c r="K1097" s="210"/>
      <c r="L1097" s="210"/>
      <c r="M1097" s="210"/>
      <c r="N1097" s="210"/>
      <c r="P1097" s="211"/>
    </row>
    <row r="1098" spans="3:16">
      <c r="C1098" s="209"/>
      <c r="G1098" s="210"/>
      <c r="H1098" s="210"/>
      <c r="I1098" s="210"/>
      <c r="J1098" s="210"/>
      <c r="K1098" s="210"/>
      <c r="L1098" s="210"/>
      <c r="M1098" s="210"/>
      <c r="N1098" s="210"/>
      <c r="P1098" s="211"/>
    </row>
    <row r="1099" spans="3:16">
      <c r="C1099" s="209"/>
      <c r="G1099" s="210"/>
      <c r="H1099" s="210"/>
      <c r="I1099" s="210"/>
      <c r="J1099" s="210"/>
      <c r="K1099" s="210"/>
      <c r="L1099" s="210"/>
      <c r="M1099" s="210"/>
      <c r="N1099" s="210"/>
      <c r="P1099" s="211"/>
    </row>
    <row r="1100" spans="3:16">
      <c r="C1100" s="209"/>
      <c r="G1100" s="210"/>
      <c r="H1100" s="210"/>
      <c r="I1100" s="210"/>
      <c r="J1100" s="210"/>
      <c r="K1100" s="210"/>
      <c r="L1100" s="210"/>
      <c r="M1100" s="210"/>
      <c r="N1100" s="210"/>
      <c r="P1100" s="211"/>
    </row>
    <row r="1101" spans="3:16">
      <c r="C1101" s="209"/>
      <c r="G1101" s="210"/>
      <c r="H1101" s="210"/>
      <c r="I1101" s="210"/>
      <c r="J1101" s="210"/>
      <c r="K1101" s="210"/>
      <c r="L1101" s="210"/>
      <c r="M1101" s="210"/>
      <c r="N1101" s="210"/>
      <c r="P1101" s="211"/>
    </row>
    <row r="1102" spans="3:16">
      <c r="C1102" s="209"/>
      <c r="G1102" s="210"/>
      <c r="H1102" s="210"/>
      <c r="I1102" s="210"/>
      <c r="J1102" s="210"/>
      <c r="K1102" s="210"/>
      <c r="L1102" s="210"/>
      <c r="M1102" s="210"/>
      <c r="N1102" s="210"/>
      <c r="P1102" s="211"/>
    </row>
    <row r="1103" spans="3:16">
      <c r="C1103" s="209"/>
      <c r="G1103" s="210"/>
      <c r="H1103" s="210"/>
      <c r="I1103" s="210"/>
      <c r="J1103" s="210"/>
      <c r="K1103" s="210"/>
      <c r="L1103" s="210"/>
      <c r="M1103" s="210"/>
      <c r="N1103" s="210"/>
      <c r="P1103" s="211"/>
    </row>
    <row r="1104" spans="3:16">
      <c r="C1104" s="209"/>
      <c r="G1104" s="210"/>
      <c r="H1104" s="210"/>
      <c r="I1104" s="210"/>
      <c r="J1104" s="210"/>
      <c r="K1104" s="210"/>
      <c r="L1104" s="210"/>
      <c r="M1104" s="210"/>
      <c r="N1104" s="210"/>
      <c r="P1104" s="211"/>
    </row>
    <row r="1105" spans="3:16">
      <c r="C1105" s="209"/>
      <c r="G1105" s="210"/>
      <c r="H1105" s="210"/>
      <c r="I1105" s="210"/>
      <c r="J1105" s="210"/>
      <c r="K1105" s="210"/>
      <c r="L1105" s="210"/>
      <c r="M1105" s="210"/>
      <c r="N1105" s="210"/>
      <c r="P1105" s="211"/>
    </row>
    <row r="1106" spans="3:16">
      <c r="C1106" s="209"/>
      <c r="G1106" s="210"/>
      <c r="H1106" s="210"/>
      <c r="I1106" s="210"/>
      <c r="J1106" s="210"/>
      <c r="K1106" s="210"/>
      <c r="L1106" s="210"/>
      <c r="M1106" s="210"/>
      <c r="N1106" s="210"/>
      <c r="P1106" s="211"/>
    </row>
    <row r="1107" spans="3:16">
      <c r="C1107" s="209"/>
      <c r="G1107" s="210"/>
      <c r="H1107" s="210"/>
      <c r="I1107" s="210"/>
      <c r="J1107" s="210"/>
      <c r="K1107" s="210"/>
      <c r="L1107" s="210"/>
      <c r="M1107" s="210"/>
      <c r="N1107" s="210"/>
      <c r="P1107" s="211"/>
    </row>
    <row r="1108" spans="3:16">
      <c r="C1108" s="209"/>
      <c r="G1108" s="210"/>
      <c r="H1108" s="210"/>
      <c r="I1108" s="210"/>
      <c r="J1108" s="210"/>
      <c r="K1108" s="210"/>
      <c r="L1108" s="210"/>
      <c r="M1108" s="210"/>
      <c r="N1108" s="210"/>
      <c r="P1108" s="211"/>
    </row>
    <row r="1109" spans="3:16">
      <c r="C1109" s="209"/>
      <c r="G1109" s="210"/>
      <c r="H1109" s="210"/>
      <c r="I1109" s="210"/>
      <c r="J1109" s="210"/>
      <c r="K1109" s="210"/>
      <c r="L1109" s="210"/>
      <c r="M1109" s="210"/>
      <c r="N1109" s="210"/>
      <c r="P1109" s="211"/>
    </row>
    <row r="1110" spans="3:16">
      <c r="C1110" s="209"/>
      <c r="G1110" s="210"/>
      <c r="H1110" s="210"/>
      <c r="I1110" s="210"/>
      <c r="J1110" s="210"/>
      <c r="K1110" s="210"/>
      <c r="L1110" s="210"/>
      <c r="M1110" s="210"/>
      <c r="N1110" s="210"/>
      <c r="P1110" s="211"/>
    </row>
    <row r="1111" spans="3:16">
      <c r="C1111" s="209"/>
      <c r="G1111" s="210"/>
      <c r="H1111" s="210"/>
      <c r="I1111" s="210"/>
      <c r="J1111" s="210"/>
      <c r="K1111" s="210"/>
      <c r="L1111" s="210"/>
      <c r="M1111" s="210"/>
      <c r="N1111" s="210"/>
      <c r="P1111" s="211"/>
    </row>
    <row r="1112" spans="3:16">
      <c r="C1112" s="209"/>
      <c r="G1112" s="210"/>
      <c r="H1112" s="210"/>
      <c r="I1112" s="210"/>
      <c r="J1112" s="210"/>
      <c r="K1112" s="210"/>
      <c r="L1112" s="210"/>
      <c r="M1112" s="210"/>
      <c r="N1112" s="210"/>
      <c r="P1112" s="211"/>
    </row>
    <row r="1113" spans="3:16">
      <c r="C1113" s="209"/>
      <c r="G1113" s="210"/>
      <c r="H1113" s="210"/>
      <c r="I1113" s="210"/>
      <c r="J1113" s="210"/>
      <c r="K1113" s="210"/>
      <c r="L1113" s="210"/>
      <c r="M1113" s="210"/>
      <c r="N1113" s="210"/>
      <c r="P1113" s="211"/>
    </row>
    <row r="1114" spans="3:16">
      <c r="C1114" s="209"/>
      <c r="G1114" s="210"/>
      <c r="H1114" s="210"/>
      <c r="I1114" s="210"/>
      <c r="J1114" s="210"/>
      <c r="K1114" s="210"/>
      <c r="L1114" s="210"/>
      <c r="M1114" s="210"/>
      <c r="N1114" s="210"/>
      <c r="P1114" s="211"/>
    </row>
    <row r="1115" spans="3:16">
      <c r="C1115" s="209"/>
      <c r="G1115" s="210"/>
      <c r="H1115" s="210"/>
      <c r="I1115" s="210"/>
      <c r="J1115" s="210"/>
      <c r="K1115" s="210"/>
      <c r="L1115" s="210"/>
      <c r="M1115" s="210"/>
      <c r="N1115" s="210"/>
      <c r="P1115" s="211"/>
    </row>
    <row r="1116" spans="3:16">
      <c r="C1116" s="209"/>
      <c r="G1116" s="210"/>
      <c r="H1116" s="210"/>
      <c r="I1116" s="210"/>
      <c r="J1116" s="210"/>
      <c r="K1116" s="210"/>
      <c r="L1116" s="210"/>
      <c r="M1116" s="210"/>
      <c r="N1116" s="210"/>
      <c r="P1116" s="211"/>
    </row>
    <row r="1117" spans="3:16">
      <c r="C1117" s="209"/>
      <c r="G1117" s="210"/>
      <c r="H1117" s="210"/>
      <c r="I1117" s="210"/>
      <c r="J1117" s="210"/>
      <c r="K1117" s="210"/>
      <c r="L1117" s="210"/>
      <c r="M1117" s="210"/>
      <c r="N1117" s="210"/>
      <c r="P1117" s="211"/>
    </row>
    <row r="1118" spans="3:16">
      <c r="C1118" s="209"/>
      <c r="G1118" s="210"/>
      <c r="H1118" s="210"/>
      <c r="I1118" s="210"/>
      <c r="J1118" s="210"/>
      <c r="K1118" s="210"/>
      <c r="L1118" s="210"/>
      <c r="M1118" s="210"/>
      <c r="N1118" s="210"/>
      <c r="P1118" s="211"/>
    </row>
    <row r="1119" spans="3:16">
      <c r="C1119" s="209"/>
      <c r="G1119" s="210"/>
      <c r="H1119" s="210"/>
      <c r="I1119" s="210"/>
      <c r="J1119" s="210"/>
      <c r="K1119" s="210"/>
      <c r="L1119" s="210"/>
      <c r="M1119" s="210"/>
      <c r="N1119" s="210"/>
      <c r="P1119" s="211"/>
    </row>
    <row r="1120" spans="3:16">
      <c r="C1120" s="209"/>
      <c r="G1120" s="210"/>
      <c r="H1120" s="210"/>
      <c r="I1120" s="210"/>
      <c r="J1120" s="210"/>
      <c r="K1120" s="210"/>
      <c r="L1120" s="210"/>
      <c r="M1120" s="210"/>
      <c r="N1120" s="210"/>
      <c r="P1120" s="211"/>
    </row>
    <row r="1121" spans="3:16">
      <c r="C1121" s="209"/>
      <c r="G1121" s="210"/>
      <c r="H1121" s="210"/>
      <c r="I1121" s="210"/>
      <c r="J1121" s="210"/>
      <c r="K1121" s="210"/>
      <c r="L1121" s="210"/>
      <c r="M1121" s="210"/>
      <c r="N1121" s="210"/>
      <c r="P1121" s="211"/>
    </row>
    <row r="1122" spans="3:16">
      <c r="C1122" s="209"/>
      <c r="G1122" s="210"/>
      <c r="H1122" s="210"/>
      <c r="I1122" s="210"/>
      <c r="J1122" s="210"/>
      <c r="K1122" s="210"/>
      <c r="L1122" s="210"/>
      <c r="M1122" s="210"/>
      <c r="N1122" s="210"/>
      <c r="P1122" s="211"/>
    </row>
    <row r="1123" spans="3:16">
      <c r="C1123" s="209"/>
      <c r="G1123" s="210"/>
      <c r="H1123" s="210"/>
      <c r="I1123" s="210"/>
      <c r="J1123" s="210"/>
      <c r="K1123" s="210"/>
      <c r="L1123" s="210"/>
      <c r="M1123" s="210"/>
      <c r="N1123" s="210"/>
      <c r="P1123" s="211"/>
    </row>
    <row r="1124" spans="3:16">
      <c r="C1124" s="209"/>
      <c r="G1124" s="210"/>
      <c r="H1124" s="210"/>
      <c r="I1124" s="210"/>
      <c r="J1124" s="210"/>
      <c r="K1124" s="210"/>
      <c r="L1124" s="210"/>
      <c r="M1124" s="210"/>
      <c r="N1124" s="210"/>
      <c r="P1124" s="211"/>
    </row>
    <row r="1125" spans="3:16">
      <c r="C1125" s="209"/>
      <c r="G1125" s="210"/>
      <c r="H1125" s="210"/>
      <c r="I1125" s="210"/>
      <c r="J1125" s="210"/>
      <c r="K1125" s="210"/>
      <c r="L1125" s="210"/>
      <c r="M1125" s="210"/>
      <c r="N1125" s="210"/>
      <c r="P1125" s="211"/>
    </row>
    <row r="1126" spans="3:16">
      <c r="C1126" s="209"/>
      <c r="G1126" s="210"/>
      <c r="H1126" s="210"/>
      <c r="I1126" s="210"/>
      <c r="J1126" s="210"/>
      <c r="K1126" s="210"/>
      <c r="L1126" s="210"/>
      <c r="M1126" s="210"/>
      <c r="N1126" s="210"/>
      <c r="P1126" s="211"/>
    </row>
    <row r="1127" spans="3:16">
      <c r="C1127" s="209"/>
      <c r="G1127" s="210"/>
      <c r="H1127" s="210"/>
      <c r="I1127" s="210"/>
      <c r="J1127" s="210"/>
      <c r="K1127" s="210"/>
      <c r="L1127" s="210"/>
      <c r="M1127" s="210"/>
      <c r="N1127" s="210"/>
      <c r="P1127" s="211"/>
    </row>
    <row r="1128" spans="3:16">
      <c r="C1128" s="209"/>
      <c r="G1128" s="210"/>
      <c r="H1128" s="210"/>
      <c r="I1128" s="210"/>
      <c r="J1128" s="210"/>
      <c r="K1128" s="210"/>
      <c r="L1128" s="210"/>
      <c r="M1128" s="210"/>
      <c r="N1128" s="210"/>
      <c r="P1128" s="211"/>
    </row>
    <row r="1129" spans="3:16">
      <c r="C1129" s="209"/>
      <c r="G1129" s="210"/>
      <c r="H1129" s="210"/>
      <c r="I1129" s="210"/>
      <c r="J1129" s="210"/>
      <c r="K1129" s="210"/>
      <c r="L1129" s="210"/>
      <c r="M1129" s="210"/>
      <c r="N1129" s="210"/>
      <c r="P1129" s="211"/>
    </row>
    <row r="1130" spans="3:16">
      <c r="C1130" s="209"/>
      <c r="G1130" s="210"/>
      <c r="H1130" s="210"/>
      <c r="I1130" s="210"/>
      <c r="J1130" s="210"/>
      <c r="K1130" s="210"/>
      <c r="L1130" s="210"/>
      <c r="M1130" s="210"/>
      <c r="N1130" s="210"/>
      <c r="P1130" s="211"/>
    </row>
    <row r="1131" spans="3:16">
      <c r="C1131" s="209"/>
      <c r="G1131" s="210"/>
      <c r="H1131" s="210"/>
      <c r="I1131" s="210"/>
      <c r="J1131" s="210"/>
      <c r="K1131" s="210"/>
      <c r="L1131" s="210"/>
      <c r="M1131" s="210"/>
      <c r="N1131" s="210"/>
      <c r="P1131" s="211"/>
    </row>
    <row r="1132" spans="3:16">
      <c r="C1132" s="209"/>
      <c r="G1132" s="210"/>
      <c r="H1132" s="210"/>
      <c r="I1132" s="210"/>
      <c r="J1132" s="210"/>
      <c r="K1132" s="210"/>
      <c r="L1132" s="210"/>
      <c r="M1132" s="210"/>
      <c r="N1132" s="210"/>
      <c r="P1132" s="211"/>
    </row>
    <row r="1133" spans="3:16">
      <c r="C1133" s="209"/>
      <c r="G1133" s="210"/>
      <c r="H1133" s="210"/>
      <c r="I1133" s="210"/>
      <c r="J1133" s="210"/>
      <c r="K1133" s="210"/>
      <c r="L1133" s="210"/>
      <c r="M1133" s="210"/>
      <c r="N1133" s="210"/>
      <c r="P1133" s="211"/>
    </row>
    <row r="1134" spans="3:16">
      <c r="C1134" s="209"/>
      <c r="G1134" s="210"/>
      <c r="H1134" s="210"/>
      <c r="I1134" s="210"/>
      <c r="J1134" s="210"/>
      <c r="K1134" s="210"/>
      <c r="L1134" s="210"/>
      <c r="M1134" s="210"/>
      <c r="N1134" s="210"/>
      <c r="P1134" s="211"/>
    </row>
    <row r="1135" spans="3:16">
      <c r="C1135" s="209"/>
      <c r="G1135" s="210"/>
      <c r="H1135" s="210"/>
      <c r="I1135" s="210"/>
      <c r="J1135" s="210"/>
      <c r="K1135" s="210"/>
      <c r="L1135" s="210"/>
      <c r="M1135" s="210"/>
      <c r="N1135" s="210"/>
      <c r="P1135" s="211"/>
    </row>
    <row r="1136" spans="3:16">
      <c r="C1136" s="209"/>
      <c r="G1136" s="210"/>
      <c r="H1136" s="210"/>
      <c r="I1136" s="210"/>
      <c r="J1136" s="210"/>
      <c r="K1136" s="210"/>
      <c r="L1136" s="210"/>
      <c r="M1136" s="210"/>
      <c r="N1136" s="210"/>
      <c r="P1136" s="211"/>
    </row>
    <row r="1137" spans="3:16">
      <c r="C1137" s="209"/>
      <c r="G1137" s="210"/>
      <c r="H1137" s="210"/>
      <c r="I1137" s="210"/>
      <c r="J1137" s="210"/>
      <c r="K1137" s="210"/>
      <c r="L1137" s="210"/>
      <c r="M1137" s="210"/>
      <c r="N1137" s="210"/>
      <c r="P1137" s="211"/>
    </row>
    <row r="1138" spans="3:16">
      <c r="C1138" s="209"/>
      <c r="G1138" s="210"/>
      <c r="H1138" s="210"/>
      <c r="I1138" s="210"/>
      <c r="J1138" s="210"/>
      <c r="K1138" s="210"/>
      <c r="L1138" s="210"/>
      <c r="M1138" s="210"/>
      <c r="N1138" s="210"/>
      <c r="P1138" s="211"/>
    </row>
    <row r="1139" spans="3:16">
      <c r="C1139" s="209"/>
      <c r="G1139" s="210"/>
      <c r="H1139" s="210"/>
      <c r="I1139" s="210"/>
      <c r="J1139" s="210"/>
      <c r="K1139" s="210"/>
      <c r="L1139" s="210"/>
      <c r="M1139" s="210"/>
      <c r="N1139" s="210"/>
      <c r="P1139" s="211"/>
    </row>
    <row r="1140" spans="3:16">
      <c r="C1140" s="209"/>
      <c r="G1140" s="210"/>
      <c r="H1140" s="210"/>
      <c r="I1140" s="210"/>
      <c r="J1140" s="210"/>
      <c r="K1140" s="210"/>
      <c r="L1140" s="210"/>
      <c r="M1140" s="210"/>
      <c r="N1140" s="210"/>
      <c r="P1140" s="211"/>
    </row>
    <row r="1141" spans="3:16">
      <c r="C1141" s="209"/>
      <c r="G1141" s="210"/>
      <c r="H1141" s="210"/>
      <c r="I1141" s="210"/>
      <c r="J1141" s="210"/>
      <c r="K1141" s="210"/>
      <c r="L1141" s="210"/>
      <c r="M1141" s="210"/>
      <c r="N1141" s="210"/>
      <c r="P1141" s="211"/>
    </row>
    <row r="1142" spans="3:16">
      <c r="C1142" s="209"/>
      <c r="G1142" s="210"/>
      <c r="H1142" s="210"/>
      <c r="I1142" s="210"/>
      <c r="J1142" s="210"/>
      <c r="K1142" s="210"/>
      <c r="L1142" s="210"/>
      <c r="M1142" s="210"/>
      <c r="N1142" s="210"/>
      <c r="P1142" s="211"/>
    </row>
    <row r="1143" spans="3:16">
      <c r="C1143" s="209"/>
      <c r="G1143" s="210"/>
      <c r="H1143" s="210"/>
      <c r="I1143" s="210"/>
      <c r="J1143" s="210"/>
      <c r="K1143" s="210"/>
      <c r="L1143" s="210"/>
      <c r="M1143" s="210"/>
      <c r="N1143" s="210"/>
      <c r="P1143" s="211"/>
    </row>
    <row r="1144" spans="3:16">
      <c r="C1144" s="209"/>
      <c r="G1144" s="210"/>
      <c r="H1144" s="210"/>
      <c r="I1144" s="210"/>
      <c r="J1144" s="210"/>
      <c r="K1144" s="210"/>
      <c r="L1144" s="210"/>
      <c r="M1144" s="210"/>
      <c r="N1144" s="210"/>
      <c r="P1144" s="211"/>
    </row>
    <row r="1145" spans="3:16">
      <c r="C1145" s="209"/>
      <c r="G1145" s="210"/>
      <c r="H1145" s="210"/>
      <c r="I1145" s="210"/>
      <c r="J1145" s="210"/>
      <c r="K1145" s="210"/>
      <c r="L1145" s="210"/>
      <c r="M1145" s="210"/>
      <c r="N1145" s="210"/>
      <c r="P1145" s="211"/>
    </row>
    <row r="1146" spans="3:16">
      <c r="C1146" s="209"/>
      <c r="G1146" s="210"/>
      <c r="H1146" s="210"/>
      <c r="I1146" s="210"/>
      <c r="J1146" s="210"/>
      <c r="K1146" s="210"/>
      <c r="L1146" s="210"/>
      <c r="M1146" s="210"/>
      <c r="N1146" s="210"/>
      <c r="P1146" s="211"/>
    </row>
    <row r="1147" spans="3:16">
      <c r="C1147" s="209"/>
      <c r="G1147" s="210"/>
      <c r="H1147" s="210"/>
      <c r="I1147" s="210"/>
      <c r="J1147" s="210"/>
      <c r="K1147" s="210"/>
      <c r="L1147" s="210"/>
      <c r="M1147" s="210"/>
      <c r="N1147" s="210"/>
      <c r="P1147" s="211"/>
    </row>
    <row r="1148" spans="3:16">
      <c r="C1148" s="209"/>
      <c r="G1148" s="210"/>
      <c r="H1148" s="210"/>
      <c r="I1148" s="210"/>
      <c r="J1148" s="210"/>
      <c r="K1148" s="210"/>
      <c r="L1148" s="210"/>
      <c r="M1148" s="210"/>
      <c r="N1148" s="210"/>
      <c r="P1148" s="211"/>
    </row>
    <row r="1149" spans="3:16">
      <c r="C1149" s="209"/>
      <c r="G1149" s="210"/>
      <c r="H1149" s="210"/>
      <c r="I1149" s="210"/>
      <c r="J1149" s="210"/>
      <c r="K1149" s="210"/>
      <c r="L1149" s="210"/>
      <c r="M1149" s="210"/>
      <c r="N1149" s="210"/>
      <c r="P1149" s="211"/>
    </row>
    <row r="1150" spans="3:16">
      <c r="C1150" s="209"/>
      <c r="G1150" s="210"/>
      <c r="H1150" s="210"/>
      <c r="I1150" s="210"/>
      <c r="J1150" s="210"/>
      <c r="K1150" s="210"/>
      <c r="L1150" s="210"/>
      <c r="M1150" s="210"/>
      <c r="N1150" s="210"/>
      <c r="P1150" s="211"/>
    </row>
    <row r="1151" spans="3:16">
      <c r="C1151" s="209"/>
      <c r="G1151" s="210"/>
      <c r="H1151" s="210"/>
      <c r="I1151" s="210"/>
      <c r="J1151" s="210"/>
      <c r="K1151" s="210"/>
      <c r="L1151" s="210"/>
      <c r="M1151" s="210"/>
      <c r="N1151" s="210"/>
      <c r="P1151" s="211"/>
    </row>
    <row r="1152" spans="3:16">
      <c r="C1152" s="209"/>
      <c r="G1152" s="210"/>
      <c r="H1152" s="210"/>
      <c r="I1152" s="210"/>
      <c r="J1152" s="210"/>
      <c r="K1152" s="210"/>
      <c r="L1152" s="210"/>
      <c r="M1152" s="210"/>
      <c r="N1152" s="210"/>
      <c r="P1152" s="211"/>
    </row>
    <row r="1153" spans="3:16">
      <c r="C1153" s="209"/>
      <c r="G1153" s="210"/>
      <c r="H1153" s="210"/>
      <c r="I1153" s="210"/>
      <c r="J1153" s="210"/>
      <c r="K1153" s="210"/>
      <c r="L1153" s="210"/>
      <c r="M1153" s="210"/>
      <c r="N1153" s="210"/>
      <c r="P1153" s="211"/>
    </row>
    <row r="1154" spans="3:16">
      <c r="C1154" s="209"/>
      <c r="G1154" s="210"/>
      <c r="H1154" s="210"/>
      <c r="I1154" s="210"/>
      <c r="J1154" s="210"/>
      <c r="K1154" s="210"/>
      <c r="L1154" s="210"/>
      <c r="M1154" s="210"/>
      <c r="N1154" s="210"/>
      <c r="P1154" s="211"/>
    </row>
    <row r="1155" spans="3:16">
      <c r="C1155" s="209"/>
      <c r="G1155" s="210"/>
      <c r="H1155" s="210"/>
      <c r="I1155" s="210"/>
      <c r="J1155" s="210"/>
      <c r="K1155" s="210"/>
      <c r="L1155" s="210"/>
      <c r="M1155" s="210"/>
      <c r="N1155" s="210"/>
      <c r="P1155" s="211"/>
    </row>
    <row r="1156" spans="3:16">
      <c r="C1156" s="209"/>
      <c r="G1156" s="210"/>
      <c r="H1156" s="210"/>
      <c r="I1156" s="210"/>
      <c r="J1156" s="210"/>
      <c r="K1156" s="210"/>
      <c r="L1156" s="210"/>
      <c r="M1156" s="210"/>
      <c r="N1156" s="210"/>
      <c r="P1156" s="211"/>
    </row>
    <row r="1157" spans="3:16">
      <c r="C1157" s="209"/>
      <c r="G1157" s="210"/>
      <c r="H1157" s="210"/>
      <c r="I1157" s="210"/>
      <c r="J1157" s="210"/>
      <c r="K1157" s="210"/>
      <c r="L1157" s="210"/>
      <c r="M1157" s="210"/>
      <c r="N1157" s="210"/>
      <c r="P1157" s="211"/>
    </row>
    <row r="1158" spans="3:16">
      <c r="C1158" s="209"/>
      <c r="G1158" s="210"/>
      <c r="H1158" s="210"/>
      <c r="I1158" s="210"/>
      <c r="J1158" s="210"/>
      <c r="K1158" s="210"/>
      <c r="L1158" s="210"/>
      <c r="M1158" s="210"/>
      <c r="N1158" s="210"/>
      <c r="P1158" s="211"/>
    </row>
    <row r="1159" spans="3:16">
      <c r="C1159" s="209"/>
      <c r="G1159" s="210"/>
      <c r="H1159" s="210"/>
      <c r="I1159" s="210"/>
      <c r="J1159" s="210"/>
      <c r="K1159" s="210"/>
      <c r="L1159" s="210"/>
      <c r="M1159" s="210"/>
      <c r="N1159" s="210"/>
      <c r="P1159" s="211"/>
    </row>
    <row r="1160" spans="3:16">
      <c r="C1160" s="209"/>
      <c r="G1160" s="210"/>
      <c r="H1160" s="210"/>
      <c r="I1160" s="210"/>
      <c r="J1160" s="210"/>
      <c r="K1160" s="210"/>
      <c r="L1160" s="210"/>
      <c r="M1160" s="210"/>
      <c r="N1160" s="210"/>
      <c r="P1160" s="211"/>
    </row>
    <row r="1161" spans="3:16">
      <c r="C1161" s="209"/>
      <c r="G1161" s="210"/>
      <c r="H1161" s="210"/>
      <c r="I1161" s="210"/>
      <c r="J1161" s="210"/>
      <c r="K1161" s="210"/>
      <c r="L1161" s="210"/>
      <c r="M1161" s="210"/>
      <c r="N1161" s="210"/>
      <c r="P1161" s="211"/>
    </row>
    <row r="1162" spans="3:16">
      <c r="C1162" s="209"/>
      <c r="G1162" s="210"/>
      <c r="H1162" s="210"/>
      <c r="I1162" s="210"/>
      <c r="J1162" s="210"/>
      <c r="K1162" s="210"/>
      <c r="L1162" s="210"/>
      <c r="M1162" s="210"/>
      <c r="N1162" s="210"/>
      <c r="P1162" s="211"/>
    </row>
    <row r="1163" spans="3:16">
      <c r="C1163" s="209"/>
      <c r="G1163" s="210"/>
      <c r="H1163" s="210"/>
      <c r="I1163" s="210"/>
      <c r="J1163" s="210"/>
      <c r="K1163" s="210"/>
      <c r="L1163" s="210"/>
      <c r="M1163" s="210"/>
      <c r="N1163" s="210"/>
      <c r="P1163" s="211"/>
    </row>
    <row r="1164" spans="3:16">
      <c r="C1164" s="209"/>
      <c r="G1164" s="210"/>
      <c r="H1164" s="210"/>
      <c r="I1164" s="210"/>
      <c r="J1164" s="210"/>
      <c r="K1164" s="210"/>
      <c r="L1164" s="210"/>
      <c r="M1164" s="210"/>
      <c r="N1164" s="210"/>
      <c r="P1164" s="211"/>
    </row>
    <row r="1165" spans="3:16">
      <c r="C1165" s="209"/>
      <c r="G1165" s="210"/>
      <c r="H1165" s="210"/>
      <c r="I1165" s="210"/>
      <c r="J1165" s="210"/>
      <c r="K1165" s="210"/>
      <c r="L1165" s="210"/>
      <c r="M1165" s="210"/>
      <c r="N1165" s="210"/>
      <c r="P1165" s="211"/>
    </row>
    <row r="1166" spans="3:16">
      <c r="C1166" s="209"/>
      <c r="G1166" s="210"/>
      <c r="H1166" s="210"/>
      <c r="I1166" s="210"/>
      <c r="J1166" s="210"/>
      <c r="K1166" s="210"/>
      <c r="L1166" s="210"/>
      <c r="M1166" s="210"/>
      <c r="N1166" s="210"/>
      <c r="P1166" s="211"/>
    </row>
    <row r="1167" spans="3:16">
      <c r="C1167" s="209"/>
      <c r="G1167" s="210"/>
      <c r="H1167" s="210"/>
      <c r="I1167" s="210"/>
      <c r="J1167" s="210"/>
      <c r="K1167" s="210"/>
      <c r="L1167" s="210"/>
      <c r="M1167" s="210"/>
      <c r="N1167" s="210"/>
      <c r="P1167" s="211"/>
    </row>
    <row r="1168" spans="3:16">
      <c r="C1168" s="209"/>
      <c r="G1168" s="210"/>
      <c r="H1168" s="210"/>
      <c r="I1168" s="210"/>
      <c r="J1168" s="210"/>
      <c r="K1168" s="210"/>
      <c r="L1168" s="210"/>
      <c r="M1168" s="210"/>
      <c r="N1168" s="210"/>
      <c r="P1168" s="211"/>
    </row>
    <row r="1169" spans="3:16">
      <c r="C1169" s="209"/>
      <c r="G1169" s="210"/>
      <c r="H1169" s="210"/>
      <c r="I1169" s="210"/>
      <c r="J1169" s="210"/>
      <c r="K1169" s="210"/>
      <c r="L1169" s="210"/>
      <c r="M1169" s="210"/>
      <c r="N1169" s="210"/>
      <c r="P1169" s="211"/>
    </row>
    <row r="1170" spans="3:16">
      <c r="C1170" s="209"/>
      <c r="G1170" s="210"/>
      <c r="H1170" s="210"/>
      <c r="I1170" s="210"/>
      <c r="J1170" s="210"/>
      <c r="K1170" s="210"/>
      <c r="L1170" s="210"/>
      <c r="M1170" s="210"/>
      <c r="N1170" s="210"/>
      <c r="P1170" s="211"/>
    </row>
    <row r="1171" spans="3:16">
      <c r="C1171" s="209"/>
      <c r="G1171" s="210"/>
      <c r="H1171" s="210"/>
      <c r="I1171" s="210"/>
      <c r="J1171" s="210"/>
      <c r="K1171" s="210"/>
      <c r="L1171" s="210"/>
      <c r="M1171" s="210"/>
      <c r="N1171" s="210"/>
      <c r="P1171" s="211"/>
    </row>
    <row r="1172" spans="3:16">
      <c r="C1172" s="209"/>
      <c r="G1172" s="210"/>
      <c r="H1172" s="210"/>
      <c r="I1172" s="210"/>
      <c r="J1172" s="210"/>
      <c r="K1172" s="210"/>
      <c r="L1172" s="210"/>
      <c r="M1172" s="210"/>
      <c r="N1172" s="210"/>
      <c r="P1172" s="211"/>
    </row>
    <row r="1173" spans="3:16">
      <c r="C1173" s="209"/>
      <c r="G1173" s="210"/>
      <c r="H1173" s="210"/>
      <c r="I1173" s="210"/>
      <c r="J1173" s="210"/>
      <c r="K1173" s="210"/>
      <c r="L1173" s="210"/>
      <c r="M1173" s="210"/>
      <c r="N1173" s="210"/>
      <c r="P1173" s="211"/>
    </row>
    <row r="1174" spans="3:16">
      <c r="C1174" s="209"/>
      <c r="G1174" s="210"/>
      <c r="H1174" s="210"/>
      <c r="I1174" s="210"/>
      <c r="J1174" s="210"/>
      <c r="K1174" s="210"/>
      <c r="L1174" s="210"/>
      <c r="M1174" s="210"/>
      <c r="N1174" s="210"/>
      <c r="P1174" s="211"/>
    </row>
    <row r="1175" spans="3:16">
      <c r="C1175" s="209"/>
      <c r="G1175" s="210"/>
      <c r="H1175" s="210"/>
      <c r="I1175" s="210"/>
      <c r="J1175" s="210"/>
      <c r="K1175" s="210"/>
      <c r="L1175" s="210"/>
      <c r="M1175" s="210"/>
      <c r="N1175" s="210"/>
      <c r="P1175" s="211"/>
    </row>
    <row r="1176" spans="3:16">
      <c r="C1176" s="209"/>
      <c r="G1176" s="210"/>
      <c r="H1176" s="210"/>
      <c r="I1176" s="210"/>
      <c r="J1176" s="210"/>
      <c r="K1176" s="210"/>
      <c r="L1176" s="210"/>
      <c r="M1176" s="210"/>
      <c r="N1176" s="210"/>
      <c r="P1176" s="211"/>
    </row>
    <row r="1177" spans="3:16">
      <c r="C1177" s="209"/>
      <c r="G1177" s="210"/>
      <c r="H1177" s="210"/>
      <c r="I1177" s="210"/>
      <c r="J1177" s="210"/>
      <c r="K1177" s="210"/>
      <c r="L1177" s="210"/>
      <c r="M1177" s="210"/>
      <c r="N1177" s="210"/>
      <c r="P1177" s="211"/>
    </row>
    <row r="1178" spans="3:16">
      <c r="C1178" s="209"/>
      <c r="G1178" s="210"/>
      <c r="H1178" s="210"/>
      <c r="I1178" s="210"/>
      <c r="J1178" s="210"/>
      <c r="K1178" s="210"/>
      <c r="L1178" s="210"/>
      <c r="M1178" s="210"/>
      <c r="N1178" s="210"/>
      <c r="P1178" s="211"/>
    </row>
    <row r="1179" spans="3:16">
      <c r="C1179" s="209"/>
      <c r="G1179" s="210"/>
      <c r="H1179" s="210"/>
      <c r="I1179" s="210"/>
      <c r="J1179" s="210"/>
      <c r="K1179" s="210"/>
      <c r="L1179" s="210"/>
      <c r="M1179" s="210"/>
      <c r="N1179" s="210"/>
      <c r="P1179" s="211"/>
    </row>
    <row r="1180" spans="3:16">
      <c r="C1180" s="209"/>
      <c r="G1180" s="210"/>
      <c r="H1180" s="210"/>
      <c r="I1180" s="210"/>
      <c r="J1180" s="210"/>
      <c r="K1180" s="210"/>
      <c r="L1180" s="210"/>
      <c r="M1180" s="210"/>
      <c r="N1180" s="210"/>
      <c r="P1180" s="211"/>
    </row>
    <row r="1181" spans="3:16">
      <c r="C1181" s="209"/>
      <c r="G1181" s="210"/>
      <c r="H1181" s="210"/>
      <c r="I1181" s="210"/>
      <c r="J1181" s="210"/>
      <c r="K1181" s="210"/>
      <c r="L1181" s="210"/>
      <c r="M1181" s="210"/>
      <c r="N1181" s="210"/>
      <c r="P1181" s="211"/>
    </row>
    <row r="1182" spans="3:16">
      <c r="C1182" s="209"/>
      <c r="G1182" s="210"/>
      <c r="H1182" s="210"/>
      <c r="I1182" s="210"/>
      <c r="J1182" s="210"/>
      <c r="K1182" s="210"/>
      <c r="L1182" s="210"/>
      <c r="M1182" s="210"/>
      <c r="N1182" s="210"/>
      <c r="P1182" s="211"/>
    </row>
    <row r="1183" spans="3:16">
      <c r="C1183" s="209"/>
      <c r="G1183" s="210"/>
      <c r="H1183" s="210"/>
      <c r="I1183" s="210"/>
      <c r="J1183" s="210"/>
      <c r="K1183" s="210"/>
      <c r="L1183" s="210"/>
      <c r="M1183" s="210"/>
      <c r="N1183" s="210"/>
      <c r="P1183" s="211"/>
    </row>
    <row r="1184" spans="3:16">
      <c r="C1184" s="209"/>
      <c r="G1184" s="210"/>
      <c r="H1184" s="210"/>
      <c r="I1184" s="210"/>
      <c r="J1184" s="210"/>
      <c r="K1184" s="210"/>
      <c r="L1184" s="210"/>
      <c r="M1184" s="210"/>
      <c r="N1184" s="210"/>
      <c r="P1184" s="211"/>
    </row>
    <row r="1185" spans="3:16">
      <c r="C1185" s="209"/>
      <c r="G1185" s="210"/>
      <c r="H1185" s="210"/>
      <c r="I1185" s="210"/>
      <c r="J1185" s="210"/>
      <c r="K1185" s="210"/>
      <c r="L1185" s="210"/>
      <c r="M1185" s="210"/>
      <c r="N1185" s="210"/>
      <c r="P1185" s="211"/>
    </row>
    <row r="1186" spans="3:16">
      <c r="C1186" s="209"/>
      <c r="G1186" s="210"/>
      <c r="H1186" s="210"/>
      <c r="I1186" s="210"/>
      <c r="J1186" s="210"/>
      <c r="K1186" s="210"/>
      <c r="L1186" s="210"/>
      <c r="M1186" s="210"/>
      <c r="N1186" s="210"/>
      <c r="P1186" s="211"/>
    </row>
    <row r="1187" spans="3:16">
      <c r="C1187" s="209"/>
      <c r="G1187" s="210"/>
      <c r="H1187" s="210"/>
      <c r="I1187" s="210"/>
      <c r="J1187" s="210"/>
      <c r="K1187" s="210"/>
      <c r="L1187" s="210"/>
      <c r="M1187" s="210"/>
      <c r="N1187" s="210"/>
      <c r="P1187" s="211"/>
    </row>
    <row r="1188" spans="3:16">
      <c r="C1188" s="209"/>
      <c r="G1188" s="210"/>
      <c r="H1188" s="210"/>
      <c r="I1188" s="210"/>
      <c r="J1188" s="210"/>
      <c r="K1188" s="210"/>
      <c r="L1188" s="210"/>
      <c r="M1188" s="210"/>
      <c r="N1188" s="210"/>
      <c r="P1188" s="211"/>
    </row>
    <row r="1189" spans="3:16">
      <c r="C1189" s="209"/>
      <c r="G1189" s="210"/>
      <c r="H1189" s="210"/>
      <c r="I1189" s="210"/>
      <c r="J1189" s="210"/>
      <c r="K1189" s="210"/>
      <c r="L1189" s="210"/>
      <c r="M1189" s="210"/>
      <c r="N1189" s="210"/>
      <c r="P1189" s="211"/>
    </row>
    <row r="1190" spans="3:16">
      <c r="C1190" s="209"/>
      <c r="G1190" s="210"/>
      <c r="H1190" s="210"/>
      <c r="I1190" s="210"/>
      <c r="J1190" s="210"/>
      <c r="K1190" s="210"/>
      <c r="L1190" s="210"/>
      <c r="M1190" s="210"/>
      <c r="N1190" s="210"/>
      <c r="P1190" s="211"/>
    </row>
    <row r="1191" spans="3:16">
      <c r="C1191" s="209"/>
      <c r="G1191" s="210"/>
      <c r="H1191" s="210"/>
      <c r="I1191" s="210"/>
      <c r="J1191" s="210"/>
      <c r="K1191" s="210"/>
      <c r="L1191" s="210"/>
      <c r="M1191" s="210"/>
      <c r="N1191" s="210"/>
      <c r="P1191" s="211"/>
    </row>
    <row r="1192" spans="3:16">
      <c r="C1192" s="209"/>
      <c r="G1192" s="210"/>
      <c r="H1192" s="210"/>
      <c r="I1192" s="210"/>
      <c r="J1192" s="210"/>
      <c r="K1192" s="210"/>
      <c r="L1192" s="210"/>
      <c r="M1192" s="210"/>
      <c r="N1192" s="210"/>
      <c r="P1192" s="211"/>
    </row>
    <row r="1193" spans="3:16">
      <c r="C1193" s="209"/>
      <c r="G1193" s="210"/>
      <c r="H1193" s="210"/>
      <c r="I1193" s="210"/>
      <c r="J1193" s="210"/>
      <c r="K1193" s="210"/>
      <c r="L1193" s="210"/>
      <c r="M1193" s="210"/>
      <c r="N1193" s="210"/>
      <c r="P1193" s="211"/>
    </row>
    <row r="1194" spans="3:16">
      <c r="C1194" s="209"/>
      <c r="G1194" s="210"/>
      <c r="H1194" s="210"/>
      <c r="I1194" s="210"/>
      <c r="J1194" s="210"/>
      <c r="K1194" s="210"/>
      <c r="L1194" s="210"/>
      <c r="M1194" s="210"/>
      <c r="N1194" s="210"/>
      <c r="P1194" s="211"/>
    </row>
    <row r="1195" spans="3:16">
      <c r="C1195" s="209"/>
      <c r="G1195" s="210"/>
      <c r="H1195" s="210"/>
      <c r="I1195" s="210"/>
      <c r="J1195" s="210"/>
      <c r="K1195" s="210"/>
      <c r="L1195" s="210"/>
      <c r="M1195" s="210"/>
      <c r="N1195" s="210"/>
      <c r="P1195" s="211"/>
    </row>
    <row r="1196" spans="3:16">
      <c r="C1196" s="209"/>
      <c r="G1196" s="210"/>
      <c r="H1196" s="210"/>
      <c r="I1196" s="210"/>
      <c r="J1196" s="210"/>
      <c r="K1196" s="210"/>
      <c r="L1196" s="210"/>
      <c r="M1196" s="210"/>
      <c r="N1196" s="210"/>
      <c r="P1196" s="211"/>
    </row>
    <row r="1197" spans="3:16">
      <c r="C1197" s="209"/>
      <c r="G1197" s="210"/>
      <c r="H1197" s="210"/>
      <c r="I1197" s="210"/>
      <c r="J1197" s="210"/>
      <c r="K1197" s="210"/>
      <c r="L1197" s="210"/>
      <c r="M1197" s="210"/>
      <c r="N1197" s="210"/>
      <c r="P1197" s="211"/>
    </row>
    <row r="1198" spans="3:16">
      <c r="C1198" s="209"/>
      <c r="G1198" s="210"/>
      <c r="H1198" s="210"/>
      <c r="I1198" s="210"/>
      <c r="J1198" s="210"/>
      <c r="K1198" s="210"/>
      <c r="L1198" s="210"/>
      <c r="M1198" s="210"/>
      <c r="N1198" s="210"/>
      <c r="P1198" s="211"/>
    </row>
    <row r="1199" spans="3:16">
      <c r="C1199" s="209"/>
      <c r="G1199" s="210"/>
      <c r="H1199" s="210"/>
      <c r="I1199" s="210"/>
      <c r="J1199" s="210"/>
      <c r="K1199" s="210"/>
      <c r="L1199" s="210"/>
      <c r="M1199" s="210"/>
      <c r="N1199" s="210"/>
      <c r="P1199" s="211"/>
    </row>
    <row r="1200" spans="3:16">
      <c r="C1200" s="209"/>
      <c r="G1200" s="210"/>
      <c r="H1200" s="210"/>
      <c r="I1200" s="210"/>
      <c r="J1200" s="210"/>
      <c r="K1200" s="210"/>
      <c r="L1200" s="210"/>
      <c r="M1200" s="210"/>
      <c r="N1200" s="210"/>
      <c r="P1200" s="211"/>
    </row>
    <row r="1201" spans="3:16">
      <c r="C1201" s="209"/>
      <c r="G1201" s="210"/>
      <c r="H1201" s="210"/>
      <c r="I1201" s="210"/>
      <c r="J1201" s="210"/>
      <c r="K1201" s="210"/>
      <c r="L1201" s="210"/>
      <c r="M1201" s="210"/>
      <c r="N1201" s="210"/>
      <c r="P1201" s="211"/>
    </row>
    <row r="1202" spans="3:16">
      <c r="C1202" s="209"/>
      <c r="G1202" s="210"/>
      <c r="H1202" s="210"/>
      <c r="I1202" s="210"/>
      <c r="J1202" s="210"/>
      <c r="K1202" s="210"/>
      <c r="L1202" s="210"/>
      <c r="M1202" s="210"/>
      <c r="N1202" s="210"/>
      <c r="P1202" s="211"/>
    </row>
    <row r="1203" spans="3:16">
      <c r="C1203" s="209"/>
      <c r="G1203" s="210"/>
      <c r="H1203" s="210"/>
      <c r="I1203" s="210"/>
      <c r="J1203" s="210"/>
      <c r="K1203" s="210"/>
      <c r="L1203" s="210"/>
      <c r="M1203" s="210"/>
      <c r="N1203" s="210"/>
      <c r="P1203" s="211"/>
    </row>
    <row r="1204" spans="3:16">
      <c r="C1204" s="209"/>
      <c r="G1204" s="210"/>
      <c r="H1204" s="210"/>
      <c r="I1204" s="210"/>
      <c r="J1204" s="210"/>
      <c r="K1204" s="210"/>
      <c r="L1204" s="210"/>
      <c r="M1204" s="210"/>
      <c r="N1204" s="210"/>
      <c r="P1204" s="211"/>
    </row>
    <row r="1205" spans="3:16">
      <c r="C1205" s="209"/>
      <c r="G1205" s="210"/>
      <c r="H1205" s="210"/>
      <c r="I1205" s="210"/>
      <c r="J1205" s="210"/>
      <c r="K1205" s="210"/>
      <c r="L1205" s="210"/>
      <c r="M1205" s="210"/>
      <c r="N1205" s="210"/>
      <c r="P1205" s="211"/>
    </row>
    <row r="1206" spans="3:16">
      <c r="C1206" s="209"/>
      <c r="G1206" s="210"/>
      <c r="H1206" s="210"/>
      <c r="I1206" s="210"/>
      <c r="J1206" s="210"/>
      <c r="K1206" s="210"/>
      <c r="L1206" s="210"/>
      <c r="M1206" s="210"/>
      <c r="N1206" s="210"/>
      <c r="P1206" s="211"/>
    </row>
    <row r="1207" spans="3:16">
      <c r="C1207" s="209"/>
      <c r="G1207" s="210"/>
      <c r="H1207" s="210"/>
      <c r="I1207" s="210"/>
      <c r="J1207" s="210"/>
      <c r="K1207" s="210"/>
      <c r="L1207" s="210"/>
      <c r="M1207" s="210"/>
      <c r="N1207" s="210"/>
      <c r="P1207" s="211"/>
    </row>
    <row r="1208" spans="3:16">
      <c r="C1208" s="209"/>
      <c r="G1208" s="210"/>
      <c r="H1208" s="210"/>
      <c r="I1208" s="210"/>
      <c r="J1208" s="210"/>
      <c r="K1208" s="210"/>
      <c r="L1208" s="210"/>
      <c r="M1208" s="210"/>
      <c r="N1208" s="210"/>
      <c r="P1208" s="211"/>
    </row>
    <row r="1209" spans="3:16">
      <c r="C1209" s="209"/>
      <c r="G1209" s="210"/>
      <c r="H1209" s="210"/>
      <c r="I1209" s="210"/>
      <c r="J1209" s="210"/>
      <c r="K1209" s="210"/>
      <c r="L1209" s="210"/>
      <c r="M1209" s="210"/>
      <c r="N1209" s="210"/>
      <c r="P1209" s="211"/>
    </row>
    <row r="1210" spans="3:16">
      <c r="C1210" s="209"/>
      <c r="G1210" s="210"/>
      <c r="H1210" s="210"/>
      <c r="I1210" s="210"/>
      <c r="J1210" s="210"/>
      <c r="K1210" s="210"/>
      <c r="L1210" s="210"/>
      <c r="M1210" s="210"/>
      <c r="N1210" s="210"/>
      <c r="P1210" s="211"/>
    </row>
    <row r="1211" spans="3:16">
      <c r="C1211" s="209"/>
      <c r="G1211" s="210"/>
      <c r="H1211" s="210"/>
      <c r="I1211" s="210"/>
      <c r="J1211" s="210"/>
      <c r="K1211" s="210"/>
      <c r="L1211" s="210"/>
      <c r="M1211" s="210"/>
      <c r="N1211" s="210"/>
      <c r="P1211" s="211"/>
    </row>
    <row r="1212" spans="3:16">
      <c r="C1212" s="209"/>
      <c r="G1212" s="210"/>
      <c r="H1212" s="210"/>
      <c r="I1212" s="210"/>
      <c r="J1212" s="210"/>
      <c r="K1212" s="210"/>
      <c r="L1212" s="210"/>
      <c r="M1212" s="210"/>
      <c r="N1212" s="210"/>
      <c r="P1212" s="211"/>
    </row>
    <row r="1213" spans="3:16">
      <c r="C1213" s="209"/>
      <c r="G1213" s="210"/>
      <c r="H1213" s="210"/>
      <c r="I1213" s="210"/>
      <c r="J1213" s="210"/>
      <c r="K1213" s="210"/>
      <c r="L1213" s="210"/>
      <c r="M1213" s="210"/>
      <c r="N1213" s="210"/>
      <c r="P1213" s="211"/>
    </row>
    <row r="1214" spans="3:16">
      <c r="C1214" s="209"/>
      <c r="G1214" s="210"/>
      <c r="H1214" s="210"/>
      <c r="I1214" s="210"/>
      <c r="J1214" s="210"/>
      <c r="K1214" s="210"/>
      <c r="L1214" s="210"/>
      <c r="M1214" s="210"/>
      <c r="N1214" s="210"/>
      <c r="P1214" s="211"/>
    </row>
    <row r="1215" spans="3:16">
      <c r="C1215" s="209"/>
      <c r="G1215" s="210"/>
      <c r="H1215" s="210"/>
      <c r="I1215" s="210"/>
      <c r="J1215" s="210"/>
      <c r="K1215" s="210"/>
      <c r="L1215" s="210"/>
      <c r="M1215" s="210"/>
      <c r="N1215" s="210"/>
      <c r="P1215" s="211"/>
    </row>
    <row r="1216" spans="3:16">
      <c r="C1216" s="209"/>
      <c r="G1216" s="210"/>
      <c r="H1216" s="210"/>
      <c r="I1216" s="210"/>
      <c r="J1216" s="210"/>
      <c r="K1216" s="210"/>
      <c r="L1216" s="210"/>
      <c r="M1216" s="210"/>
      <c r="N1216" s="210"/>
      <c r="P1216" s="211"/>
    </row>
    <row r="1217" spans="3:16">
      <c r="C1217" s="209"/>
      <c r="G1217" s="210"/>
      <c r="H1217" s="210"/>
      <c r="I1217" s="210"/>
      <c r="J1217" s="210"/>
      <c r="K1217" s="210"/>
      <c r="L1217" s="210"/>
      <c r="M1217" s="210"/>
      <c r="N1217" s="210"/>
      <c r="P1217" s="211"/>
    </row>
    <row r="1218" spans="3:16">
      <c r="C1218" s="209"/>
      <c r="G1218" s="210"/>
      <c r="H1218" s="210"/>
      <c r="I1218" s="210"/>
      <c r="J1218" s="210"/>
      <c r="K1218" s="210"/>
      <c r="L1218" s="210"/>
      <c r="M1218" s="210"/>
      <c r="N1218" s="210"/>
      <c r="P1218" s="211"/>
    </row>
    <row r="1219" spans="3:16">
      <c r="C1219" s="209"/>
      <c r="G1219" s="210"/>
      <c r="H1219" s="210"/>
      <c r="I1219" s="210"/>
      <c r="J1219" s="210"/>
      <c r="K1219" s="210"/>
      <c r="L1219" s="210"/>
      <c r="M1219" s="210"/>
      <c r="N1219" s="210"/>
      <c r="P1219" s="211"/>
    </row>
    <row r="1220" spans="3:16">
      <c r="C1220" s="209"/>
      <c r="G1220" s="210"/>
      <c r="H1220" s="210"/>
      <c r="I1220" s="210"/>
      <c r="J1220" s="210"/>
      <c r="K1220" s="210"/>
      <c r="L1220" s="210"/>
      <c r="M1220" s="210"/>
      <c r="N1220" s="210"/>
      <c r="P1220" s="211"/>
    </row>
    <row r="1221" spans="3:16">
      <c r="C1221" s="209"/>
      <c r="G1221" s="210"/>
      <c r="H1221" s="210"/>
      <c r="I1221" s="210"/>
      <c r="J1221" s="210"/>
      <c r="K1221" s="210"/>
      <c r="L1221" s="210"/>
      <c r="M1221" s="210"/>
      <c r="N1221" s="210"/>
      <c r="P1221" s="211"/>
    </row>
    <row r="1222" spans="3:16">
      <c r="C1222" s="209"/>
      <c r="G1222" s="210"/>
      <c r="H1222" s="210"/>
      <c r="I1222" s="210"/>
      <c r="J1222" s="210"/>
      <c r="K1222" s="210"/>
      <c r="L1222" s="210"/>
      <c r="M1222" s="210"/>
      <c r="N1222" s="210"/>
      <c r="P1222" s="211"/>
    </row>
    <row r="1223" spans="3:16">
      <c r="C1223" s="209"/>
      <c r="G1223" s="210"/>
      <c r="H1223" s="210"/>
      <c r="I1223" s="210"/>
      <c r="J1223" s="210"/>
      <c r="K1223" s="210"/>
      <c r="L1223" s="210"/>
      <c r="M1223" s="210"/>
      <c r="N1223" s="210"/>
      <c r="P1223" s="211"/>
    </row>
    <row r="1224" spans="3:16">
      <c r="C1224" s="209"/>
      <c r="G1224" s="210"/>
      <c r="H1224" s="210"/>
      <c r="I1224" s="210"/>
      <c r="J1224" s="210"/>
      <c r="K1224" s="210"/>
      <c r="L1224" s="210"/>
      <c r="M1224" s="210"/>
      <c r="N1224" s="210"/>
      <c r="P1224" s="211"/>
    </row>
    <row r="1225" spans="3:16">
      <c r="C1225" s="209"/>
      <c r="G1225" s="210"/>
      <c r="H1225" s="210"/>
      <c r="I1225" s="210"/>
      <c r="J1225" s="210"/>
      <c r="K1225" s="210"/>
      <c r="L1225" s="210"/>
      <c r="M1225" s="210"/>
      <c r="N1225" s="210"/>
      <c r="P1225" s="211"/>
    </row>
    <row r="1226" spans="3:16">
      <c r="C1226" s="209"/>
      <c r="G1226" s="210"/>
      <c r="H1226" s="210"/>
      <c r="I1226" s="210"/>
      <c r="J1226" s="210"/>
      <c r="K1226" s="210"/>
      <c r="L1226" s="210"/>
      <c r="M1226" s="210"/>
      <c r="N1226" s="210"/>
      <c r="P1226" s="211"/>
    </row>
    <row r="1227" spans="3:16">
      <c r="C1227" s="209"/>
      <c r="G1227" s="210"/>
      <c r="H1227" s="210"/>
      <c r="I1227" s="210"/>
      <c r="J1227" s="210"/>
      <c r="K1227" s="210"/>
      <c r="L1227" s="210"/>
      <c r="M1227" s="210"/>
      <c r="N1227" s="210"/>
      <c r="P1227" s="211"/>
    </row>
    <row r="1228" spans="3:16">
      <c r="C1228" s="209"/>
      <c r="G1228" s="210"/>
      <c r="H1228" s="210"/>
      <c r="I1228" s="210"/>
      <c r="J1228" s="210"/>
      <c r="K1228" s="210"/>
      <c r="L1228" s="210"/>
      <c r="M1228" s="210"/>
      <c r="N1228" s="210"/>
      <c r="P1228" s="211"/>
    </row>
    <row r="1229" spans="3:16">
      <c r="C1229" s="209"/>
      <c r="G1229" s="210"/>
      <c r="H1229" s="210"/>
      <c r="I1229" s="210"/>
      <c r="J1229" s="210"/>
      <c r="K1229" s="210"/>
      <c r="L1229" s="210"/>
      <c r="M1229" s="210"/>
      <c r="N1229" s="210"/>
      <c r="P1229" s="211"/>
    </row>
    <row r="1230" spans="3:16">
      <c r="C1230" s="209"/>
      <c r="G1230" s="210"/>
      <c r="H1230" s="210"/>
      <c r="I1230" s="210"/>
      <c r="J1230" s="210"/>
      <c r="K1230" s="210"/>
      <c r="L1230" s="210"/>
      <c r="M1230" s="210"/>
      <c r="N1230" s="210"/>
      <c r="P1230" s="211"/>
    </row>
    <row r="1231" spans="3:16">
      <c r="C1231" s="209"/>
      <c r="G1231" s="210"/>
      <c r="H1231" s="210"/>
      <c r="I1231" s="210"/>
      <c r="J1231" s="210"/>
      <c r="K1231" s="210"/>
      <c r="L1231" s="210"/>
      <c r="M1231" s="210"/>
      <c r="N1231" s="210"/>
      <c r="P1231" s="211"/>
    </row>
    <row r="1232" spans="3:16">
      <c r="C1232" s="209"/>
      <c r="G1232" s="210"/>
      <c r="H1232" s="210"/>
      <c r="I1232" s="210"/>
      <c r="J1232" s="210"/>
      <c r="K1232" s="210"/>
      <c r="L1232" s="210"/>
      <c r="M1232" s="210"/>
      <c r="N1232" s="210"/>
      <c r="P1232" s="211"/>
    </row>
    <row r="1233" spans="3:16">
      <c r="C1233" s="209"/>
      <c r="G1233" s="210"/>
      <c r="H1233" s="210"/>
      <c r="I1233" s="210"/>
      <c r="J1233" s="210"/>
      <c r="K1233" s="210"/>
      <c r="L1233" s="210"/>
      <c r="M1233" s="210"/>
      <c r="N1233" s="210"/>
      <c r="P1233" s="211"/>
    </row>
    <row r="1234" spans="3:16">
      <c r="C1234" s="209"/>
      <c r="G1234" s="210"/>
      <c r="H1234" s="210"/>
      <c r="I1234" s="210"/>
      <c r="J1234" s="210"/>
      <c r="K1234" s="210"/>
      <c r="L1234" s="210"/>
      <c r="M1234" s="210"/>
      <c r="N1234" s="210"/>
      <c r="P1234" s="211"/>
    </row>
    <row r="1235" spans="3:16">
      <c r="C1235" s="209"/>
      <c r="G1235" s="210"/>
      <c r="H1235" s="210"/>
      <c r="I1235" s="210"/>
      <c r="J1235" s="210"/>
      <c r="K1235" s="210"/>
      <c r="L1235" s="210"/>
      <c r="M1235" s="210"/>
      <c r="N1235" s="210"/>
      <c r="P1235" s="211"/>
    </row>
    <row r="1236" spans="3:16">
      <c r="C1236" s="209"/>
      <c r="G1236" s="210"/>
      <c r="H1236" s="210"/>
      <c r="I1236" s="210"/>
      <c r="J1236" s="210"/>
      <c r="K1236" s="210"/>
      <c r="L1236" s="210"/>
      <c r="M1236" s="210"/>
      <c r="N1236" s="210"/>
      <c r="P1236" s="211"/>
    </row>
    <row r="1237" spans="3:16">
      <c r="C1237" s="209"/>
      <c r="G1237" s="210"/>
      <c r="H1237" s="210"/>
      <c r="I1237" s="210"/>
      <c r="J1237" s="210"/>
      <c r="K1237" s="210"/>
      <c r="L1237" s="210"/>
      <c r="M1237" s="210"/>
      <c r="N1237" s="210"/>
      <c r="P1237" s="211"/>
    </row>
    <row r="1238" spans="3:16">
      <c r="C1238" s="209"/>
      <c r="G1238" s="210"/>
      <c r="H1238" s="210"/>
      <c r="I1238" s="210"/>
      <c r="J1238" s="210"/>
      <c r="K1238" s="210"/>
      <c r="L1238" s="210"/>
      <c r="M1238" s="210"/>
      <c r="N1238" s="210"/>
      <c r="P1238" s="211"/>
    </row>
    <row r="1239" spans="3:16">
      <c r="C1239" s="209"/>
      <c r="G1239" s="210"/>
      <c r="H1239" s="210"/>
      <c r="I1239" s="210"/>
      <c r="J1239" s="210"/>
      <c r="K1239" s="210"/>
      <c r="L1239" s="210"/>
      <c r="M1239" s="210"/>
      <c r="N1239" s="210"/>
      <c r="P1239" s="211"/>
    </row>
    <row r="1240" spans="3:16">
      <c r="C1240" s="209"/>
      <c r="G1240" s="210"/>
      <c r="H1240" s="210"/>
      <c r="I1240" s="210"/>
      <c r="J1240" s="210"/>
      <c r="K1240" s="210"/>
      <c r="L1240" s="210"/>
      <c r="M1240" s="210"/>
      <c r="N1240" s="210"/>
      <c r="P1240" s="211"/>
    </row>
    <row r="1241" spans="3:16">
      <c r="C1241" s="209"/>
      <c r="G1241" s="210"/>
      <c r="H1241" s="210"/>
      <c r="I1241" s="210"/>
      <c r="J1241" s="210"/>
      <c r="K1241" s="210"/>
      <c r="L1241" s="210"/>
      <c r="M1241" s="210"/>
      <c r="N1241" s="210"/>
      <c r="P1241" s="211"/>
    </row>
    <row r="1242" spans="3:16">
      <c r="C1242" s="209"/>
      <c r="G1242" s="210"/>
      <c r="H1242" s="210"/>
      <c r="I1242" s="210"/>
      <c r="J1242" s="210"/>
      <c r="K1242" s="210"/>
      <c r="L1242" s="210"/>
      <c r="M1242" s="210"/>
      <c r="N1242" s="210"/>
      <c r="P1242" s="211"/>
    </row>
    <row r="1243" spans="3:16">
      <c r="C1243" s="209"/>
      <c r="G1243" s="210"/>
      <c r="H1243" s="210"/>
      <c r="I1243" s="210"/>
      <c r="J1243" s="210"/>
      <c r="K1243" s="210"/>
      <c r="L1243" s="210"/>
      <c r="M1243" s="210"/>
      <c r="N1243" s="210"/>
      <c r="P1243" s="211"/>
    </row>
    <row r="1244" spans="3:16">
      <c r="C1244" s="209"/>
      <c r="G1244" s="210"/>
      <c r="H1244" s="210"/>
      <c r="I1244" s="210"/>
      <c r="J1244" s="210"/>
      <c r="K1244" s="210"/>
      <c r="L1244" s="210"/>
      <c r="M1244" s="210"/>
      <c r="N1244" s="210"/>
      <c r="P1244" s="211"/>
    </row>
    <row r="1245" spans="3:16">
      <c r="C1245" s="209"/>
      <c r="G1245" s="210"/>
      <c r="H1245" s="210"/>
      <c r="I1245" s="210"/>
      <c r="J1245" s="210"/>
      <c r="K1245" s="210"/>
      <c r="L1245" s="210"/>
      <c r="M1245" s="210"/>
      <c r="N1245" s="210"/>
      <c r="P1245" s="211"/>
    </row>
    <row r="1246" spans="3:16">
      <c r="C1246" s="209"/>
      <c r="G1246" s="210"/>
      <c r="H1246" s="210"/>
      <c r="I1246" s="210"/>
      <c r="J1246" s="210"/>
      <c r="K1246" s="210"/>
      <c r="L1246" s="210"/>
      <c r="M1246" s="210"/>
      <c r="N1246" s="210"/>
      <c r="P1246" s="211"/>
    </row>
    <row r="1247" spans="3:16">
      <c r="C1247" s="209"/>
      <c r="G1247" s="210"/>
      <c r="H1247" s="210"/>
      <c r="I1247" s="210"/>
      <c r="J1247" s="210"/>
      <c r="K1247" s="210"/>
      <c r="L1247" s="210"/>
      <c r="M1247" s="210"/>
      <c r="N1247" s="210"/>
      <c r="P1247" s="211"/>
    </row>
    <row r="1248" spans="3:16">
      <c r="C1248" s="209"/>
      <c r="G1248" s="210"/>
      <c r="H1248" s="210"/>
      <c r="I1248" s="210"/>
      <c r="J1248" s="210"/>
      <c r="K1248" s="210"/>
      <c r="L1248" s="210"/>
      <c r="M1248" s="210"/>
      <c r="N1248" s="210"/>
      <c r="P1248" s="211"/>
    </row>
    <row r="1249" spans="3:16">
      <c r="C1249" s="209"/>
      <c r="G1249" s="210"/>
      <c r="H1249" s="210"/>
      <c r="I1249" s="210"/>
      <c r="J1249" s="210"/>
      <c r="K1249" s="210"/>
      <c r="L1249" s="210"/>
      <c r="M1249" s="210"/>
      <c r="N1249" s="210"/>
      <c r="P1249" s="211"/>
    </row>
    <row r="1250" spans="3:16">
      <c r="C1250" s="209"/>
      <c r="G1250" s="210"/>
      <c r="H1250" s="210"/>
      <c r="I1250" s="210"/>
      <c r="J1250" s="210"/>
      <c r="K1250" s="210"/>
      <c r="L1250" s="210"/>
      <c r="M1250" s="210"/>
      <c r="N1250" s="210"/>
      <c r="P1250" s="211"/>
    </row>
    <row r="1251" spans="3:16">
      <c r="C1251" s="209"/>
      <c r="G1251" s="210"/>
      <c r="H1251" s="210"/>
      <c r="I1251" s="210"/>
      <c r="J1251" s="210"/>
      <c r="K1251" s="210"/>
      <c r="L1251" s="210"/>
      <c r="M1251" s="210"/>
      <c r="N1251" s="210"/>
      <c r="P1251" s="211"/>
    </row>
    <row r="1252" spans="3:16">
      <c r="C1252" s="209"/>
      <c r="G1252" s="210"/>
      <c r="H1252" s="210"/>
      <c r="I1252" s="210"/>
      <c r="J1252" s="210"/>
      <c r="K1252" s="210"/>
      <c r="L1252" s="210"/>
      <c r="M1252" s="210"/>
      <c r="N1252" s="210"/>
      <c r="P1252" s="211"/>
    </row>
    <row r="1253" spans="3:16">
      <c r="C1253" s="209"/>
      <c r="G1253" s="210"/>
      <c r="H1253" s="210"/>
      <c r="I1253" s="210"/>
      <c r="J1253" s="210"/>
      <c r="K1253" s="210"/>
      <c r="L1253" s="210"/>
      <c r="M1253" s="210"/>
      <c r="N1253" s="210"/>
      <c r="P1253" s="211"/>
    </row>
    <row r="1254" spans="3:16">
      <c r="C1254" s="209"/>
      <c r="G1254" s="210"/>
      <c r="H1254" s="210"/>
      <c r="I1254" s="210"/>
      <c r="J1254" s="210"/>
      <c r="K1254" s="210"/>
      <c r="L1254" s="210"/>
      <c r="M1254" s="210"/>
      <c r="N1254" s="210"/>
      <c r="P1254" s="211"/>
    </row>
    <row r="1255" spans="3:16">
      <c r="C1255" s="209"/>
      <c r="G1255" s="210"/>
      <c r="H1255" s="210"/>
      <c r="I1255" s="210"/>
      <c r="J1255" s="210"/>
      <c r="K1255" s="210"/>
      <c r="L1255" s="210"/>
      <c r="M1255" s="210"/>
      <c r="N1255" s="210"/>
      <c r="P1255" s="211"/>
    </row>
    <row r="1256" spans="3:16">
      <c r="C1256" s="209"/>
      <c r="G1256" s="210"/>
      <c r="H1256" s="210"/>
      <c r="I1256" s="210"/>
      <c r="J1256" s="210"/>
      <c r="K1256" s="210"/>
      <c r="L1256" s="210"/>
      <c r="M1256" s="210"/>
      <c r="N1256" s="210"/>
      <c r="P1256" s="211"/>
    </row>
    <row r="1257" spans="3:16">
      <c r="C1257" s="209"/>
      <c r="G1257" s="210"/>
      <c r="H1257" s="210"/>
      <c r="I1257" s="210"/>
      <c r="J1257" s="210"/>
      <c r="K1257" s="210"/>
      <c r="L1257" s="210"/>
      <c r="M1257" s="210"/>
      <c r="N1257" s="210"/>
      <c r="P1257" s="211"/>
    </row>
    <row r="1258" spans="3:16">
      <c r="C1258" s="209"/>
      <c r="G1258" s="210"/>
      <c r="H1258" s="210"/>
      <c r="I1258" s="210"/>
      <c r="J1258" s="210"/>
      <c r="K1258" s="210"/>
      <c r="L1258" s="210"/>
      <c r="M1258" s="210"/>
      <c r="N1258" s="210"/>
      <c r="P1258" s="211"/>
    </row>
    <row r="1259" spans="3:16">
      <c r="C1259" s="209"/>
      <c r="G1259" s="210"/>
      <c r="H1259" s="210"/>
      <c r="I1259" s="210"/>
      <c r="J1259" s="210"/>
      <c r="K1259" s="210"/>
      <c r="L1259" s="210"/>
      <c r="M1259" s="210"/>
      <c r="N1259" s="210"/>
      <c r="P1259" s="211"/>
    </row>
    <row r="1260" spans="3:16">
      <c r="C1260" s="209"/>
      <c r="G1260" s="210"/>
      <c r="H1260" s="210"/>
      <c r="I1260" s="210"/>
      <c r="J1260" s="210"/>
      <c r="K1260" s="210"/>
      <c r="L1260" s="210"/>
      <c r="M1260" s="210"/>
      <c r="N1260" s="210"/>
      <c r="P1260" s="211"/>
    </row>
    <row r="1261" spans="3:16">
      <c r="C1261" s="209"/>
      <c r="G1261" s="210"/>
      <c r="H1261" s="210"/>
      <c r="I1261" s="210"/>
      <c r="J1261" s="210"/>
      <c r="K1261" s="210"/>
      <c r="L1261" s="210"/>
      <c r="M1261" s="210"/>
      <c r="N1261" s="210"/>
      <c r="P1261" s="211"/>
    </row>
    <row r="1262" spans="3:16">
      <c r="C1262" s="209"/>
      <c r="G1262" s="210"/>
      <c r="H1262" s="210"/>
      <c r="I1262" s="210"/>
      <c r="J1262" s="210"/>
      <c r="K1262" s="210"/>
      <c r="L1262" s="210"/>
      <c r="M1262" s="210"/>
      <c r="N1262" s="210"/>
      <c r="P1262" s="211"/>
    </row>
    <row r="1263" spans="3:16">
      <c r="C1263" s="209"/>
      <c r="G1263" s="210"/>
      <c r="H1263" s="210"/>
      <c r="I1263" s="210"/>
      <c r="J1263" s="210"/>
      <c r="K1263" s="210"/>
      <c r="L1263" s="210"/>
      <c r="M1263" s="210"/>
      <c r="N1263" s="210"/>
      <c r="P1263" s="211"/>
    </row>
    <row r="1264" spans="3:16">
      <c r="C1264" s="209"/>
      <c r="G1264" s="210"/>
      <c r="H1264" s="210"/>
      <c r="I1264" s="210"/>
      <c r="J1264" s="210"/>
      <c r="K1264" s="210"/>
      <c r="L1264" s="210"/>
      <c r="M1264" s="210"/>
      <c r="N1264" s="210"/>
      <c r="P1264" s="211"/>
    </row>
    <row r="1265" spans="3:16">
      <c r="C1265" s="209"/>
      <c r="G1265" s="210"/>
      <c r="H1265" s="210"/>
      <c r="I1265" s="210"/>
      <c r="J1265" s="210"/>
      <c r="K1265" s="210"/>
      <c r="L1265" s="210"/>
      <c r="M1265" s="210"/>
      <c r="N1265" s="210"/>
      <c r="P1265" s="211"/>
    </row>
    <row r="1266" spans="3:16">
      <c r="C1266" s="209"/>
      <c r="G1266" s="210"/>
      <c r="H1266" s="210"/>
      <c r="I1266" s="210"/>
      <c r="J1266" s="210"/>
      <c r="K1266" s="210"/>
      <c r="L1266" s="210"/>
      <c r="M1266" s="210"/>
      <c r="N1266" s="210"/>
      <c r="P1266" s="211"/>
    </row>
    <row r="1267" spans="3:16">
      <c r="C1267" s="209"/>
      <c r="G1267" s="210"/>
      <c r="H1267" s="210"/>
      <c r="I1267" s="210"/>
      <c r="J1267" s="210"/>
      <c r="K1267" s="210"/>
      <c r="L1267" s="210"/>
      <c r="M1267" s="210"/>
      <c r="N1267" s="210"/>
      <c r="P1267" s="211"/>
    </row>
    <row r="1268" spans="3:16">
      <c r="C1268" s="209"/>
      <c r="G1268" s="210"/>
      <c r="H1268" s="210"/>
      <c r="I1268" s="210"/>
      <c r="J1268" s="210"/>
      <c r="K1268" s="210"/>
      <c r="L1268" s="210"/>
      <c r="M1268" s="210"/>
      <c r="N1268" s="210"/>
      <c r="P1268" s="211"/>
    </row>
    <row r="1269" spans="3:16">
      <c r="C1269" s="209"/>
      <c r="G1269" s="210"/>
      <c r="H1269" s="210"/>
      <c r="I1269" s="210"/>
      <c r="J1269" s="210"/>
      <c r="K1269" s="210"/>
      <c r="L1269" s="210"/>
      <c r="M1269" s="210"/>
      <c r="N1269" s="210"/>
      <c r="P1269" s="211"/>
    </row>
    <row r="1270" spans="3:16">
      <c r="C1270" s="209"/>
      <c r="G1270" s="210"/>
      <c r="H1270" s="210"/>
      <c r="I1270" s="210"/>
      <c r="J1270" s="210"/>
      <c r="K1270" s="210"/>
      <c r="L1270" s="210"/>
      <c r="M1270" s="210"/>
      <c r="N1270" s="210"/>
      <c r="P1270" s="211"/>
    </row>
    <row r="1271" spans="3:16">
      <c r="C1271" s="209"/>
      <c r="G1271" s="210"/>
      <c r="H1271" s="210"/>
      <c r="I1271" s="210"/>
      <c r="J1271" s="210"/>
      <c r="K1271" s="210"/>
      <c r="L1271" s="210"/>
      <c r="M1271" s="210"/>
      <c r="N1271" s="210"/>
      <c r="P1271" s="211"/>
    </row>
    <row r="1272" spans="3:16">
      <c r="C1272" s="209"/>
      <c r="G1272" s="210"/>
      <c r="H1272" s="210"/>
      <c r="I1272" s="210"/>
      <c r="J1272" s="210"/>
      <c r="K1272" s="210"/>
      <c r="L1272" s="210"/>
      <c r="M1272" s="210"/>
      <c r="N1272" s="210"/>
      <c r="P1272" s="211"/>
    </row>
    <row r="1273" spans="3:16">
      <c r="C1273" s="209"/>
      <c r="G1273" s="210"/>
      <c r="H1273" s="210"/>
      <c r="I1273" s="210"/>
      <c r="J1273" s="210"/>
      <c r="K1273" s="210"/>
      <c r="L1273" s="210"/>
      <c r="M1273" s="210"/>
      <c r="N1273" s="210"/>
      <c r="P1273" s="211"/>
    </row>
    <row r="1274" spans="3:16">
      <c r="C1274" s="209"/>
      <c r="G1274" s="210"/>
      <c r="H1274" s="210"/>
      <c r="I1274" s="210"/>
      <c r="J1274" s="210"/>
      <c r="K1274" s="210"/>
      <c r="L1274" s="210"/>
      <c r="M1274" s="210"/>
      <c r="N1274" s="210"/>
      <c r="P1274" s="211"/>
    </row>
    <row r="1275" spans="3:16">
      <c r="C1275" s="209"/>
      <c r="G1275" s="210"/>
      <c r="H1275" s="210"/>
      <c r="I1275" s="210"/>
      <c r="J1275" s="210"/>
      <c r="K1275" s="210"/>
      <c r="L1275" s="210"/>
      <c r="M1275" s="210"/>
      <c r="N1275" s="210"/>
      <c r="P1275" s="211"/>
    </row>
    <row r="1276" spans="3:16">
      <c r="C1276" s="209"/>
      <c r="G1276" s="210"/>
      <c r="H1276" s="210"/>
      <c r="I1276" s="210"/>
      <c r="J1276" s="210"/>
      <c r="K1276" s="210"/>
      <c r="L1276" s="210"/>
      <c r="M1276" s="210"/>
      <c r="N1276" s="210"/>
      <c r="P1276" s="211"/>
    </row>
    <row r="1277" spans="3:16">
      <c r="C1277" s="209"/>
      <c r="G1277" s="210"/>
      <c r="H1277" s="210"/>
      <c r="I1277" s="210"/>
      <c r="J1277" s="210"/>
      <c r="K1277" s="210"/>
      <c r="L1277" s="210"/>
      <c r="M1277" s="210"/>
      <c r="N1277" s="210"/>
      <c r="P1277" s="211"/>
    </row>
    <row r="1278" spans="3:16">
      <c r="C1278" s="209"/>
      <c r="G1278" s="210"/>
      <c r="H1278" s="210"/>
      <c r="I1278" s="210"/>
      <c r="J1278" s="210"/>
      <c r="K1278" s="210"/>
      <c r="L1278" s="210"/>
      <c r="M1278" s="210"/>
      <c r="N1278" s="210"/>
      <c r="P1278" s="211"/>
    </row>
    <row r="1279" spans="3:16">
      <c r="C1279" s="209"/>
      <c r="G1279" s="210"/>
      <c r="H1279" s="210"/>
      <c r="I1279" s="210"/>
      <c r="J1279" s="210"/>
      <c r="K1279" s="210"/>
      <c r="L1279" s="210"/>
      <c r="M1279" s="210"/>
      <c r="N1279" s="210"/>
      <c r="P1279" s="211"/>
    </row>
    <row r="1280" spans="3:16">
      <c r="C1280" s="209"/>
      <c r="G1280" s="210"/>
      <c r="H1280" s="210"/>
      <c r="I1280" s="210"/>
      <c r="J1280" s="210"/>
      <c r="K1280" s="210"/>
      <c r="L1280" s="210"/>
      <c r="M1280" s="210"/>
      <c r="N1280" s="210"/>
      <c r="P1280" s="211"/>
    </row>
    <row r="1281" spans="3:16">
      <c r="C1281" s="209"/>
      <c r="G1281" s="210"/>
      <c r="H1281" s="210"/>
      <c r="I1281" s="210"/>
      <c r="J1281" s="210"/>
      <c r="K1281" s="210"/>
      <c r="L1281" s="210"/>
      <c r="M1281" s="210"/>
      <c r="N1281" s="210"/>
      <c r="P1281" s="211"/>
    </row>
    <row r="1282" spans="3:16">
      <c r="C1282" s="209"/>
      <c r="G1282" s="210"/>
      <c r="H1282" s="210"/>
      <c r="I1282" s="210"/>
      <c r="J1282" s="210"/>
      <c r="K1282" s="210"/>
      <c r="L1282" s="210"/>
      <c r="M1282" s="210"/>
      <c r="N1282" s="210"/>
      <c r="P1282" s="211"/>
    </row>
    <row r="1283" spans="3:16">
      <c r="C1283" s="209"/>
      <c r="G1283" s="210"/>
      <c r="H1283" s="210"/>
      <c r="I1283" s="210"/>
      <c r="J1283" s="210"/>
      <c r="K1283" s="210"/>
      <c r="L1283" s="210"/>
      <c r="M1283" s="210"/>
      <c r="N1283" s="210"/>
      <c r="P1283" s="211"/>
    </row>
    <row r="1284" spans="3:16">
      <c r="C1284" s="209"/>
      <c r="G1284" s="210"/>
      <c r="H1284" s="210"/>
      <c r="I1284" s="210"/>
      <c r="J1284" s="210"/>
      <c r="K1284" s="210"/>
      <c r="L1284" s="210"/>
      <c r="M1284" s="210"/>
      <c r="N1284" s="210"/>
      <c r="P1284" s="211"/>
    </row>
    <row r="1285" spans="3:16">
      <c r="C1285" s="209"/>
      <c r="G1285" s="210"/>
      <c r="H1285" s="210"/>
      <c r="I1285" s="210"/>
      <c r="J1285" s="210"/>
      <c r="K1285" s="210"/>
      <c r="L1285" s="210"/>
      <c r="M1285" s="210"/>
      <c r="N1285" s="210"/>
      <c r="P1285" s="211"/>
    </row>
    <row r="1286" spans="3:16">
      <c r="C1286" s="209"/>
      <c r="G1286" s="210"/>
      <c r="H1286" s="210"/>
      <c r="I1286" s="210"/>
      <c r="J1286" s="210"/>
      <c r="K1286" s="210"/>
      <c r="L1286" s="210"/>
      <c r="M1286" s="210"/>
      <c r="N1286" s="210"/>
      <c r="P1286" s="211"/>
    </row>
    <row r="1287" spans="3:16">
      <c r="C1287" s="209"/>
      <c r="G1287" s="210"/>
      <c r="H1287" s="210"/>
      <c r="I1287" s="210"/>
      <c r="J1287" s="210"/>
      <c r="K1287" s="210"/>
      <c r="L1287" s="210"/>
      <c r="M1287" s="210"/>
      <c r="N1287" s="210"/>
      <c r="P1287" s="211"/>
    </row>
    <row r="1288" spans="3:16">
      <c r="C1288" s="209"/>
      <c r="G1288" s="210"/>
      <c r="H1288" s="210"/>
      <c r="I1288" s="210"/>
      <c r="J1288" s="210"/>
      <c r="K1288" s="210"/>
      <c r="L1288" s="210"/>
      <c r="M1288" s="210"/>
      <c r="N1288" s="210"/>
      <c r="P1288" s="211"/>
    </row>
    <row r="1289" spans="3:16">
      <c r="C1289" s="209"/>
      <c r="G1289" s="210"/>
      <c r="H1289" s="210"/>
      <c r="I1289" s="210"/>
      <c r="J1289" s="210"/>
      <c r="K1289" s="210"/>
      <c r="L1289" s="210"/>
      <c r="M1289" s="210"/>
      <c r="N1289" s="210"/>
      <c r="P1289" s="211"/>
    </row>
    <row r="1290" spans="3:16">
      <c r="C1290" s="209"/>
      <c r="G1290" s="210"/>
      <c r="H1290" s="210"/>
      <c r="I1290" s="210"/>
      <c r="J1290" s="210"/>
      <c r="K1290" s="210"/>
      <c r="L1290" s="210"/>
      <c r="M1290" s="210"/>
      <c r="N1290" s="210"/>
      <c r="P1290" s="211"/>
    </row>
    <row r="1291" spans="3:16">
      <c r="C1291" s="209"/>
      <c r="G1291" s="210"/>
      <c r="H1291" s="210"/>
      <c r="I1291" s="210"/>
      <c r="J1291" s="210"/>
      <c r="K1291" s="210"/>
      <c r="L1291" s="210"/>
      <c r="M1291" s="210"/>
      <c r="N1291" s="210"/>
      <c r="P1291" s="211"/>
    </row>
    <row r="1292" spans="3:16">
      <c r="C1292" s="209"/>
      <c r="G1292" s="210"/>
      <c r="H1292" s="210"/>
      <c r="I1292" s="210"/>
      <c r="J1292" s="210"/>
      <c r="K1292" s="210"/>
      <c r="L1292" s="210"/>
      <c r="M1292" s="210"/>
      <c r="N1292" s="210"/>
      <c r="P1292" s="211"/>
    </row>
    <row r="1293" spans="3:16">
      <c r="C1293" s="209"/>
      <c r="G1293" s="210"/>
      <c r="H1293" s="210"/>
      <c r="I1293" s="210"/>
      <c r="J1293" s="210"/>
      <c r="K1293" s="210"/>
      <c r="L1293" s="210"/>
      <c r="M1293" s="210"/>
      <c r="N1293" s="210"/>
      <c r="P1293" s="211"/>
    </row>
    <row r="1294" spans="3:16">
      <c r="C1294" s="209"/>
      <c r="G1294" s="210"/>
      <c r="H1294" s="210"/>
      <c r="I1294" s="210"/>
      <c r="J1294" s="210"/>
      <c r="K1294" s="210"/>
      <c r="L1294" s="210"/>
      <c r="M1294" s="210"/>
      <c r="N1294" s="210"/>
      <c r="P1294" s="211"/>
    </row>
    <row r="1295" spans="3:16">
      <c r="C1295" s="209"/>
      <c r="G1295" s="210"/>
      <c r="H1295" s="210"/>
      <c r="I1295" s="210"/>
      <c r="J1295" s="210"/>
      <c r="K1295" s="210"/>
      <c r="L1295" s="210"/>
      <c r="M1295" s="210"/>
      <c r="N1295" s="210"/>
      <c r="P1295" s="211"/>
    </row>
    <row r="1296" spans="3:16">
      <c r="C1296" s="209"/>
      <c r="G1296" s="210"/>
      <c r="H1296" s="210"/>
      <c r="I1296" s="210"/>
      <c r="J1296" s="210"/>
      <c r="K1296" s="210"/>
      <c r="L1296" s="210"/>
      <c r="M1296" s="210"/>
      <c r="N1296" s="210"/>
      <c r="P1296" s="211"/>
    </row>
    <row r="1297" spans="3:16">
      <c r="C1297" s="209"/>
      <c r="G1297" s="210"/>
      <c r="H1297" s="210"/>
      <c r="I1297" s="210"/>
      <c r="J1297" s="210"/>
      <c r="K1297" s="210"/>
      <c r="L1297" s="210"/>
      <c r="M1297" s="210"/>
      <c r="N1297" s="210"/>
      <c r="P1297" s="211"/>
    </row>
    <row r="1298" spans="3:16">
      <c r="C1298" s="209"/>
      <c r="G1298" s="210"/>
      <c r="H1298" s="210"/>
      <c r="I1298" s="210"/>
      <c r="J1298" s="210"/>
      <c r="K1298" s="210"/>
      <c r="L1298" s="210"/>
      <c r="M1298" s="210"/>
      <c r="N1298" s="210"/>
      <c r="P1298" s="211"/>
    </row>
    <row r="1299" spans="3:16">
      <c r="C1299" s="209"/>
      <c r="G1299" s="210"/>
      <c r="H1299" s="210"/>
      <c r="I1299" s="210"/>
      <c r="J1299" s="210"/>
      <c r="K1299" s="210"/>
      <c r="L1299" s="210"/>
      <c r="M1299" s="210"/>
      <c r="N1299" s="210"/>
      <c r="P1299" s="211"/>
    </row>
    <row r="1300" spans="3:16">
      <c r="C1300" s="209"/>
      <c r="G1300" s="210"/>
      <c r="H1300" s="210"/>
      <c r="I1300" s="210"/>
      <c r="J1300" s="210"/>
      <c r="K1300" s="210"/>
      <c r="L1300" s="210"/>
      <c r="M1300" s="210"/>
      <c r="N1300" s="210"/>
      <c r="P1300" s="211"/>
    </row>
    <row r="1301" spans="3:16">
      <c r="C1301" s="209"/>
      <c r="G1301" s="210"/>
      <c r="H1301" s="210"/>
      <c r="I1301" s="210"/>
      <c r="J1301" s="210"/>
      <c r="K1301" s="210"/>
      <c r="L1301" s="210"/>
      <c r="M1301" s="210"/>
      <c r="N1301" s="210"/>
      <c r="P1301" s="211"/>
    </row>
    <row r="1302" spans="3:16">
      <c r="C1302" s="209"/>
      <c r="G1302" s="210"/>
      <c r="H1302" s="210"/>
      <c r="I1302" s="210"/>
      <c r="J1302" s="210"/>
      <c r="K1302" s="210"/>
      <c r="L1302" s="210"/>
      <c r="M1302" s="210"/>
      <c r="N1302" s="210"/>
      <c r="P1302" s="211"/>
    </row>
    <row r="1303" spans="3:16">
      <c r="C1303" s="209"/>
      <c r="G1303" s="210"/>
      <c r="H1303" s="210"/>
      <c r="I1303" s="210"/>
      <c r="J1303" s="210"/>
      <c r="K1303" s="210"/>
      <c r="L1303" s="210"/>
      <c r="M1303" s="210"/>
      <c r="N1303" s="210"/>
      <c r="P1303" s="211"/>
    </row>
    <row r="1304" spans="3:16">
      <c r="C1304" s="209"/>
      <c r="G1304" s="210"/>
      <c r="H1304" s="210"/>
      <c r="I1304" s="210"/>
      <c r="J1304" s="210"/>
      <c r="K1304" s="210"/>
      <c r="L1304" s="210"/>
      <c r="M1304" s="210"/>
      <c r="N1304" s="210"/>
      <c r="P1304" s="211"/>
    </row>
    <row r="1305" spans="3:16">
      <c r="C1305" s="209"/>
      <c r="G1305" s="210"/>
      <c r="H1305" s="210"/>
      <c r="I1305" s="210"/>
      <c r="J1305" s="210"/>
      <c r="K1305" s="210"/>
      <c r="L1305" s="210"/>
      <c r="M1305" s="210"/>
      <c r="N1305" s="210"/>
      <c r="P1305" s="211"/>
    </row>
    <row r="1306" spans="3:16">
      <c r="C1306" s="209"/>
      <c r="G1306" s="210"/>
      <c r="H1306" s="210"/>
      <c r="I1306" s="210"/>
      <c r="J1306" s="210"/>
      <c r="K1306" s="210"/>
      <c r="L1306" s="210"/>
      <c r="M1306" s="210"/>
      <c r="N1306" s="210"/>
      <c r="P1306" s="211"/>
    </row>
    <row r="1307" spans="3:16">
      <c r="C1307" s="209"/>
      <c r="G1307" s="210"/>
      <c r="H1307" s="210"/>
      <c r="I1307" s="210"/>
      <c r="J1307" s="210"/>
      <c r="K1307" s="210"/>
      <c r="L1307" s="210"/>
      <c r="M1307" s="210"/>
      <c r="N1307" s="210"/>
      <c r="P1307" s="211"/>
    </row>
    <row r="1308" spans="3:16">
      <c r="C1308" s="209"/>
      <c r="G1308" s="210"/>
      <c r="H1308" s="210"/>
      <c r="I1308" s="210"/>
      <c r="J1308" s="210"/>
      <c r="K1308" s="210"/>
      <c r="L1308" s="210"/>
      <c r="M1308" s="210"/>
      <c r="N1308" s="210"/>
      <c r="P1308" s="211"/>
    </row>
    <row r="1309" spans="3:16">
      <c r="C1309" s="209"/>
      <c r="G1309" s="210"/>
      <c r="H1309" s="210"/>
      <c r="I1309" s="210"/>
      <c r="J1309" s="210"/>
      <c r="K1309" s="210"/>
      <c r="L1309" s="210"/>
      <c r="M1309" s="210"/>
      <c r="N1309" s="210"/>
      <c r="P1309" s="211"/>
    </row>
    <row r="1310" spans="3:16">
      <c r="C1310" s="209"/>
      <c r="G1310" s="210"/>
      <c r="H1310" s="210"/>
      <c r="I1310" s="210"/>
      <c r="J1310" s="210"/>
      <c r="K1310" s="210"/>
      <c r="L1310" s="210"/>
      <c r="M1310" s="210"/>
      <c r="N1310" s="210"/>
      <c r="P1310" s="211"/>
    </row>
    <row r="1311" spans="3:16">
      <c r="C1311" s="209"/>
      <c r="G1311" s="210"/>
      <c r="H1311" s="210"/>
      <c r="I1311" s="210"/>
      <c r="J1311" s="210"/>
      <c r="K1311" s="210"/>
      <c r="L1311" s="210"/>
      <c r="M1311" s="210"/>
      <c r="N1311" s="210"/>
      <c r="P1311" s="211"/>
    </row>
    <row r="1312" spans="3:16">
      <c r="C1312" s="209"/>
      <c r="G1312" s="210"/>
      <c r="H1312" s="210"/>
      <c r="I1312" s="210"/>
      <c r="J1312" s="210"/>
      <c r="K1312" s="210"/>
      <c r="L1312" s="210"/>
      <c r="M1312" s="210"/>
      <c r="N1312" s="210"/>
      <c r="P1312" s="211"/>
    </row>
    <row r="1313" spans="3:16">
      <c r="C1313" s="209"/>
      <c r="G1313" s="210"/>
      <c r="H1313" s="210"/>
      <c r="I1313" s="210"/>
      <c r="J1313" s="210"/>
      <c r="K1313" s="210"/>
      <c r="L1313" s="210"/>
      <c r="M1313" s="210"/>
      <c r="N1313" s="210"/>
      <c r="P1313" s="211"/>
    </row>
    <row r="1314" spans="3:16">
      <c r="C1314" s="209"/>
      <c r="G1314" s="210"/>
      <c r="H1314" s="210"/>
      <c r="I1314" s="210"/>
      <c r="J1314" s="210"/>
      <c r="K1314" s="210"/>
      <c r="L1314" s="210"/>
      <c r="M1314" s="210"/>
      <c r="N1314" s="210"/>
      <c r="P1314" s="211"/>
    </row>
    <row r="1315" spans="3:16">
      <c r="C1315" s="209"/>
      <c r="G1315" s="210"/>
      <c r="H1315" s="210"/>
      <c r="I1315" s="210"/>
      <c r="J1315" s="210"/>
      <c r="K1315" s="210"/>
      <c r="L1315" s="210"/>
      <c r="M1315" s="210"/>
      <c r="N1315" s="210"/>
      <c r="P1315" s="211"/>
    </row>
    <row r="1316" spans="3:16">
      <c r="C1316" s="209"/>
      <c r="G1316" s="210"/>
      <c r="H1316" s="210"/>
      <c r="I1316" s="210"/>
      <c r="J1316" s="210"/>
      <c r="K1316" s="210"/>
      <c r="L1316" s="210"/>
      <c r="M1316" s="210"/>
      <c r="N1316" s="210"/>
      <c r="P1316" s="211"/>
    </row>
    <row r="1317" spans="3:16">
      <c r="C1317" s="209"/>
      <c r="G1317" s="210"/>
      <c r="H1317" s="210"/>
      <c r="I1317" s="210"/>
      <c r="J1317" s="210"/>
      <c r="K1317" s="210"/>
      <c r="L1317" s="210"/>
      <c r="M1317" s="210"/>
      <c r="N1317" s="210"/>
      <c r="P1317" s="211"/>
    </row>
    <row r="1318" spans="3:16">
      <c r="C1318" s="209"/>
      <c r="G1318" s="210"/>
      <c r="H1318" s="210"/>
      <c r="I1318" s="210"/>
      <c r="J1318" s="210"/>
      <c r="K1318" s="210"/>
      <c r="L1318" s="210"/>
      <c r="M1318" s="210"/>
      <c r="N1318" s="210"/>
      <c r="P1318" s="211"/>
    </row>
    <row r="1319" spans="3:16">
      <c r="C1319" s="209"/>
      <c r="G1319" s="210"/>
      <c r="H1319" s="210"/>
      <c r="I1319" s="210"/>
      <c r="J1319" s="210"/>
      <c r="K1319" s="210"/>
      <c r="L1319" s="210"/>
      <c r="M1319" s="210"/>
      <c r="N1319" s="210"/>
      <c r="P1319" s="211"/>
    </row>
    <row r="1320" spans="3:16">
      <c r="C1320" s="209"/>
      <c r="G1320" s="210"/>
      <c r="H1320" s="210"/>
      <c r="I1320" s="210"/>
      <c r="J1320" s="210"/>
      <c r="K1320" s="210"/>
      <c r="L1320" s="210"/>
      <c r="M1320" s="210"/>
      <c r="N1320" s="210"/>
      <c r="P1320" s="211"/>
    </row>
    <row r="1321" spans="3:16">
      <c r="C1321" s="209"/>
      <c r="G1321" s="210"/>
      <c r="H1321" s="210"/>
      <c r="I1321" s="210"/>
      <c r="J1321" s="210"/>
      <c r="K1321" s="210"/>
      <c r="L1321" s="210"/>
      <c r="M1321" s="210"/>
      <c r="N1321" s="210"/>
      <c r="P1321" s="211"/>
    </row>
    <row r="1322" spans="3:16">
      <c r="C1322" s="209"/>
      <c r="G1322" s="210"/>
      <c r="H1322" s="210"/>
      <c r="I1322" s="210"/>
      <c r="J1322" s="210"/>
      <c r="K1322" s="210"/>
      <c r="L1322" s="210"/>
      <c r="M1322" s="210"/>
      <c r="N1322" s="210"/>
      <c r="P1322" s="211"/>
    </row>
    <row r="1323" spans="3:16">
      <c r="C1323" s="209"/>
      <c r="G1323" s="210"/>
      <c r="H1323" s="210"/>
      <c r="I1323" s="210"/>
      <c r="J1323" s="210"/>
      <c r="K1323" s="210"/>
      <c r="L1323" s="210"/>
      <c r="M1323" s="210"/>
      <c r="N1323" s="210"/>
      <c r="P1323" s="211"/>
    </row>
    <row r="1324" spans="3:16">
      <c r="C1324" s="209"/>
      <c r="G1324" s="210"/>
      <c r="H1324" s="210"/>
      <c r="I1324" s="210"/>
      <c r="J1324" s="210"/>
      <c r="K1324" s="210"/>
      <c r="L1324" s="210"/>
      <c r="M1324" s="210"/>
      <c r="N1324" s="210"/>
      <c r="P1324" s="211"/>
    </row>
    <row r="1325" spans="3:16">
      <c r="C1325" s="209"/>
      <c r="G1325" s="210"/>
      <c r="H1325" s="210"/>
      <c r="I1325" s="210"/>
      <c r="J1325" s="210"/>
      <c r="K1325" s="210"/>
      <c r="L1325" s="210"/>
      <c r="M1325" s="210"/>
      <c r="N1325" s="210"/>
      <c r="P1325" s="211"/>
    </row>
    <row r="1326" spans="3:16">
      <c r="C1326" s="209"/>
      <c r="G1326" s="210"/>
      <c r="H1326" s="210"/>
      <c r="I1326" s="210"/>
      <c r="J1326" s="210"/>
      <c r="K1326" s="210"/>
      <c r="L1326" s="210"/>
      <c r="M1326" s="210"/>
      <c r="N1326" s="210"/>
      <c r="P1326" s="211"/>
    </row>
    <row r="1327" spans="3:16">
      <c r="C1327" s="209"/>
      <c r="G1327" s="210"/>
      <c r="H1327" s="210"/>
      <c r="I1327" s="210"/>
      <c r="J1327" s="210"/>
      <c r="K1327" s="210"/>
      <c r="L1327" s="210"/>
      <c r="M1327" s="210"/>
      <c r="N1327" s="210"/>
      <c r="P1327" s="211"/>
    </row>
    <row r="1328" spans="3:16">
      <c r="C1328" s="209"/>
      <c r="G1328" s="210"/>
      <c r="H1328" s="210"/>
      <c r="I1328" s="210"/>
      <c r="J1328" s="210"/>
      <c r="K1328" s="210"/>
      <c r="L1328" s="210"/>
      <c r="M1328" s="210"/>
      <c r="N1328" s="210"/>
      <c r="P1328" s="211"/>
    </row>
    <row r="1329" spans="3:16">
      <c r="C1329" s="209"/>
      <c r="G1329" s="210"/>
      <c r="H1329" s="210"/>
      <c r="I1329" s="210"/>
      <c r="J1329" s="210"/>
      <c r="K1329" s="210"/>
      <c r="L1329" s="210"/>
      <c r="M1329" s="210"/>
      <c r="N1329" s="210"/>
      <c r="P1329" s="211"/>
    </row>
    <row r="1330" spans="3:16">
      <c r="C1330" s="209"/>
      <c r="G1330" s="210"/>
      <c r="H1330" s="210"/>
      <c r="I1330" s="210"/>
      <c r="J1330" s="210"/>
      <c r="K1330" s="210"/>
      <c r="L1330" s="210"/>
      <c r="M1330" s="210"/>
      <c r="N1330" s="210"/>
      <c r="P1330" s="211"/>
    </row>
    <row r="1331" spans="3:16">
      <c r="C1331" s="209"/>
      <c r="G1331" s="210"/>
      <c r="H1331" s="210"/>
      <c r="I1331" s="210"/>
      <c r="J1331" s="210"/>
      <c r="K1331" s="210"/>
      <c r="L1331" s="210"/>
      <c r="M1331" s="210"/>
      <c r="N1331" s="210"/>
      <c r="P1331" s="211"/>
    </row>
    <row r="1332" spans="3:16">
      <c r="C1332" s="209"/>
      <c r="G1332" s="210"/>
      <c r="H1332" s="210"/>
      <c r="I1332" s="210"/>
      <c r="J1332" s="210"/>
      <c r="K1332" s="210"/>
      <c r="L1332" s="210"/>
      <c r="M1332" s="210"/>
      <c r="N1332" s="210"/>
      <c r="P1332" s="211"/>
    </row>
    <row r="1333" spans="3:16">
      <c r="C1333" s="209"/>
      <c r="G1333" s="210"/>
      <c r="H1333" s="210"/>
      <c r="I1333" s="210"/>
      <c r="J1333" s="210"/>
      <c r="K1333" s="210"/>
      <c r="L1333" s="210"/>
      <c r="M1333" s="210"/>
      <c r="N1333" s="210"/>
      <c r="P1333" s="211"/>
    </row>
    <row r="1334" spans="3:16">
      <c r="C1334" s="209"/>
      <c r="G1334" s="210"/>
      <c r="H1334" s="210"/>
      <c r="I1334" s="210"/>
      <c r="J1334" s="210"/>
      <c r="K1334" s="210"/>
      <c r="L1334" s="210"/>
      <c r="M1334" s="210"/>
      <c r="N1334" s="210"/>
      <c r="P1334" s="211"/>
    </row>
    <row r="1335" spans="3:16">
      <c r="C1335" s="209"/>
      <c r="G1335" s="210"/>
      <c r="H1335" s="210"/>
      <c r="I1335" s="210"/>
      <c r="J1335" s="210"/>
      <c r="K1335" s="210"/>
      <c r="L1335" s="210"/>
      <c r="M1335" s="210"/>
      <c r="N1335" s="210"/>
      <c r="P1335" s="211"/>
    </row>
    <row r="1336" spans="3:16">
      <c r="C1336" s="209"/>
      <c r="G1336" s="210"/>
      <c r="H1336" s="210"/>
      <c r="I1336" s="210"/>
      <c r="J1336" s="210"/>
      <c r="K1336" s="210"/>
      <c r="L1336" s="210"/>
      <c r="M1336" s="210"/>
      <c r="N1336" s="210"/>
      <c r="P1336" s="211"/>
    </row>
    <row r="1337" spans="3:16">
      <c r="C1337" s="209"/>
      <c r="G1337" s="210"/>
      <c r="H1337" s="210"/>
      <c r="I1337" s="210"/>
      <c r="J1337" s="210"/>
      <c r="K1337" s="210"/>
      <c r="L1337" s="210"/>
      <c r="M1337" s="210"/>
      <c r="N1337" s="210"/>
      <c r="P1337" s="211"/>
    </row>
    <row r="1338" spans="3:16">
      <c r="C1338" s="209"/>
      <c r="G1338" s="210"/>
      <c r="H1338" s="210"/>
      <c r="I1338" s="210"/>
      <c r="J1338" s="210"/>
      <c r="K1338" s="210"/>
      <c r="L1338" s="210"/>
      <c r="M1338" s="210"/>
      <c r="N1338" s="210"/>
      <c r="P1338" s="211"/>
    </row>
    <row r="1339" spans="3:16">
      <c r="C1339" s="209"/>
      <c r="G1339" s="210"/>
      <c r="H1339" s="210"/>
      <c r="I1339" s="210"/>
      <c r="J1339" s="210"/>
      <c r="K1339" s="210"/>
      <c r="L1339" s="210"/>
      <c r="M1339" s="210"/>
      <c r="N1339" s="210"/>
      <c r="P1339" s="211"/>
    </row>
    <row r="1340" spans="3:16">
      <c r="C1340" s="209"/>
      <c r="G1340" s="210"/>
      <c r="H1340" s="210"/>
      <c r="I1340" s="210"/>
      <c r="J1340" s="210"/>
      <c r="K1340" s="210"/>
      <c r="L1340" s="210"/>
      <c r="M1340" s="210"/>
      <c r="N1340" s="210"/>
      <c r="P1340" s="211"/>
    </row>
    <row r="1341" spans="3:16">
      <c r="C1341" s="209"/>
      <c r="G1341" s="210"/>
      <c r="H1341" s="210"/>
      <c r="I1341" s="210"/>
      <c r="J1341" s="210"/>
      <c r="K1341" s="210"/>
      <c r="L1341" s="210"/>
      <c r="M1341" s="210"/>
      <c r="N1341" s="210"/>
      <c r="P1341" s="211"/>
    </row>
    <row r="1342" spans="3:16">
      <c r="C1342" s="209"/>
      <c r="G1342" s="210"/>
      <c r="H1342" s="210"/>
      <c r="I1342" s="210"/>
      <c r="J1342" s="210"/>
      <c r="K1342" s="210"/>
      <c r="L1342" s="210"/>
      <c r="M1342" s="210"/>
      <c r="N1342" s="210"/>
      <c r="P1342" s="211"/>
    </row>
    <row r="1343" spans="3:16">
      <c r="C1343" s="209"/>
      <c r="G1343" s="210"/>
      <c r="H1343" s="210"/>
      <c r="I1343" s="210"/>
      <c r="J1343" s="210"/>
      <c r="K1343" s="210"/>
      <c r="L1343" s="210"/>
      <c r="M1343" s="210"/>
      <c r="N1343" s="210"/>
      <c r="P1343" s="211"/>
    </row>
    <row r="1344" spans="3:16">
      <c r="C1344" s="209"/>
      <c r="G1344" s="210"/>
      <c r="H1344" s="210"/>
      <c r="I1344" s="210"/>
      <c r="J1344" s="210"/>
      <c r="K1344" s="210"/>
      <c r="L1344" s="210"/>
      <c r="M1344" s="210"/>
      <c r="N1344" s="210"/>
      <c r="P1344" s="211"/>
    </row>
    <row r="1345" spans="3:16">
      <c r="C1345" s="209"/>
      <c r="G1345" s="210"/>
      <c r="H1345" s="210"/>
      <c r="I1345" s="210"/>
      <c r="J1345" s="210"/>
      <c r="K1345" s="210"/>
      <c r="L1345" s="210"/>
      <c r="M1345" s="210"/>
      <c r="N1345" s="210"/>
      <c r="P1345" s="211"/>
    </row>
    <row r="1346" spans="3:16">
      <c r="C1346" s="209"/>
      <c r="G1346" s="210"/>
      <c r="H1346" s="210"/>
      <c r="I1346" s="210"/>
      <c r="J1346" s="210"/>
      <c r="K1346" s="210"/>
      <c r="L1346" s="210"/>
      <c r="M1346" s="210"/>
      <c r="N1346" s="210"/>
      <c r="P1346" s="211"/>
    </row>
    <row r="1347" spans="3:16">
      <c r="C1347" s="209"/>
      <c r="G1347" s="210"/>
      <c r="H1347" s="210"/>
      <c r="I1347" s="210"/>
      <c r="J1347" s="210"/>
      <c r="K1347" s="210"/>
      <c r="L1347" s="210"/>
      <c r="M1347" s="210"/>
      <c r="N1347" s="210"/>
      <c r="P1347" s="211"/>
    </row>
    <row r="1348" spans="3:16">
      <c r="C1348" s="209"/>
      <c r="G1348" s="210"/>
      <c r="H1348" s="210"/>
      <c r="I1348" s="210"/>
      <c r="J1348" s="210"/>
      <c r="K1348" s="210"/>
      <c r="L1348" s="210"/>
      <c r="M1348" s="210"/>
      <c r="N1348" s="210"/>
      <c r="P1348" s="211"/>
    </row>
    <row r="1349" spans="3:16">
      <c r="C1349" s="209"/>
      <c r="G1349" s="210"/>
      <c r="H1349" s="210"/>
      <c r="I1349" s="210"/>
      <c r="J1349" s="210"/>
      <c r="K1349" s="210"/>
      <c r="L1349" s="210"/>
      <c r="M1349" s="210"/>
      <c r="N1349" s="210"/>
      <c r="P1349" s="211"/>
    </row>
    <row r="1350" spans="3:16">
      <c r="C1350" s="209"/>
      <c r="G1350" s="210"/>
      <c r="H1350" s="210"/>
      <c r="I1350" s="210"/>
      <c r="J1350" s="210"/>
      <c r="K1350" s="210"/>
      <c r="L1350" s="210"/>
      <c r="M1350" s="210"/>
      <c r="N1350" s="210"/>
      <c r="P1350" s="211"/>
    </row>
    <row r="1351" spans="3:16">
      <c r="C1351" s="209"/>
      <c r="G1351" s="210"/>
      <c r="H1351" s="210"/>
      <c r="I1351" s="210"/>
      <c r="J1351" s="210"/>
      <c r="K1351" s="210"/>
      <c r="L1351" s="210"/>
      <c r="M1351" s="210"/>
      <c r="N1351" s="210"/>
      <c r="P1351" s="211"/>
    </row>
    <row r="1352" spans="3:16">
      <c r="C1352" s="209"/>
      <c r="G1352" s="210"/>
      <c r="H1352" s="210"/>
      <c r="I1352" s="210"/>
      <c r="J1352" s="210"/>
      <c r="K1352" s="210"/>
      <c r="L1352" s="210"/>
      <c r="M1352" s="210"/>
      <c r="N1352" s="210"/>
      <c r="P1352" s="211"/>
    </row>
    <row r="1353" spans="3:16">
      <c r="C1353" s="209"/>
      <c r="G1353" s="210"/>
      <c r="H1353" s="210"/>
      <c r="I1353" s="210"/>
      <c r="J1353" s="210"/>
      <c r="K1353" s="210"/>
      <c r="L1353" s="210"/>
      <c r="M1353" s="210"/>
      <c r="N1353" s="210"/>
      <c r="P1353" s="211"/>
    </row>
    <row r="1354" spans="3:16">
      <c r="C1354" s="209"/>
      <c r="G1354" s="210"/>
      <c r="H1354" s="210"/>
      <c r="I1354" s="210"/>
      <c r="J1354" s="210"/>
      <c r="K1354" s="210"/>
      <c r="L1354" s="210"/>
      <c r="M1354" s="210"/>
      <c r="N1354" s="210"/>
      <c r="P1354" s="211"/>
    </row>
    <row r="1355" spans="3:16">
      <c r="C1355" s="209"/>
      <c r="G1355" s="210"/>
      <c r="H1355" s="210"/>
      <c r="I1355" s="210"/>
      <c r="J1355" s="210"/>
      <c r="K1355" s="210"/>
      <c r="L1355" s="210"/>
      <c r="M1355" s="210"/>
      <c r="N1355" s="210"/>
      <c r="P1355" s="211"/>
    </row>
    <row r="1356" spans="3:16">
      <c r="C1356" s="209"/>
      <c r="G1356" s="210"/>
      <c r="H1356" s="210"/>
      <c r="I1356" s="210"/>
      <c r="J1356" s="210"/>
      <c r="K1356" s="210"/>
      <c r="L1356" s="210"/>
      <c r="M1356" s="210"/>
      <c r="N1356" s="210"/>
      <c r="P1356" s="211"/>
    </row>
    <row r="1357" spans="3:16">
      <c r="C1357" s="209"/>
      <c r="G1357" s="210"/>
      <c r="H1357" s="210"/>
      <c r="I1357" s="210"/>
      <c r="J1357" s="210"/>
      <c r="K1357" s="210"/>
      <c r="L1357" s="210"/>
      <c r="M1357" s="210"/>
      <c r="N1357" s="210"/>
      <c r="P1357" s="211"/>
    </row>
    <row r="1358" spans="3:16">
      <c r="C1358" s="209"/>
      <c r="G1358" s="210"/>
      <c r="H1358" s="210"/>
      <c r="I1358" s="210"/>
      <c r="J1358" s="210"/>
      <c r="K1358" s="210"/>
      <c r="L1358" s="210"/>
      <c r="M1358" s="210"/>
      <c r="N1358" s="210"/>
      <c r="P1358" s="211"/>
    </row>
    <row r="1359" spans="3:16">
      <c r="C1359" s="209"/>
      <c r="G1359" s="210"/>
      <c r="H1359" s="210"/>
      <c r="I1359" s="210"/>
      <c r="J1359" s="210"/>
      <c r="K1359" s="210"/>
      <c r="L1359" s="210"/>
      <c r="M1359" s="210"/>
      <c r="N1359" s="210"/>
      <c r="P1359" s="211"/>
    </row>
    <row r="1360" spans="3:16">
      <c r="C1360" s="209"/>
      <c r="G1360" s="210"/>
      <c r="H1360" s="210"/>
      <c r="I1360" s="210"/>
      <c r="J1360" s="210"/>
      <c r="K1360" s="210"/>
      <c r="L1360" s="210"/>
      <c r="M1360" s="210"/>
      <c r="N1360" s="210"/>
      <c r="P1360" s="211"/>
    </row>
    <row r="1361" spans="3:16">
      <c r="C1361" s="209"/>
      <c r="G1361" s="210"/>
      <c r="H1361" s="210"/>
      <c r="I1361" s="210"/>
      <c r="J1361" s="210"/>
      <c r="K1361" s="210"/>
      <c r="L1361" s="210"/>
      <c r="M1361" s="210"/>
      <c r="N1361" s="210"/>
      <c r="P1361" s="211"/>
    </row>
    <row r="1362" spans="3:16">
      <c r="C1362" s="209"/>
      <c r="G1362" s="210"/>
      <c r="H1362" s="210"/>
      <c r="I1362" s="210"/>
      <c r="J1362" s="210"/>
      <c r="K1362" s="210"/>
      <c r="L1362" s="210"/>
      <c r="M1362" s="210"/>
      <c r="N1362" s="210"/>
      <c r="P1362" s="211"/>
    </row>
    <row r="1363" spans="3:16">
      <c r="C1363" s="209"/>
      <c r="G1363" s="210"/>
      <c r="H1363" s="210"/>
      <c r="I1363" s="210"/>
      <c r="J1363" s="210"/>
      <c r="K1363" s="210"/>
      <c r="L1363" s="210"/>
      <c r="M1363" s="210"/>
      <c r="N1363" s="210"/>
      <c r="P1363" s="211"/>
    </row>
    <row r="1364" spans="3:16">
      <c r="C1364" s="209"/>
      <c r="G1364" s="210"/>
      <c r="H1364" s="210"/>
      <c r="I1364" s="210"/>
      <c r="J1364" s="210"/>
      <c r="K1364" s="210"/>
      <c r="L1364" s="210"/>
      <c r="M1364" s="210"/>
      <c r="N1364" s="210"/>
      <c r="P1364" s="211"/>
    </row>
    <row r="1365" spans="3:16">
      <c r="C1365" s="209"/>
      <c r="G1365" s="210"/>
      <c r="H1365" s="210"/>
      <c r="I1365" s="210"/>
      <c r="J1365" s="210"/>
      <c r="K1365" s="210"/>
      <c r="L1365" s="210"/>
      <c r="M1365" s="210"/>
      <c r="N1365" s="210"/>
      <c r="P1365" s="211"/>
    </row>
    <row r="1366" spans="3:16">
      <c r="C1366" s="209"/>
      <c r="G1366" s="210"/>
      <c r="H1366" s="210"/>
      <c r="I1366" s="210"/>
      <c r="J1366" s="210"/>
      <c r="K1366" s="210"/>
      <c r="L1366" s="210"/>
      <c r="M1366" s="210"/>
      <c r="N1366" s="210"/>
      <c r="P1366" s="211"/>
    </row>
    <row r="1367" spans="3:16">
      <c r="C1367" s="209"/>
      <c r="G1367" s="210"/>
      <c r="H1367" s="210"/>
      <c r="I1367" s="210"/>
      <c r="J1367" s="210"/>
      <c r="K1367" s="210"/>
      <c r="L1367" s="210"/>
      <c r="M1367" s="210"/>
      <c r="N1367" s="210"/>
      <c r="P1367" s="211"/>
    </row>
    <row r="1368" spans="3:16">
      <c r="C1368" s="209"/>
      <c r="G1368" s="210"/>
      <c r="H1368" s="210"/>
      <c r="I1368" s="210"/>
      <c r="J1368" s="210"/>
      <c r="K1368" s="210"/>
      <c r="L1368" s="210"/>
      <c r="M1368" s="210"/>
      <c r="N1368" s="210"/>
      <c r="P1368" s="211"/>
    </row>
    <row r="1369" spans="3:16">
      <c r="C1369" s="209"/>
      <c r="G1369" s="210"/>
      <c r="H1369" s="210"/>
      <c r="I1369" s="210"/>
      <c r="J1369" s="210"/>
      <c r="K1369" s="210"/>
      <c r="L1369" s="210"/>
      <c r="M1369" s="210"/>
      <c r="N1369" s="210"/>
      <c r="P1369" s="211"/>
    </row>
    <row r="1370" spans="3:16">
      <c r="C1370" s="209"/>
      <c r="G1370" s="210"/>
      <c r="H1370" s="210"/>
      <c r="I1370" s="210"/>
      <c r="J1370" s="210"/>
      <c r="K1370" s="210"/>
      <c r="L1370" s="210"/>
      <c r="M1370" s="210"/>
      <c r="N1370" s="210"/>
      <c r="P1370" s="211"/>
    </row>
    <row r="1371" spans="3:16">
      <c r="C1371" s="209"/>
      <c r="G1371" s="210"/>
      <c r="H1371" s="210"/>
      <c r="I1371" s="210"/>
      <c r="J1371" s="210"/>
      <c r="K1371" s="210"/>
      <c r="L1371" s="210"/>
      <c r="M1371" s="210"/>
      <c r="N1371" s="210"/>
      <c r="P1371" s="211"/>
    </row>
    <row r="1372" spans="3:16">
      <c r="C1372" s="209"/>
      <c r="G1372" s="210"/>
      <c r="H1372" s="210"/>
      <c r="I1372" s="210"/>
      <c r="J1372" s="210"/>
      <c r="K1372" s="210"/>
      <c r="L1372" s="210"/>
      <c r="M1372" s="210"/>
      <c r="N1372" s="210"/>
      <c r="P1372" s="211"/>
    </row>
    <row r="1373" spans="3:16">
      <c r="C1373" s="209"/>
      <c r="G1373" s="210"/>
      <c r="H1373" s="210"/>
      <c r="I1373" s="210"/>
      <c r="J1373" s="210"/>
      <c r="K1373" s="210"/>
      <c r="L1373" s="210"/>
      <c r="M1373" s="210"/>
      <c r="N1373" s="210"/>
      <c r="P1373" s="211"/>
    </row>
    <row r="1374" spans="3:16">
      <c r="C1374" s="209"/>
      <c r="G1374" s="210"/>
      <c r="H1374" s="210"/>
      <c r="I1374" s="210"/>
      <c r="J1374" s="210"/>
      <c r="K1374" s="210"/>
      <c r="L1374" s="210"/>
      <c r="M1374" s="210"/>
      <c r="N1374" s="210"/>
      <c r="P1374" s="211"/>
    </row>
    <row r="1375" spans="3:16">
      <c r="C1375" s="209"/>
      <c r="G1375" s="210"/>
      <c r="H1375" s="210"/>
      <c r="I1375" s="210"/>
      <c r="J1375" s="210"/>
      <c r="K1375" s="210"/>
      <c r="L1375" s="210"/>
      <c r="M1375" s="210"/>
      <c r="N1375" s="210"/>
      <c r="P1375" s="211"/>
    </row>
    <row r="1376" spans="3:16">
      <c r="C1376" s="209"/>
      <c r="G1376" s="210"/>
      <c r="H1376" s="210"/>
      <c r="I1376" s="210"/>
      <c r="J1376" s="210"/>
      <c r="K1376" s="210"/>
      <c r="L1376" s="210"/>
      <c r="M1376" s="210"/>
      <c r="N1376" s="210"/>
      <c r="P1376" s="211"/>
    </row>
    <row r="1377" spans="3:16">
      <c r="C1377" s="209"/>
      <c r="G1377" s="210"/>
      <c r="H1377" s="210"/>
      <c r="I1377" s="210"/>
      <c r="J1377" s="210"/>
      <c r="K1377" s="210"/>
      <c r="L1377" s="210"/>
      <c r="M1377" s="210"/>
      <c r="N1377" s="210"/>
      <c r="P1377" s="211"/>
    </row>
    <row r="1378" spans="3:16">
      <c r="C1378" s="209"/>
      <c r="G1378" s="210"/>
      <c r="H1378" s="210"/>
      <c r="I1378" s="210"/>
      <c r="J1378" s="210"/>
      <c r="K1378" s="210"/>
      <c r="L1378" s="210"/>
      <c r="M1378" s="210"/>
      <c r="N1378" s="210"/>
      <c r="P1378" s="211"/>
    </row>
    <row r="1379" spans="3:16">
      <c r="C1379" s="209"/>
      <c r="G1379" s="210"/>
      <c r="H1379" s="210"/>
      <c r="I1379" s="210"/>
      <c r="J1379" s="210"/>
      <c r="K1379" s="210"/>
      <c r="L1379" s="210"/>
      <c r="M1379" s="210"/>
      <c r="N1379" s="210"/>
      <c r="P1379" s="211"/>
    </row>
    <row r="1380" spans="3:16">
      <c r="C1380" s="209"/>
      <c r="G1380" s="210"/>
      <c r="H1380" s="210"/>
      <c r="I1380" s="210"/>
      <c r="J1380" s="210"/>
      <c r="K1380" s="210"/>
      <c r="L1380" s="210"/>
      <c r="M1380" s="210"/>
      <c r="N1380" s="210"/>
      <c r="P1380" s="211"/>
    </row>
    <row r="1381" spans="3:16">
      <c r="C1381" s="209"/>
      <c r="G1381" s="210"/>
      <c r="H1381" s="210"/>
      <c r="I1381" s="210"/>
      <c r="J1381" s="210"/>
      <c r="K1381" s="210"/>
      <c r="L1381" s="210"/>
      <c r="M1381" s="210"/>
      <c r="N1381" s="210"/>
      <c r="P1381" s="211"/>
    </row>
    <row r="1382" spans="3:16">
      <c r="C1382" s="209"/>
      <c r="G1382" s="210"/>
      <c r="H1382" s="210"/>
      <c r="I1382" s="210"/>
      <c r="J1382" s="210"/>
      <c r="K1382" s="210"/>
      <c r="L1382" s="210"/>
      <c r="M1382" s="210"/>
      <c r="N1382" s="210"/>
      <c r="P1382" s="211"/>
    </row>
    <row r="1383" spans="3:16">
      <c r="C1383" s="209"/>
      <c r="G1383" s="210"/>
      <c r="H1383" s="210"/>
      <c r="I1383" s="210"/>
      <c r="J1383" s="210"/>
      <c r="K1383" s="210"/>
      <c r="L1383" s="210"/>
      <c r="M1383" s="210"/>
      <c r="N1383" s="210"/>
      <c r="P1383" s="211"/>
    </row>
    <row r="1384" spans="3:16">
      <c r="C1384" s="209"/>
      <c r="G1384" s="210"/>
      <c r="H1384" s="210"/>
      <c r="I1384" s="210"/>
      <c r="J1384" s="210"/>
      <c r="K1384" s="210"/>
      <c r="L1384" s="210"/>
      <c r="M1384" s="210"/>
      <c r="N1384" s="210"/>
      <c r="P1384" s="211"/>
    </row>
    <row r="1385" spans="3:16">
      <c r="C1385" s="209"/>
      <c r="G1385" s="210"/>
      <c r="H1385" s="210"/>
      <c r="I1385" s="210"/>
      <c r="J1385" s="210"/>
      <c r="K1385" s="210"/>
      <c r="L1385" s="210"/>
      <c r="M1385" s="210"/>
      <c r="N1385" s="210"/>
      <c r="P1385" s="211"/>
    </row>
    <row r="1386" spans="3:16">
      <c r="C1386" s="209"/>
      <c r="G1386" s="210"/>
      <c r="H1386" s="210"/>
      <c r="I1386" s="210"/>
      <c r="J1386" s="210"/>
      <c r="K1386" s="210"/>
      <c r="L1386" s="210"/>
      <c r="M1386" s="210"/>
      <c r="N1386" s="210"/>
      <c r="P1386" s="211"/>
    </row>
    <row r="1387" spans="3:16">
      <c r="C1387" s="209"/>
      <c r="G1387" s="210"/>
      <c r="H1387" s="210"/>
      <c r="I1387" s="210"/>
      <c r="J1387" s="210"/>
      <c r="K1387" s="210"/>
      <c r="L1387" s="210"/>
      <c r="M1387" s="210"/>
      <c r="N1387" s="210"/>
      <c r="P1387" s="211"/>
    </row>
    <row r="1388" spans="3:16">
      <c r="C1388" s="209"/>
      <c r="G1388" s="210"/>
      <c r="H1388" s="210"/>
      <c r="I1388" s="210"/>
      <c r="J1388" s="210"/>
      <c r="K1388" s="210"/>
      <c r="L1388" s="210"/>
      <c r="M1388" s="210"/>
      <c r="N1388" s="210"/>
      <c r="P1388" s="211"/>
    </row>
    <row r="1389" spans="3:16">
      <c r="C1389" s="209"/>
      <c r="G1389" s="210"/>
      <c r="H1389" s="210"/>
      <c r="I1389" s="210"/>
      <c r="J1389" s="210"/>
      <c r="K1389" s="210"/>
      <c r="L1389" s="210"/>
      <c r="M1389" s="210"/>
      <c r="N1389" s="210"/>
      <c r="P1389" s="211"/>
    </row>
    <row r="1390" spans="3:16">
      <c r="C1390" s="209"/>
      <c r="G1390" s="210"/>
      <c r="H1390" s="210"/>
      <c r="I1390" s="210"/>
      <c r="J1390" s="210"/>
      <c r="K1390" s="210"/>
      <c r="L1390" s="210"/>
      <c r="M1390" s="210"/>
      <c r="N1390" s="210"/>
      <c r="P1390" s="211"/>
    </row>
    <row r="1391" spans="3:16">
      <c r="C1391" s="209"/>
      <c r="G1391" s="210"/>
      <c r="H1391" s="210"/>
      <c r="I1391" s="210"/>
      <c r="J1391" s="210"/>
      <c r="K1391" s="210"/>
      <c r="L1391" s="210"/>
      <c r="M1391" s="210"/>
      <c r="N1391" s="210"/>
      <c r="P1391" s="211"/>
    </row>
    <row r="1392" spans="3:16">
      <c r="C1392" s="209"/>
      <c r="G1392" s="210"/>
      <c r="H1392" s="210"/>
      <c r="I1392" s="210"/>
      <c r="J1392" s="210"/>
      <c r="K1392" s="210"/>
      <c r="L1392" s="210"/>
      <c r="M1392" s="210"/>
      <c r="N1392" s="210"/>
      <c r="P1392" s="211"/>
    </row>
    <row r="1393" spans="3:16">
      <c r="C1393" s="209"/>
      <c r="G1393" s="210"/>
      <c r="H1393" s="210"/>
      <c r="I1393" s="210"/>
      <c r="J1393" s="210"/>
      <c r="K1393" s="210"/>
      <c r="L1393" s="210"/>
      <c r="M1393" s="210"/>
      <c r="N1393" s="210"/>
      <c r="P1393" s="211"/>
    </row>
    <row r="1394" spans="3:16">
      <c r="C1394" s="209"/>
      <c r="G1394" s="210"/>
      <c r="H1394" s="210"/>
      <c r="I1394" s="210"/>
      <c r="J1394" s="210"/>
      <c r="K1394" s="210"/>
      <c r="L1394" s="210"/>
      <c r="M1394" s="210"/>
      <c r="N1394" s="210"/>
      <c r="P1394" s="211"/>
    </row>
    <row r="1395" spans="3:16">
      <c r="C1395" s="209"/>
      <c r="G1395" s="210"/>
      <c r="H1395" s="210"/>
      <c r="I1395" s="210"/>
      <c r="J1395" s="210"/>
      <c r="K1395" s="210"/>
      <c r="L1395" s="210"/>
      <c r="M1395" s="210"/>
      <c r="N1395" s="210"/>
      <c r="P1395" s="211"/>
    </row>
    <row r="1396" spans="3:16">
      <c r="C1396" s="209"/>
      <c r="G1396" s="210"/>
      <c r="H1396" s="210"/>
      <c r="I1396" s="210"/>
      <c r="J1396" s="210"/>
      <c r="K1396" s="210"/>
      <c r="L1396" s="210"/>
      <c r="M1396" s="210"/>
      <c r="N1396" s="210"/>
      <c r="P1396" s="211"/>
    </row>
    <row r="1397" spans="3:16">
      <c r="C1397" s="209"/>
      <c r="G1397" s="210"/>
      <c r="H1397" s="210"/>
      <c r="I1397" s="210"/>
      <c r="J1397" s="210"/>
      <c r="K1397" s="210"/>
      <c r="L1397" s="210"/>
      <c r="M1397" s="210"/>
      <c r="N1397" s="210"/>
      <c r="P1397" s="211"/>
    </row>
    <row r="1398" spans="3:16">
      <c r="C1398" s="209"/>
      <c r="G1398" s="210"/>
      <c r="H1398" s="210"/>
      <c r="I1398" s="210"/>
      <c r="J1398" s="210"/>
      <c r="K1398" s="210"/>
      <c r="L1398" s="210"/>
      <c r="M1398" s="210"/>
      <c r="N1398" s="210"/>
      <c r="P1398" s="211"/>
    </row>
    <row r="1399" spans="3:16">
      <c r="C1399" s="209"/>
      <c r="G1399" s="210"/>
      <c r="H1399" s="210"/>
      <c r="I1399" s="210"/>
      <c r="J1399" s="210"/>
      <c r="K1399" s="210"/>
      <c r="L1399" s="210"/>
      <c r="M1399" s="210"/>
      <c r="N1399" s="210"/>
      <c r="P1399" s="211"/>
    </row>
    <row r="1400" spans="3:16">
      <c r="C1400" s="209"/>
      <c r="G1400" s="210"/>
      <c r="H1400" s="210"/>
      <c r="I1400" s="210"/>
      <c r="J1400" s="210"/>
      <c r="K1400" s="210"/>
      <c r="L1400" s="210"/>
      <c r="M1400" s="210"/>
      <c r="N1400" s="210"/>
      <c r="P1400" s="211"/>
    </row>
    <row r="1401" spans="3:16">
      <c r="C1401" s="209"/>
      <c r="G1401" s="210"/>
      <c r="H1401" s="210"/>
      <c r="I1401" s="210"/>
      <c r="J1401" s="210"/>
      <c r="K1401" s="210"/>
      <c r="L1401" s="210"/>
      <c r="M1401" s="210"/>
      <c r="N1401" s="210"/>
      <c r="P1401" s="211"/>
    </row>
    <row r="1402" spans="3:16">
      <c r="C1402" s="209"/>
      <c r="G1402" s="210"/>
      <c r="H1402" s="210"/>
      <c r="I1402" s="210"/>
      <c r="J1402" s="210"/>
      <c r="K1402" s="210"/>
      <c r="L1402" s="210"/>
      <c r="M1402" s="210"/>
      <c r="N1402" s="210"/>
      <c r="P1402" s="211"/>
    </row>
    <row r="1403" spans="3:16">
      <c r="C1403" s="209"/>
      <c r="G1403" s="210"/>
      <c r="H1403" s="210"/>
      <c r="I1403" s="210"/>
      <c r="J1403" s="210"/>
      <c r="K1403" s="210"/>
      <c r="L1403" s="210"/>
      <c r="M1403" s="210"/>
      <c r="N1403" s="210"/>
      <c r="P1403" s="211"/>
    </row>
    <row r="1404" spans="3:16">
      <c r="C1404" s="209"/>
      <c r="G1404" s="210"/>
      <c r="H1404" s="210"/>
      <c r="I1404" s="210"/>
      <c r="J1404" s="210"/>
      <c r="K1404" s="210"/>
      <c r="L1404" s="210"/>
      <c r="M1404" s="210"/>
      <c r="N1404" s="210"/>
      <c r="P1404" s="211"/>
    </row>
    <row r="1405" spans="3:16">
      <c r="C1405" s="209"/>
      <c r="G1405" s="210"/>
      <c r="H1405" s="210"/>
      <c r="I1405" s="210"/>
      <c r="J1405" s="210"/>
      <c r="K1405" s="210"/>
      <c r="L1405" s="210"/>
      <c r="M1405" s="210"/>
      <c r="N1405" s="210"/>
      <c r="P1405" s="211"/>
    </row>
    <row r="1406" spans="3:16">
      <c r="C1406" s="209"/>
      <c r="G1406" s="210"/>
      <c r="H1406" s="210"/>
      <c r="I1406" s="210"/>
      <c r="J1406" s="210"/>
      <c r="K1406" s="210"/>
      <c r="L1406" s="210"/>
      <c r="M1406" s="210"/>
      <c r="N1406" s="210"/>
      <c r="P1406" s="211"/>
    </row>
    <row r="1407" spans="3:16">
      <c r="C1407" s="209"/>
      <c r="G1407" s="210"/>
      <c r="H1407" s="210"/>
      <c r="I1407" s="210"/>
      <c r="J1407" s="210"/>
      <c r="K1407" s="210"/>
      <c r="L1407" s="210"/>
      <c r="M1407" s="210"/>
      <c r="N1407" s="210"/>
      <c r="P1407" s="211"/>
    </row>
    <row r="1408" spans="3:16">
      <c r="C1408" s="209"/>
      <c r="G1408" s="210"/>
      <c r="H1408" s="210"/>
      <c r="I1408" s="210"/>
      <c r="J1408" s="210"/>
      <c r="K1408" s="210"/>
      <c r="L1408" s="210"/>
      <c r="M1408" s="210"/>
      <c r="N1408" s="210"/>
      <c r="P1408" s="211"/>
    </row>
    <row r="1409" spans="3:16">
      <c r="C1409" s="209"/>
      <c r="G1409" s="210"/>
      <c r="H1409" s="210"/>
      <c r="I1409" s="210"/>
      <c r="J1409" s="210"/>
      <c r="K1409" s="210"/>
      <c r="L1409" s="210"/>
      <c r="M1409" s="210"/>
      <c r="N1409" s="210"/>
      <c r="P1409" s="211"/>
    </row>
    <row r="1410" spans="3:16">
      <c r="C1410" s="209"/>
      <c r="G1410" s="210"/>
      <c r="H1410" s="210"/>
      <c r="I1410" s="210"/>
      <c r="J1410" s="210"/>
      <c r="K1410" s="210"/>
      <c r="L1410" s="210"/>
      <c r="M1410" s="210"/>
      <c r="N1410" s="210"/>
      <c r="P1410" s="211"/>
    </row>
    <row r="1411" spans="3:16">
      <c r="C1411" s="209"/>
      <c r="G1411" s="210"/>
      <c r="H1411" s="210"/>
      <c r="I1411" s="210"/>
      <c r="J1411" s="210"/>
      <c r="K1411" s="210"/>
      <c r="L1411" s="210"/>
      <c r="M1411" s="210"/>
      <c r="N1411" s="210"/>
      <c r="P1411" s="211"/>
    </row>
    <row r="1412" spans="3:16">
      <c r="C1412" s="209"/>
      <c r="G1412" s="210"/>
      <c r="H1412" s="210"/>
      <c r="I1412" s="210"/>
      <c r="J1412" s="210"/>
      <c r="K1412" s="210"/>
      <c r="L1412" s="210"/>
      <c r="M1412" s="210"/>
      <c r="N1412" s="210"/>
      <c r="P1412" s="211"/>
    </row>
    <row r="1413" spans="3:16">
      <c r="C1413" s="209"/>
      <c r="G1413" s="210"/>
      <c r="H1413" s="210"/>
      <c r="I1413" s="210"/>
      <c r="J1413" s="210"/>
      <c r="K1413" s="210"/>
      <c r="L1413" s="210"/>
      <c r="M1413" s="210"/>
      <c r="N1413" s="210"/>
      <c r="P1413" s="211"/>
    </row>
    <row r="1414" spans="3:16">
      <c r="C1414" s="209"/>
      <c r="G1414" s="210"/>
      <c r="H1414" s="210"/>
      <c r="I1414" s="210"/>
      <c r="J1414" s="210"/>
      <c r="K1414" s="210"/>
      <c r="L1414" s="210"/>
      <c r="M1414" s="210"/>
      <c r="N1414" s="210"/>
      <c r="P1414" s="211"/>
    </row>
    <row r="1415" spans="3:16">
      <c r="C1415" s="209"/>
      <c r="G1415" s="210"/>
      <c r="H1415" s="210"/>
      <c r="I1415" s="210"/>
      <c r="J1415" s="210"/>
      <c r="K1415" s="210"/>
      <c r="L1415" s="210"/>
      <c r="M1415" s="210"/>
      <c r="N1415" s="210"/>
      <c r="P1415" s="211"/>
    </row>
    <row r="1416" spans="3:16">
      <c r="C1416" s="209"/>
      <c r="G1416" s="210"/>
      <c r="H1416" s="210"/>
      <c r="I1416" s="210"/>
      <c r="J1416" s="210"/>
      <c r="K1416" s="210"/>
      <c r="L1416" s="210"/>
      <c r="M1416" s="210"/>
      <c r="N1416" s="210"/>
      <c r="P1416" s="211"/>
    </row>
    <row r="1417" spans="3:16">
      <c r="C1417" s="209"/>
      <c r="G1417" s="210"/>
      <c r="H1417" s="210"/>
      <c r="I1417" s="210"/>
      <c r="J1417" s="210"/>
      <c r="K1417" s="210"/>
      <c r="L1417" s="210"/>
      <c r="M1417" s="210"/>
      <c r="N1417" s="210"/>
      <c r="P1417" s="211"/>
    </row>
    <row r="1418" spans="3:16">
      <c r="C1418" s="209"/>
      <c r="G1418" s="210"/>
      <c r="H1418" s="210"/>
      <c r="I1418" s="210"/>
      <c r="J1418" s="210"/>
      <c r="K1418" s="210"/>
      <c r="L1418" s="210"/>
      <c r="M1418" s="210"/>
      <c r="N1418" s="210"/>
      <c r="P1418" s="211"/>
    </row>
    <row r="1419" spans="3:16">
      <c r="C1419" s="209"/>
      <c r="G1419" s="210"/>
      <c r="H1419" s="210"/>
      <c r="I1419" s="210"/>
      <c r="J1419" s="210"/>
      <c r="K1419" s="210"/>
      <c r="L1419" s="210"/>
      <c r="M1419" s="210"/>
      <c r="N1419" s="210"/>
      <c r="P1419" s="211"/>
    </row>
    <row r="1420" spans="3:16">
      <c r="C1420" s="209"/>
      <c r="G1420" s="210"/>
      <c r="H1420" s="210"/>
      <c r="I1420" s="210"/>
      <c r="J1420" s="210"/>
      <c r="K1420" s="210"/>
      <c r="L1420" s="210"/>
      <c r="M1420" s="210"/>
      <c r="N1420" s="210"/>
      <c r="P1420" s="211"/>
    </row>
    <row r="1421" spans="3:16">
      <c r="C1421" s="209"/>
      <c r="G1421" s="210"/>
      <c r="H1421" s="210"/>
      <c r="I1421" s="210"/>
      <c r="J1421" s="210"/>
      <c r="K1421" s="210"/>
      <c r="L1421" s="210"/>
      <c r="M1421" s="210"/>
      <c r="N1421" s="210"/>
      <c r="P1421" s="211"/>
    </row>
    <row r="1422" spans="3:16">
      <c r="C1422" s="209"/>
      <c r="G1422" s="210"/>
      <c r="H1422" s="210"/>
      <c r="I1422" s="210"/>
      <c r="J1422" s="210"/>
      <c r="K1422" s="210"/>
      <c r="L1422" s="210"/>
      <c r="M1422" s="210"/>
      <c r="N1422" s="210"/>
      <c r="P1422" s="211"/>
    </row>
    <row r="1423" spans="3:16">
      <c r="C1423" s="209"/>
      <c r="G1423" s="210"/>
      <c r="H1423" s="210"/>
      <c r="I1423" s="210"/>
      <c r="J1423" s="210"/>
      <c r="K1423" s="210"/>
      <c r="L1423" s="210"/>
      <c r="M1423" s="210"/>
      <c r="N1423" s="210"/>
      <c r="P1423" s="211"/>
    </row>
    <row r="1424" spans="3:16">
      <c r="C1424" s="209"/>
      <c r="G1424" s="210"/>
      <c r="H1424" s="210"/>
      <c r="I1424" s="210"/>
      <c r="J1424" s="210"/>
      <c r="K1424" s="210"/>
      <c r="L1424" s="210"/>
      <c r="M1424" s="210"/>
      <c r="N1424" s="210"/>
      <c r="P1424" s="211"/>
    </row>
    <row r="1425" spans="3:16">
      <c r="C1425" s="209"/>
      <c r="G1425" s="210"/>
      <c r="H1425" s="210"/>
      <c r="I1425" s="210"/>
      <c r="J1425" s="210"/>
      <c r="K1425" s="210"/>
      <c r="L1425" s="210"/>
      <c r="M1425" s="210"/>
      <c r="N1425" s="210"/>
      <c r="P1425" s="211"/>
    </row>
    <row r="1426" spans="3:16">
      <c r="C1426" s="209"/>
      <c r="G1426" s="210"/>
      <c r="H1426" s="210"/>
      <c r="I1426" s="210"/>
      <c r="J1426" s="210"/>
      <c r="K1426" s="210"/>
      <c r="L1426" s="210"/>
      <c r="M1426" s="210"/>
      <c r="N1426" s="210"/>
      <c r="P1426" s="211"/>
    </row>
    <row r="1427" spans="3:16">
      <c r="C1427" s="209"/>
      <c r="G1427" s="210"/>
      <c r="H1427" s="210"/>
      <c r="I1427" s="210"/>
      <c r="J1427" s="210"/>
      <c r="K1427" s="210"/>
      <c r="L1427" s="210"/>
      <c r="M1427" s="210"/>
      <c r="N1427" s="210"/>
      <c r="P1427" s="211"/>
    </row>
    <row r="1428" spans="3:16">
      <c r="C1428" s="209"/>
      <c r="G1428" s="210"/>
      <c r="H1428" s="210"/>
      <c r="I1428" s="210"/>
      <c r="J1428" s="210"/>
      <c r="K1428" s="210"/>
      <c r="L1428" s="210"/>
      <c r="M1428" s="210"/>
      <c r="N1428" s="210"/>
      <c r="P1428" s="211"/>
    </row>
    <row r="1429" spans="3:16">
      <c r="C1429" s="209"/>
      <c r="G1429" s="210"/>
      <c r="H1429" s="210"/>
      <c r="I1429" s="210"/>
      <c r="J1429" s="210"/>
      <c r="K1429" s="210"/>
      <c r="L1429" s="210"/>
      <c r="M1429" s="210"/>
      <c r="N1429" s="210"/>
      <c r="P1429" s="211"/>
    </row>
    <row r="1430" spans="3:16">
      <c r="C1430" s="209"/>
      <c r="G1430" s="210"/>
      <c r="H1430" s="210"/>
      <c r="I1430" s="210"/>
      <c r="J1430" s="210"/>
      <c r="K1430" s="210"/>
      <c r="L1430" s="210"/>
      <c r="M1430" s="210"/>
      <c r="N1430" s="210"/>
      <c r="P1430" s="211"/>
    </row>
    <row r="1431" spans="3:16">
      <c r="C1431" s="209"/>
      <c r="G1431" s="210"/>
      <c r="H1431" s="210"/>
      <c r="I1431" s="210"/>
      <c r="J1431" s="210"/>
      <c r="K1431" s="210"/>
      <c r="L1431" s="210"/>
      <c r="M1431" s="210"/>
      <c r="N1431" s="210"/>
      <c r="P1431" s="211"/>
    </row>
    <row r="1432" spans="3:16">
      <c r="C1432" s="209"/>
      <c r="G1432" s="210"/>
      <c r="H1432" s="210"/>
      <c r="I1432" s="210"/>
      <c r="J1432" s="210"/>
      <c r="K1432" s="210"/>
      <c r="L1432" s="210"/>
      <c r="M1432" s="210"/>
      <c r="N1432" s="210"/>
      <c r="P1432" s="211"/>
    </row>
    <row r="1433" spans="3:16">
      <c r="C1433" s="209"/>
      <c r="G1433" s="210"/>
      <c r="H1433" s="210"/>
      <c r="I1433" s="210"/>
      <c r="J1433" s="210"/>
      <c r="K1433" s="210"/>
      <c r="L1433" s="210"/>
      <c r="M1433" s="210"/>
      <c r="N1433" s="210"/>
      <c r="P1433" s="211"/>
    </row>
    <row r="1434" spans="3:16">
      <c r="C1434" s="209"/>
      <c r="G1434" s="210"/>
      <c r="H1434" s="210"/>
      <c r="I1434" s="210"/>
      <c r="J1434" s="210"/>
      <c r="K1434" s="210"/>
      <c r="L1434" s="210"/>
      <c r="M1434" s="210"/>
      <c r="N1434" s="210"/>
      <c r="P1434" s="211"/>
    </row>
    <row r="1435" spans="3:16">
      <c r="C1435" s="209"/>
      <c r="G1435" s="210"/>
      <c r="H1435" s="210"/>
      <c r="I1435" s="210"/>
      <c r="J1435" s="210"/>
      <c r="K1435" s="210"/>
      <c r="L1435" s="210"/>
      <c r="M1435" s="210"/>
      <c r="N1435" s="210"/>
      <c r="P1435" s="211"/>
    </row>
    <row r="1436" spans="3:16">
      <c r="C1436" s="209"/>
      <c r="G1436" s="210"/>
      <c r="H1436" s="210"/>
      <c r="I1436" s="210"/>
      <c r="J1436" s="210"/>
      <c r="K1436" s="210"/>
      <c r="L1436" s="210"/>
      <c r="M1436" s="210"/>
      <c r="N1436" s="210"/>
      <c r="P1436" s="211"/>
    </row>
    <row r="1437" spans="3:16">
      <c r="C1437" s="209"/>
      <c r="G1437" s="210"/>
      <c r="H1437" s="210"/>
      <c r="I1437" s="210"/>
      <c r="J1437" s="210"/>
      <c r="K1437" s="210"/>
      <c r="L1437" s="210"/>
      <c r="M1437" s="210"/>
      <c r="N1437" s="210"/>
      <c r="P1437" s="211"/>
    </row>
    <row r="1438" spans="3:16">
      <c r="C1438" s="209"/>
      <c r="G1438" s="210"/>
      <c r="H1438" s="210"/>
      <c r="I1438" s="210"/>
      <c r="J1438" s="210"/>
      <c r="K1438" s="210"/>
      <c r="L1438" s="210"/>
      <c r="M1438" s="210"/>
      <c r="N1438" s="210"/>
      <c r="P1438" s="211"/>
    </row>
    <row r="1439" spans="3:16">
      <c r="C1439" s="209"/>
      <c r="G1439" s="210"/>
      <c r="H1439" s="210"/>
      <c r="I1439" s="210"/>
      <c r="J1439" s="210"/>
      <c r="K1439" s="210"/>
      <c r="L1439" s="210"/>
      <c r="M1439" s="210"/>
      <c r="N1439" s="210"/>
      <c r="P1439" s="211"/>
    </row>
    <row r="1440" spans="3:16">
      <c r="C1440" s="209"/>
      <c r="G1440" s="210"/>
      <c r="H1440" s="210"/>
      <c r="I1440" s="210"/>
      <c r="J1440" s="210"/>
      <c r="K1440" s="210"/>
      <c r="L1440" s="210"/>
      <c r="M1440" s="210"/>
      <c r="N1440" s="210"/>
      <c r="P1440" s="211"/>
    </row>
    <row r="1441" spans="3:16">
      <c r="C1441" s="209"/>
      <c r="G1441" s="210"/>
      <c r="H1441" s="210"/>
      <c r="I1441" s="210"/>
      <c r="J1441" s="210"/>
      <c r="K1441" s="210"/>
      <c r="L1441" s="210"/>
      <c r="M1441" s="210"/>
      <c r="N1441" s="210"/>
      <c r="P1441" s="211"/>
    </row>
    <row r="1442" spans="3:16">
      <c r="C1442" s="209"/>
      <c r="G1442" s="210"/>
      <c r="H1442" s="210"/>
      <c r="I1442" s="210"/>
      <c r="J1442" s="210"/>
      <c r="K1442" s="210"/>
      <c r="L1442" s="210"/>
      <c r="M1442" s="210"/>
      <c r="N1442" s="210"/>
      <c r="P1442" s="211"/>
    </row>
    <row r="1443" spans="3:16">
      <c r="C1443" s="209"/>
      <c r="G1443" s="210"/>
      <c r="H1443" s="210"/>
      <c r="I1443" s="210"/>
      <c r="J1443" s="210"/>
      <c r="K1443" s="210"/>
      <c r="L1443" s="210"/>
      <c r="M1443" s="210"/>
      <c r="N1443" s="210"/>
      <c r="P1443" s="211"/>
    </row>
    <row r="1444" spans="3:16">
      <c r="C1444" s="209"/>
      <c r="G1444" s="210"/>
      <c r="H1444" s="210"/>
      <c r="I1444" s="210"/>
      <c r="J1444" s="210"/>
      <c r="K1444" s="210"/>
      <c r="L1444" s="210"/>
      <c r="M1444" s="210"/>
      <c r="N1444" s="210"/>
      <c r="P1444" s="211"/>
    </row>
    <row r="1445" spans="3:16">
      <c r="C1445" s="209"/>
      <c r="G1445" s="210"/>
      <c r="H1445" s="210"/>
      <c r="I1445" s="210"/>
      <c r="J1445" s="210"/>
      <c r="K1445" s="210"/>
      <c r="L1445" s="210"/>
      <c r="M1445" s="210"/>
      <c r="N1445" s="210"/>
      <c r="P1445" s="211"/>
    </row>
    <row r="1446" spans="3:16">
      <c r="C1446" s="209"/>
      <c r="G1446" s="210"/>
      <c r="H1446" s="210"/>
      <c r="I1446" s="210"/>
      <c r="J1446" s="210"/>
      <c r="K1446" s="210"/>
      <c r="L1446" s="210"/>
      <c r="M1446" s="210"/>
      <c r="N1446" s="210"/>
      <c r="P1446" s="211"/>
    </row>
    <row r="1447" spans="3:16">
      <c r="C1447" s="209"/>
      <c r="G1447" s="210"/>
      <c r="H1447" s="210"/>
      <c r="I1447" s="210"/>
      <c r="J1447" s="210"/>
      <c r="K1447" s="210"/>
      <c r="L1447" s="210"/>
      <c r="M1447" s="210"/>
      <c r="N1447" s="210"/>
      <c r="P1447" s="211"/>
    </row>
    <row r="1448" spans="3:16">
      <c r="C1448" s="209"/>
      <c r="G1448" s="210"/>
      <c r="H1448" s="210"/>
      <c r="I1448" s="210"/>
      <c r="J1448" s="210"/>
      <c r="K1448" s="210"/>
      <c r="L1448" s="210"/>
      <c r="M1448" s="210"/>
      <c r="N1448" s="210"/>
      <c r="P1448" s="211"/>
    </row>
    <row r="1449" spans="3:16">
      <c r="C1449" s="209"/>
      <c r="G1449" s="210"/>
      <c r="H1449" s="210"/>
      <c r="I1449" s="210"/>
      <c r="J1449" s="210"/>
      <c r="K1449" s="210"/>
      <c r="L1449" s="210"/>
      <c r="M1449" s="210"/>
      <c r="N1449" s="210"/>
      <c r="P1449" s="211"/>
    </row>
    <row r="1450" spans="3:16">
      <c r="C1450" s="209"/>
      <c r="G1450" s="210"/>
      <c r="H1450" s="210"/>
      <c r="I1450" s="210"/>
      <c r="J1450" s="210"/>
      <c r="K1450" s="210"/>
      <c r="L1450" s="210"/>
      <c r="M1450" s="210"/>
      <c r="N1450" s="210"/>
      <c r="P1450" s="211"/>
    </row>
    <row r="1451" spans="3:16">
      <c r="C1451" s="209"/>
      <c r="G1451" s="210"/>
      <c r="H1451" s="210"/>
      <c r="I1451" s="210"/>
      <c r="J1451" s="210"/>
      <c r="K1451" s="210"/>
      <c r="L1451" s="210"/>
      <c r="M1451" s="210"/>
      <c r="N1451" s="210"/>
      <c r="P1451" s="211"/>
    </row>
    <row r="1452" spans="3:16">
      <c r="C1452" s="209"/>
      <c r="G1452" s="210"/>
      <c r="H1452" s="210"/>
      <c r="I1452" s="210"/>
      <c r="J1452" s="210"/>
      <c r="K1452" s="210"/>
      <c r="L1452" s="210"/>
      <c r="M1452" s="210"/>
      <c r="N1452" s="210"/>
      <c r="P1452" s="211"/>
    </row>
    <row r="1453" spans="3:16">
      <c r="C1453" s="209"/>
      <c r="G1453" s="210"/>
      <c r="H1453" s="210"/>
      <c r="I1453" s="210"/>
      <c r="J1453" s="210"/>
      <c r="K1453" s="210"/>
      <c r="L1453" s="210"/>
      <c r="M1453" s="210"/>
      <c r="N1453" s="210"/>
      <c r="P1453" s="211"/>
    </row>
    <row r="1454" spans="3:16">
      <c r="C1454" s="209"/>
      <c r="G1454" s="210"/>
      <c r="H1454" s="210"/>
      <c r="I1454" s="210"/>
      <c r="J1454" s="210"/>
      <c r="K1454" s="210"/>
      <c r="L1454" s="210"/>
      <c r="M1454" s="210"/>
      <c r="N1454" s="210"/>
      <c r="P1454" s="211"/>
    </row>
    <row r="1455" spans="3:16">
      <c r="C1455" s="209"/>
      <c r="G1455" s="210"/>
      <c r="H1455" s="210"/>
      <c r="I1455" s="210"/>
      <c r="J1455" s="210"/>
      <c r="K1455" s="210"/>
      <c r="L1455" s="210"/>
      <c r="M1455" s="210"/>
      <c r="N1455" s="210"/>
      <c r="P1455" s="211"/>
    </row>
    <row r="1456" spans="3:16">
      <c r="C1456" s="209"/>
      <c r="G1456" s="210"/>
      <c r="H1456" s="210"/>
      <c r="I1456" s="210"/>
      <c r="J1456" s="210"/>
      <c r="K1456" s="210"/>
      <c r="L1456" s="210"/>
      <c r="M1456" s="210"/>
      <c r="N1456" s="210"/>
      <c r="P1456" s="211"/>
    </row>
    <row r="1457" spans="3:16">
      <c r="C1457" s="209"/>
      <c r="G1457" s="210"/>
      <c r="H1457" s="210"/>
      <c r="I1457" s="210"/>
      <c r="J1457" s="210"/>
      <c r="K1457" s="210"/>
      <c r="L1457" s="210"/>
      <c r="M1457" s="210"/>
      <c r="N1457" s="210"/>
      <c r="P1457" s="211"/>
    </row>
    <row r="1458" spans="3:16">
      <c r="C1458" s="209"/>
      <c r="G1458" s="210"/>
      <c r="H1458" s="210"/>
      <c r="I1458" s="210"/>
      <c r="J1458" s="210"/>
      <c r="K1458" s="210"/>
      <c r="L1458" s="210"/>
      <c r="M1458" s="210"/>
      <c r="N1458" s="210"/>
      <c r="P1458" s="211"/>
    </row>
    <row r="1459" spans="3:16">
      <c r="C1459" s="209"/>
      <c r="G1459" s="210"/>
      <c r="H1459" s="210"/>
      <c r="I1459" s="210"/>
      <c r="J1459" s="210"/>
      <c r="K1459" s="210"/>
      <c r="L1459" s="210"/>
      <c r="M1459" s="210"/>
      <c r="N1459" s="210"/>
      <c r="P1459" s="211"/>
    </row>
    <row r="1460" spans="3:16">
      <c r="C1460" s="209"/>
      <c r="G1460" s="210"/>
      <c r="H1460" s="210"/>
      <c r="I1460" s="210"/>
      <c r="J1460" s="210"/>
      <c r="K1460" s="210"/>
      <c r="L1460" s="210"/>
      <c r="M1460" s="210"/>
      <c r="N1460" s="210"/>
      <c r="P1460" s="211"/>
    </row>
    <row r="1461" spans="3:16">
      <c r="C1461" s="209"/>
      <c r="G1461" s="210"/>
      <c r="H1461" s="210"/>
      <c r="I1461" s="210"/>
      <c r="J1461" s="210"/>
      <c r="K1461" s="210"/>
      <c r="L1461" s="210"/>
      <c r="M1461" s="210"/>
      <c r="N1461" s="210"/>
      <c r="P1461" s="211"/>
    </row>
    <row r="1462" spans="3:16">
      <c r="C1462" s="209"/>
      <c r="G1462" s="210"/>
      <c r="H1462" s="210"/>
      <c r="I1462" s="210"/>
      <c r="J1462" s="210"/>
      <c r="K1462" s="210"/>
      <c r="L1462" s="210"/>
      <c r="M1462" s="210"/>
      <c r="N1462" s="210"/>
      <c r="P1462" s="211"/>
    </row>
    <row r="1463" spans="3:16">
      <c r="C1463" s="209"/>
      <c r="G1463" s="210"/>
      <c r="H1463" s="210"/>
      <c r="I1463" s="210"/>
      <c r="J1463" s="210"/>
      <c r="K1463" s="210"/>
      <c r="L1463" s="210"/>
      <c r="M1463" s="210"/>
      <c r="N1463" s="210"/>
      <c r="P1463" s="211"/>
    </row>
    <row r="1464" spans="3:16">
      <c r="C1464" s="209"/>
      <c r="G1464" s="210"/>
      <c r="H1464" s="210"/>
      <c r="I1464" s="210"/>
      <c r="J1464" s="210"/>
      <c r="K1464" s="210"/>
      <c r="L1464" s="210"/>
      <c r="M1464" s="210"/>
      <c r="N1464" s="210"/>
      <c r="P1464" s="211"/>
    </row>
    <row r="1465" spans="3:16">
      <c r="C1465" s="209"/>
      <c r="G1465" s="210"/>
      <c r="H1465" s="210"/>
      <c r="I1465" s="210"/>
      <c r="J1465" s="210"/>
      <c r="K1465" s="210"/>
      <c r="L1465" s="210"/>
      <c r="M1465" s="210"/>
      <c r="N1465" s="210"/>
      <c r="P1465" s="211"/>
    </row>
    <row r="1466" spans="3:16">
      <c r="C1466" s="209"/>
      <c r="G1466" s="210"/>
      <c r="H1466" s="210"/>
      <c r="I1466" s="210"/>
      <c r="J1466" s="210"/>
      <c r="K1466" s="210"/>
      <c r="L1466" s="210"/>
      <c r="M1466" s="210"/>
      <c r="N1466" s="210"/>
      <c r="P1466" s="211"/>
    </row>
    <row r="1467" spans="3:16">
      <c r="C1467" s="209"/>
      <c r="G1467" s="210"/>
      <c r="H1467" s="210"/>
      <c r="I1467" s="210"/>
      <c r="J1467" s="210"/>
      <c r="K1467" s="210"/>
      <c r="L1467" s="210"/>
      <c r="M1467" s="210"/>
      <c r="N1467" s="210"/>
      <c r="P1467" s="211"/>
    </row>
    <row r="1468" spans="3:16">
      <c r="C1468" s="209"/>
      <c r="G1468" s="210"/>
      <c r="H1468" s="210"/>
      <c r="I1468" s="210"/>
      <c r="J1468" s="210"/>
      <c r="K1468" s="210"/>
      <c r="L1468" s="210"/>
      <c r="M1468" s="210"/>
      <c r="N1468" s="210"/>
      <c r="P1468" s="211"/>
    </row>
    <row r="1469" spans="3:16">
      <c r="C1469" s="209"/>
      <c r="G1469" s="210"/>
      <c r="H1469" s="210"/>
      <c r="I1469" s="210"/>
      <c r="J1469" s="210"/>
      <c r="K1469" s="210"/>
      <c r="L1469" s="210"/>
      <c r="M1469" s="210"/>
      <c r="N1469" s="210"/>
      <c r="P1469" s="211"/>
    </row>
    <row r="1470" spans="3:16">
      <c r="C1470" s="209"/>
      <c r="G1470" s="210"/>
      <c r="H1470" s="210"/>
      <c r="I1470" s="210"/>
      <c r="J1470" s="210"/>
      <c r="K1470" s="210"/>
      <c r="L1470" s="210"/>
      <c r="M1470" s="210"/>
      <c r="N1470" s="210"/>
      <c r="P1470" s="211"/>
    </row>
    <row r="1471" spans="3:16">
      <c r="C1471" s="209"/>
      <c r="G1471" s="210"/>
      <c r="H1471" s="210"/>
      <c r="I1471" s="210"/>
      <c r="J1471" s="210"/>
      <c r="K1471" s="210"/>
      <c r="L1471" s="210"/>
      <c r="M1471" s="210"/>
      <c r="N1471" s="210"/>
      <c r="P1471" s="211"/>
    </row>
    <row r="1472" spans="3:16">
      <c r="C1472" s="209"/>
      <c r="G1472" s="210"/>
      <c r="H1472" s="210"/>
      <c r="I1472" s="210"/>
      <c r="J1472" s="210"/>
      <c r="K1472" s="210"/>
      <c r="L1472" s="210"/>
      <c r="M1472" s="210"/>
      <c r="N1472" s="210"/>
      <c r="P1472" s="211"/>
    </row>
    <row r="1473" spans="3:16">
      <c r="C1473" s="209"/>
      <c r="G1473" s="210"/>
      <c r="H1473" s="210"/>
      <c r="I1473" s="210"/>
      <c r="J1473" s="210"/>
      <c r="K1473" s="210"/>
      <c r="L1473" s="210"/>
      <c r="M1473" s="210"/>
      <c r="N1473" s="210"/>
      <c r="P1473" s="211"/>
    </row>
    <row r="1474" spans="3:16">
      <c r="C1474" s="209"/>
      <c r="G1474" s="210"/>
      <c r="H1474" s="210"/>
      <c r="I1474" s="210"/>
      <c r="J1474" s="210"/>
      <c r="K1474" s="210"/>
      <c r="L1474" s="210"/>
      <c r="M1474" s="210"/>
      <c r="N1474" s="210"/>
      <c r="P1474" s="211"/>
    </row>
    <row r="1475" spans="3:16">
      <c r="C1475" s="209"/>
      <c r="G1475" s="210"/>
      <c r="H1475" s="210"/>
      <c r="I1475" s="210"/>
      <c r="J1475" s="210"/>
      <c r="K1475" s="210"/>
      <c r="L1475" s="210"/>
      <c r="M1475" s="210"/>
      <c r="N1475" s="210"/>
      <c r="P1475" s="211"/>
    </row>
    <row r="1476" spans="3:16">
      <c r="C1476" s="209"/>
      <c r="G1476" s="210"/>
      <c r="H1476" s="210"/>
      <c r="I1476" s="210"/>
      <c r="J1476" s="210"/>
      <c r="K1476" s="210"/>
      <c r="L1476" s="210"/>
      <c r="M1476" s="210"/>
      <c r="N1476" s="210"/>
      <c r="P1476" s="211"/>
    </row>
    <row r="1477" spans="3:16">
      <c r="C1477" s="209"/>
      <c r="G1477" s="210"/>
      <c r="H1477" s="210"/>
      <c r="I1477" s="210"/>
      <c r="J1477" s="210"/>
      <c r="K1477" s="210"/>
      <c r="L1477" s="210"/>
      <c r="M1477" s="210"/>
      <c r="N1477" s="210"/>
      <c r="P1477" s="211"/>
    </row>
    <row r="1478" spans="3:16">
      <c r="C1478" s="209"/>
      <c r="G1478" s="210"/>
      <c r="H1478" s="210"/>
      <c r="I1478" s="210"/>
      <c r="J1478" s="210"/>
      <c r="K1478" s="210"/>
      <c r="L1478" s="210"/>
      <c r="M1478" s="210"/>
      <c r="N1478" s="210"/>
      <c r="P1478" s="211"/>
    </row>
    <row r="1479" spans="3:16">
      <c r="C1479" s="209"/>
      <c r="G1479" s="210"/>
      <c r="H1479" s="210"/>
      <c r="I1479" s="210"/>
      <c r="J1479" s="210"/>
      <c r="K1479" s="210"/>
      <c r="L1479" s="210"/>
      <c r="M1479" s="210"/>
      <c r="N1479" s="210"/>
      <c r="P1479" s="211"/>
    </row>
    <row r="1480" spans="3:16">
      <c r="C1480" s="209"/>
      <c r="G1480" s="210"/>
      <c r="H1480" s="210"/>
      <c r="I1480" s="210"/>
      <c r="J1480" s="210"/>
      <c r="K1480" s="210"/>
      <c r="L1480" s="210"/>
      <c r="M1480" s="210"/>
      <c r="N1480" s="210"/>
      <c r="P1480" s="211"/>
    </row>
    <row r="1481" spans="3:16">
      <c r="C1481" s="209"/>
      <c r="G1481" s="210"/>
      <c r="H1481" s="210"/>
      <c r="I1481" s="210"/>
      <c r="J1481" s="210"/>
      <c r="K1481" s="210"/>
      <c r="L1481" s="210"/>
      <c r="M1481" s="210"/>
      <c r="N1481" s="210"/>
      <c r="P1481" s="211"/>
    </row>
    <row r="1482" spans="3:16">
      <c r="C1482" s="209"/>
      <c r="G1482" s="210"/>
      <c r="H1482" s="210"/>
      <c r="I1482" s="210"/>
      <c r="J1482" s="210"/>
      <c r="K1482" s="210"/>
      <c r="L1482" s="210"/>
      <c r="M1482" s="210"/>
      <c r="N1482" s="210"/>
      <c r="P1482" s="211"/>
    </row>
    <row r="1483" spans="3:16">
      <c r="C1483" s="209"/>
      <c r="G1483" s="210"/>
      <c r="H1483" s="210"/>
      <c r="I1483" s="210"/>
      <c r="J1483" s="210"/>
      <c r="K1483" s="210"/>
      <c r="L1483" s="210"/>
      <c r="M1483" s="210"/>
      <c r="N1483" s="210"/>
      <c r="P1483" s="211"/>
    </row>
    <row r="1484" spans="3:16">
      <c r="C1484" s="209"/>
      <c r="G1484" s="210"/>
      <c r="H1484" s="210"/>
      <c r="I1484" s="210"/>
      <c r="J1484" s="210"/>
      <c r="K1484" s="210"/>
      <c r="L1484" s="210"/>
      <c r="M1484" s="210"/>
      <c r="N1484" s="210"/>
      <c r="P1484" s="211"/>
    </row>
    <row r="1485" spans="3:16">
      <c r="C1485" s="209"/>
      <c r="G1485" s="210"/>
      <c r="H1485" s="210"/>
      <c r="I1485" s="210"/>
      <c r="J1485" s="210"/>
      <c r="K1485" s="210"/>
      <c r="L1485" s="210"/>
      <c r="M1485" s="210"/>
      <c r="N1485" s="210"/>
      <c r="P1485" s="211"/>
    </row>
    <row r="1486" spans="3:16">
      <c r="C1486" s="209"/>
      <c r="G1486" s="210"/>
      <c r="H1486" s="210"/>
      <c r="I1486" s="210"/>
      <c r="J1486" s="210"/>
      <c r="K1486" s="210"/>
      <c r="L1486" s="210"/>
      <c r="M1486" s="210"/>
      <c r="N1486" s="210"/>
      <c r="P1486" s="211"/>
    </row>
    <row r="1487" spans="3:16">
      <c r="C1487" s="209"/>
      <c r="G1487" s="210"/>
      <c r="H1487" s="210"/>
      <c r="I1487" s="210"/>
      <c r="J1487" s="210"/>
      <c r="K1487" s="210"/>
      <c r="L1487" s="210"/>
      <c r="M1487" s="210"/>
      <c r="N1487" s="210"/>
      <c r="P1487" s="211"/>
    </row>
    <row r="1488" spans="3:16">
      <c r="C1488" s="209"/>
      <c r="G1488" s="210"/>
      <c r="H1488" s="210"/>
      <c r="I1488" s="210"/>
      <c r="J1488" s="210"/>
      <c r="K1488" s="210"/>
      <c r="L1488" s="210"/>
      <c r="M1488" s="210"/>
      <c r="N1488" s="210"/>
      <c r="P1488" s="211"/>
    </row>
    <row r="1489" spans="3:16">
      <c r="C1489" s="209"/>
      <c r="G1489" s="210"/>
      <c r="H1489" s="210"/>
      <c r="I1489" s="210"/>
      <c r="J1489" s="210"/>
      <c r="K1489" s="210"/>
      <c r="L1489" s="210"/>
      <c r="M1489" s="210"/>
      <c r="N1489" s="210"/>
      <c r="P1489" s="211"/>
    </row>
    <row r="1490" spans="3:16">
      <c r="C1490" s="209"/>
      <c r="G1490" s="210"/>
      <c r="H1490" s="210"/>
      <c r="I1490" s="210"/>
      <c r="J1490" s="210"/>
      <c r="K1490" s="210"/>
      <c r="L1490" s="210"/>
      <c r="M1490" s="210"/>
      <c r="N1490" s="210"/>
      <c r="P1490" s="211"/>
    </row>
    <row r="1491" spans="3:16">
      <c r="C1491" s="209"/>
      <c r="G1491" s="210"/>
      <c r="H1491" s="210"/>
      <c r="I1491" s="210"/>
      <c r="J1491" s="210"/>
      <c r="K1491" s="210"/>
      <c r="L1491" s="210"/>
      <c r="M1491" s="210"/>
      <c r="N1491" s="210"/>
      <c r="P1491" s="211"/>
    </row>
    <row r="1492" spans="3:16">
      <c r="C1492" s="209"/>
      <c r="G1492" s="210"/>
      <c r="H1492" s="210"/>
      <c r="I1492" s="210"/>
      <c r="J1492" s="210"/>
      <c r="K1492" s="210"/>
      <c r="L1492" s="210"/>
      <c r="M1492" s="210"/>
      <c r="N1492" s="210"/>
      <c r="P1492" s="211"/>
    </row>
    <row r="1493" spans="3:16">
      <c r="C1493" s="209"/>
      <c r="G1493" s="210"/>
      <c r="H1493" s="210"/>
      <c r="I1493" s="210"/>
      <c r="J1493" s="210"/>
      <c r="K1493" s="210"/>
      <c r="L1493" s="210"/>
      <c r="M1493" s="210"/>
      <c r="N1493" s="210"/>
      <c r="P1493" s="211"/>
    </row>
    <row r="1494" spans="3:16">
      <c r="C1494" s="209"/>
      <c r="G1494" s="210"/>
      <c r="H1494" s="210"/>
      <c r="I1494" s="210"/>
      <c r="J1494" s="210"/>
      <c r="K1494" s="210"/>
      <c r="L1494" s="210"/>
      <c r="M1494" s="210"/>
      <c r="N1494" s="210"/>
      <c r="P1494" s="211"/>
    </row>
    <row r="1495" spans="3:16">
      <c r="C1495" s="209"/>
      <c r="G1495" s="210"/>
      <c r="H1495" s="210"/>
      <c r="I1495" s="210"/>
      <c r="J1495" s="210"/>
      <c r="K1495" s="210"/>
      <c r="L1495" s="210"/>
      <c r="M1495" s="210"/>
      <c r="N1495" s="210"/>
      <c r="P1495" s="211"/>
    </row>
    <row r="1496" spans="3:16">
      <c r="C1496" s="209"/>
      <c r="G1496" s="210"/>
      <c r="H1496" s="210"/>
      <c r="I1496" s="210"/>
      <c r="J1496" s="210"/>
      <c r="K1496" s="210"/>
      <c r="L1496" s="210"/>
      <c r="M1496" s="210"/>
      <c r="N1496" s="210"/>
      <c r="P1496" s="211"/>
    </row>
    <row r="1497" spans="3:16">
      <c r="C1497" s="209"/>
      <c r="G1497" s="210"/>
      <c r="H1497" s="210"/>
      <c r="I1497" s="210"/>
      <c r="J1497" s="210"/>
      <c r="K1497" s="210"/>
      <c r="L1497" s="210"/>
      <c r="M1497" s="210"/>
      <c r="N1497" s="210"/>
      <c r="P1497" s="211"/>
    </row>
    <row r="1498" spans="3:16">
      <c r="C1498" s="209"/>
      <c r="G1498" s="210"/>
      <c r="H1498" s="210"/>
      <c r="I1498" s="210"/>
      <c r="J1498" s="210"/>
      <c r="K1498" s="210"/>
      <c r="L1498" s="210"/>
      <c r="M1498" s="210"/>
      <c r="N1498" s="210"/>
      <c r="P1498" s="211"/>
    </row>
    <row r="1499" spans="3:16">
      <c r="C1499" s="209"/>
      <c r="G1499" s="210"/>
      <c r="H1499" s="210"/>
      <c r="I1499" s="210"/>
      <c r="J1499" s="210"/>
      <c r="K1499" s="210"/>
      <c r="L1499" s="210"/>
      <c r="M1499" s="210"/>
      <c r="N1499" s="210"/>
      <c r="P1499" s="211"/>
    </row>
    <row r="1500" spans="3:16">
      <c r="C1500" s="209"/>
      <c r="G1500" s="210"/>
      <c r="H1500" s="210"/>
      <c r="I1500" s="210"/>
      <c r="J1500" s="210"/>
      <c r="K1500" s="210"/>
      <c r="L1500" s="210"/>
      <c r="M1500" s="210"/>
      <c r="N1500" s="210"/>
      <c r="P1500" s="211"/>
    </row>
    <row r="1501" spans="3:16">
      <c r="C1501" s="209"/>
      <c r="G1501" s="210"/>
      <c r="H1501" s="210"/>
      <c r="I1501" s="210"/>
      <c r="J1501" s="210"/>
      <c r="K1501" s="210"/>
      <c r="L1501" s="210"/>
      <c r="M1501" s="210"/>
      <c r="N1501" s="210"/>
      <c r="P1501" s="211"/>
    </row>
    <row r="1502" spans="3:16">
      <c r="C1502" s="209"/>
      <c r="G1502" s="210"/>
      <c r="H1502" s="210"/>
      <c r="I1502" s="210"/>
      <c r="J1502" s="210"/>
      <c r="K1502" s="210"/>
      <c r="L1502" s="210"/>
      <c r="M1502" s="210"/>
      <c r="N1502" s="210"/>
      <c r="P1502" s="211"/>
    </row>
    <row r="1503" spans="3:16">
      <c r="C1503" s="209"/>
      <c r="G1503" s="210"/>
      <c r="H1503" s="210"/>
      <c r="I1503" s="210"/>
      <c r="J1503" s="210"/>
      <c r="K1503" s="210"/>
      <c r="L1503" s="210"/>
      <c r="M1503" s="210"/>
      <c r="N1503" s="210"/>
      <c r="P1503" s="211"/>
    </row>
    <row r="1504" spans="3:16">
      <c r="C1504" s="209"/>
      <c r="G1504" s="210"/>
      <c r="H1504" s="210"/>
      <c r="I1504" s="210"/>
      <c r="J1504" s="210"/>
      <c r="K1504" s="210"/>
      <c r="L1504" s="210"/>
      <c r="M1504" s="210"/>
      <c r="N1504" s="210"/>
      <c r="P1504" s="211"/>
    </row>
    <row r="1505" spans="3:16">
      <c r="C1505" s="209"/>
      <c r="G1505" s="210"/>
      <c r="H1505" s="210"/>
      <c r="I1505" s="210"/>
      <c r="J1505" s="210"/>
      <c r="K1505" s="210"/>
      <c r="L1505" s="210"/>
      <c r="M1505" s="210"/>
      <c r="N1505" s="210"/>
      <c r="P1505" s="211"/>
    </row>
    <row r="1506" spans="3:16">
      <c r="C1506" s="209"/>
      <c r="G1506" s="210"/>
      <c r="H1506" s="210"/>
      <c r="I1506" s="210"/>
      <c r="J1506" s="210"/>
      <c r="K1506" s="210"/>
      <c r="L1506" s="210"/>
      <c r="M1506" s="210"/>
      <c r="N1506" s="210"/>
      <c r="P1506" s="211"/>
    </row>
    <row r="1507" spans="3:16">
      <c r="C1507" s="209"/>
      <c r="G1507" s="210"/>
      <c r="H1507" s="210"/>
      <c r="I1507" s="210"/>
      <c r="J1507" s="210"/>
      <c r="K1507" s="210"/>
      <c r="L1507" s="210"/>
      <c r="M1507" s="210"/>
      <c r="N1507" s="210"/>
      <c r="P1507" s="211"/>
    </row>
    <row r="1508" spans="3:16">
      <c r="C1508" s="209"/>
      <c r="G1508" s="210"/>
      <c r="H1508" s="210"/>
      <c r="I1508" s="210"/>
      <c r="J1508" s="210"/>
      <c r="K1508" s="210"/>
      <c r="L1508" s="210"/>
      <c r="M1508" s="210"/>
      <c r="N1508" s="210"/>
      <c r="P1508" s="211"/>
    </row>
    <row r="1509" spans="3:16">
      <c r="C1509" s="209"/>
      <c r="G1509" s="210"/>
      <c r="H1509" s="210"/>
      <c r="I1509" s="210"/>
      <c r="J1509" s="210"/>
      <c r="K1509" s="210"/>
      <c r="L1509" s="210"/>
      <c r="M1509" s="210"/>
      <c r="N1509" s="210"/>
      <c r="P1509" s="211"/>
    </row>
    <row r="1510" spans="3:16">
      <c r="C1510" s="209"/>
      <c r="G1510" s="210"/>
      <c r="H1510" s="210"/>
      <c r="I1510" s="210"/>
      <c r="J1510" s="210"/>
      <c r="K1510" s="210"/>
      <c r="L1510" s="210"/>
      <c r="M1510" s="210"/>
      <c r="N1510" s="210"/>
      <c r="P1510" s="211"/>
    </row>
    <row r="1511" spans="3:16">
      <c r="C1511" s="209"/>
      <c r="G1511" s="210"/>
      <c r="H1511" s="210"/>
      <c r="I1511" s="210"/>
      <c r="J1511" s="210"/>
      <c r="K1511" s="210"/>
      <c r="L1511" s="210"/>
      <c r="M1511" s="210"/>
      <c r="N1511" s="210"/>
      <c r="P1511" s="211"/>
    </row>
    <row r="1512" spans="3:16">
      <c r="C1512" s="209"/>
      <c r="G1512" s="210"/>
      <c r="H1512" s="210"/>
      <c r="I1512" s="210"/>
      <c r="J1512" s="210"/>
      <c r="K1512" s="210"/>
      <c r="L1512" s="210"/>
      <c r="M1512" s="210"/>
      <c r="N1512" s="210"/>
      <c r="P1512" s="211"/>
    </row>
    <row r="1513" spans="3:16">
      <c r="C1513" s="209"/>
      <c r="G1513" s="210"/>
      <c r="H1513" s="210"/>
      <c r="I1513" s="210"/>
      <c r="J1513" s="210"/>
      <c r="K1513" s="210"/>
      <c r="L1513" s="210"/>
      <c r="M1513" s="210"/>
      <c r="N1513" s="210"/>
      <c r="P1513" s="211"/>
    </row>
    <row r="1514" spans="3:16">
      <c r="C1514" s="209"/>
      <c r="G1514" s="210"/>
      <c r="H1514" s="210"/>
      <c r="I1514" s="210"/>
      <c r="J1514" s="210"/>
      <c r="K1514" s="210"/>
      <c r="L1514" s="210"/>
      <c r="M1514" s="210"/>
      <c r="N1514" s="210"/>
      <c r="P1514" s="211"/>
    </row>
    <row r="1515" spans="3:16">
      <c r="C1515" s="209"/>
      <c r="G1515" s="210"/>
      <c r="H1515" s="210"/>
      <c r="I1515" s="210"/>
      <c r="J1515" s="210"/>
      <c r="K1515" s="210"/>
      <c r="L1515" s="210"/>
      <c r="M1515" s="210"/>
      <c r="N1515" s="210"/>
      <c r="P1515" s="211"/>
    </row>
    <row r="1516" spans="3:16">
      <c r="C1516" s="209"/>
      <c r="G1516" s="210"/>
      <c r="H1516" s="210"/>
      <c r="I1516" s="210"/>
      <c r="J1516" s="210"/>
      <c r="K1516" s="210"/>
      <c r="L1516" s="210"/>
      <c r="M1516" s="210"/>
      <c r="N1516" s="210"/>
      <c r="P1516" s="211"/>
    </row>
    <row r="1517" spans="3:16">
      <c r="C1517" s="209"/>
      <c r="G1517" s="210"/>
      <c r="H1517" s="210"/>
      <c r="I1517" s="210"/>
      <c r="J1517" s="210"/>
      <c r="K1517" s="210"/>
      <c r="L1517" s="210"/>
      <c r="M1517" s="210"/>
      <c r="N1517" s="210"/>
      <c r="P1517" s="211"/>
    </row>
    <row r="1518" spans="3:16">
      <c r="C1518" s="209"/>
      <c r="G1518" s="210"/>
      <c r="H1518" s="210"/>
      <c r="I1518" s="210"/>
      <c r="J1518" s="210"/>
      <c r="K1518" s="210"/>
      <c r="L1518" s="210"/>
      <c r="M1518" s="210"/>
      <c r="N1518" s="210"/>
      <c r="P1518" s="211"/>
    </row>
    <row r="1519" spans="3:16">
      <c r="C1519" s="209"/>
      <c r="G1519" s="210"/>
      <c r="H1519" s="210"/>
      <c r="I1519" s="210"/>
      <c r="J1519" s="210"/>
      <c r="K1519" s="210"/>
      <c r="L1519" s="210"/>
      <c r="M1519" s="210"/>
      <c r="N1519" s="210"/>
      <c r="P1519" s="211"/>
    </row>
    <row r="1520" spans="3:16">
      <c r="C1520" s="209"/>
      <c r="G1520" s="210"/>
      <c r="H1520" s="210"/>
      <c r="I1520" s="210"/>
      <c r="J1520" s="210"/>
      <c r="K1520" s="210"/>
      <c r="L1520" s="210"/>
      <c r="M1520" s="210"/>
      <c r="N1520" s="210"/>
      <c r="P1520" s="211"/>
    </row>
    <row r="1521" spans="3:16">
      <c r="C1521" s="209"/>
      <c r="G1521" s="210"/>
      <c r="H1521" s="210"/>
      <c r="I1521" s="210"/>
      <c r="J1521" s="210"/>
      <c r="K1521" s="210"/>
      <c r="L1521" s="210"/>
      <c r="M1521" s="210"/>
      <c r="N1521" s="210"/>
      <c r="P1521" s="211"/>
    </row>
    <row r="1522" spans="3:16">
      <c r="C1522" s="209"/>
      <c r="G1522" s="210"/>
      <c r="H1522" s="210"/>
      <c r="I1522" s="210"/>
      <c r="J1522" s="210"/>
      <c r="K1522" s="210"/>
      <c r="L1522" s="210"/>
      <c r="M1522" s="210"/>
      <c r="N1522" s="210"/>
      <c r="P1522" s="211"/>
    </row>
    <row r="1523" spans="3:16">
      <c r="C1523" s="209"/>
      <c r="G1523" s="210"/>
      <c r="H1523" s="210"/>
      <c r="I1523" s="210"/>
      <c r="J1523" s="210"/>
      <c r="K1523" s="210"/>
      <c r="L1523" s="210"/>
      <c r="M1523" s="210"/>
      <c r="N1523" s="210"/>
      <c r="P1523" s="211"/>
    </row>
    <row r="1524" spans="3:16">
      <c r="C1524" s="209"/>
      <c r="G1524" s="210"/>
      <c r="H1524" s="210"/>
      <c r="I1524" s="210"/>
      <c r="J1524" s="210"/>
      <c r="K1524" s="210"/>
      <c r="L1524" s="210"/>
      <c r="M1524" s="210"/>
      <c r="N1524" s="210"/>
      <c r="P1524" s="211"/>
    </row>
    <row r="1525" spans="3:16">
      <c r="C1525" s="209"/>
      <c r="G1525" s="210"/>
      <c r="H1525" s="210"/>
      <c r="I1525" s="210"/>
      <c r="J1525" s="210"/>
      <c r="K1525" s="210"/>
      <c r="L1525" s="210"/>
      <c r="M1525" s="210"/>
      <c r="N1525" s="210"/>
      <c r="P1525" s="211"/>
    </row>
    <row r="1526" spans="3:16">
      <c r="C1526" s="209"/>
      <c r="G1526" s="210"/>
      <c r="H1526" s="210"/>
      <c r="I1526" s="210"/>
      <c r="J1526" s="210"/>
      <c r="K1526" s="210"/>
      <c r="L1526" s="210"/>
      <c r="M1526" s="210"/>
      <c r="N1526" s="210"/>
      <c r="P1526" s="211"/>
    </row>
    <row r="1527" spans="3:16">
      <c r="C1527" s="209"/>
      <c r="G1527" s="210"/>
      <c r="H1527" s="210"/>
      <c r="I1527" s="210"/>
      <c r="J1527" s="210"/>
      <c r="K1527" s="210"/>
      <c r="L1527" s="210"/>
      <c r="M1527" s="210"/>
      <c r="N1527" s="210"/>
      <c r="P1527" s="211"/>
    </row>
    <row r="1528" spans="3:16">
      <c r="C1528" s="209"/>
      <c r="G1528" s="210"/>
      <c r="H1528" s="210"/>
      <c r="I1528" s="210"/>
      <c r="J1528" s="210"/>
      <c r="K1528" s="210"/>
      <c r="L1528" s="210"/>
      <c r="M1528" s="210"/>
      <c r="N1528" s="210"/>
      <c r="P1528" s="211"/>
    </row>
    <row r="1529" spans="3:16">
      <c r="C1529" s="209"/>
      <c r="G1529" s="210"/>
      <c r="H1529" s="210"/>
      <c r="I1529" s="210"/>
      <c r="J1529" s="210"/>
      <c r="K1529" s="210"/>
      <c r="L1529" s="210"/>
      <c r="M1529" s="210"/>
      <c r="N1529" s="210"/>
      <c r="P1529" s="211"/>
    </row>
    <row r="1530" spans="3:16">
      <c r="C1530" s="209"/>
      <c r="G1530" s="210"/>
      <c r="H1530" s="210"/>
      <c r="I1530" s="210"/>
      <c r="J1530" s="210"/>
      <c r="K1530" s="210"/>
      <c r="L1530" s="210"/>
      <c r="M1530" s="210"/>
      <c r="N1530" s="210"/>
      <c r="P1530" s="211"/>
    </row>
    <row r="1531" spans="3:16">
      <c r="C1531" s="209"/>
      <c r="G1531" s="210"/>
      <c r="H1531" s="210"/>
      <c r="I1531" s="210"/>
      <c r="J1531" s="210"/>
      <c r="K1531" s="210"/>
      <c r="L1531" s="210"/>
      <c r="M1531" s="210"/>
      <c r="N1531" s="210"/>
      <c r="P1531" s="211"/>
    </row>
    <row r="1532" spans="3:16">
      <c r="C1532" s="209"/>
      <c r="G1532" s="210"/>
      <c r="H1532" s="210"/>
      <c r="I1532" s="210"/>
      <c r="J1532" s="210"/>
      <c r="K1532" s="210"/>
      <c r="L1532" s="210"/>
      <c r="M1532" s="210"/>
      <c r="N1532" s="210"/>
      <c r="P1532" s="211"/>
    </row>
    <row r="1533" spans="3:16">
      <c r="C1533" s="209"/>
      <c r="G1533" s="210"/>
      <c r="H1533" s="210"/>
      <c r="I1533" s="210"/>
      <c r="J1533" s="210"/>
      <c r="K1533" s="210"/>
      <c r="L1533" s="210"/>
      <c r="M1533" s="210"/>
      <c r="N1533" s="210"/>
      <c r="P1533" s="211"/>
    </row>
    <row r="1534" spans="3:16">
      <c r="C1534" s="209"/>
      <c r="G1534" s="210"/>
      <c r="H1534" s="210"/>
      <c r="I1534" s="210"/>
      <c r="J1534" s="210"/>
      <c r="K1534" s="210"/>
      <c r="L1534" s="210"/>
      <c r="M1534" s="210"/>
      <c r="N1534" s="210"/>
      <c r="P1534" s="211"/>
    </row>
    <row r="1535" spans="3:16">
      <c r="C1535" s="209"/>
      <c r="G1535" s="210"/>
      <c r="H1535" s="210"/>
      <c r="I1535" s="210"/>
      <c r="J1535" s="210"/>
      <c r="K1535" s="210"/>
      <c r="L1535" s="210"/>
      <c r="M1535" s="210"/>
      <c r="N1535" s="210"/>
      <c r="P1535" s="211"/>
    </row>
    <row r="1536" spans="3:16">
      <c r="C1536" s="209"/>
      <c r="G1536" s="210"/>
      <c r="H1536" s="210"/>
      <c r="I1536" s="210"/>
      <c r="J1536" s="210"/>
      <c r="K1536" s="210"/>
      <c r="L1536" s="210"/>
      <c r="M1536" s="210"/>
      <c r="N1536" s="210"/>
      <c r="P1536" s="211"/>
    </row>
    <row r="1537" spans="3:16">
      <c r="C1537" s="209"/>
      <c r="G1537" s="210"/>
      <c r="H1537" s="210"/>
      <c r="I1537" s="210"/>
      <c r="J1537" s="210"/>
      <c r="K1537" s="210"/>
      <c r="L1537" s="210"/>
      <c r="M1537" s="210"/>
      <c r="N1537" s="210"/>
      <c r="P1537" s="211"/>
    </row>
    <row r="1538" spans="3:16">
      <c r="C1538" s="209"/>
      <c r="G1538" s="210"/>
      <c r="H1538" s="210"/>
      <c r="I1538" s="210"/>
      <c r="J1538" s="210"/>
      <c r="K1538" s="210"/>
      <c r="L1538" s="210"/>
      <c r="M1538" s="210"/>
      <c r="N1538" s="210"/>
      <c r="P1538" s="211"/>
    </row>
    <row r="1539" spans="3:16">
      <c r="C1539" s="209"/>
      <c r="G1539" s="210"/>
      <c r="H1539" s="210"/>
      <c r="I1539" s="210"/>
      <c r="J1539" s="210"/>
      <c r="K1539" s="210"/>
      <c r="L1539" s="210"/>
      <c r="M1539" s="210"/>
      <c r="N1539" s="210"/>
      <c r="P1539" s="211"/>
    </row>
    <row r="1540" spans="3:16">
      <c r="C1540" s="209"/>
      <c r="G1540" s="210"/>
      <c r="H1540" s="210"/>
      <c r="I1540" s="210"/>
      <c r="J1540" s="210"/>
      <c r="K1540" s="210"/>
      <c r="L1540" s="210"/>
      <c r="M1540" s="210"/>
      <c r="N1540" s="210"/>
      <c r="P1540" s="211"/>
    </row>
    <row r="1541" spans="3:16">
      <c r="C1541" s="209"/>
      <c r="G1541" s="210"/>
      <c r="H1541" s="210"/>
      <c r="I1541" s="210"/>
      <c r="J1541" s="210"/>
      <c r="K1541" s="210"/>
      <c r="L1541" s="210"/>
      <c r="M1541" s="210"/>
      <c r="N1541" s="210"/>
      <c r="P1541" s="211"/>
    </row>
    <row r="1542" spans="3:16">
      <c r="C1542" s="209"/>
      <c r="G1542" s="210"/>
      <c r="H1542" s="210"/>
      <c r="I1542" s="210"/>
      <c r="J1542" s="210"/>
      <c r="K1542" s="210"/>
      <c r="L1542" s="210"/>
      <c r="M1542" s="210"/>
      <c r="N1542" s="210"/>
      <c r="P1542" s="211"/>
    </row>
    <row r="1543" spans="3:16">
      <c r="C1543" s="209"/>
      <c r="G1543" s="210"/>
      <c r="H1543" s="210"/>
      <c r="I1543" s="210"/>
      <c r="J1543" s="210"/>
      <c r="K1543" s="210"/>
      <c r="L1543" s="210"/>
      <c r="M1543" s="210"/>
      <c r="N1543" s="210"/>
      <c r="P1543" s="211"/>
    </row>
    <row r="1544" spans="3:16">
      <c r="C1544" s="209"/>
      <c r="G1544" s="210"/>
      <c r="H1544" s="210"/>
      <c r="I1544" s="210"/>
      <c r="J1544" s="210"/>
      <c r="K1544" s="210"/>
      <c r="L1544" s="210"/>
      <c r="M1544" s="210"/>
      <c r="N1544" s="210"/>
      <c r="P1544" s="211"/>
    </row>
    <row r="1545" spans="3:16">
      <c r="C1545" s="209"/>
      <c r="G1545" s="210"/>
      <c r="H1545" s="210"/>
      <c r="I1545" s="210"/>
      <c r="J1545" s="210"/>
      <c r="K1545" s="210"/>
      <c r="L1545" s="210"/>
      <c r="M1545" s="210"/>
      <c r="N1545" s="210"/>
      <c r="P1545" s="211"/>
    </row>
    <row r="1546" spans="3:16">
      <c r="C1546" s="209"/>
      <c r="G1546" s="210"/>
      <c r="H1546" s="210"/>
      <c r="I1546" s="210"/>
      <c r="J1546" s="210"/>
      <c r="K1546" s="210"/>
      <c r="L1546" s="210"/>
      <c r="M1546" s="210"/>
      <c r="N1546" s="210"/>
      <c r="P1546" s="211"/>
    </row>
    <row r="1547" spans="3:16">
      <c r="C1547" s="209"/>
      <c r="G1547" s="210"/>
      <c r="H1547" s="210"/>
      <c r="I1547" s="210"/>
      <c r="J1547" s="210"/>
      <c r="K1547" s="210"/>
      <c r="L1547" s="210"/>
      <c r="M1547" s="210"/>
      <c r="N1547" s="210"/>
      <c r="P1547" s="211"/>
    </row>
    <row r="1548" spans="3:16">
      <c r="C1548" s="209"/>
      <c r="G1548" s="210"/>
      <c r="H1548" s="210"/>
      <c r="I1548" s="210"/>
      <c r="J1548" s="210"/>
      <c r="K1548" s="210"/>
      <c r="L1548" s="210"/>
      <c r="M1548" s="210"/>
      <c r="N1548" s="210"/>
      <c r="P1548" s="211"/>
    </row>
    <row r="1549" spans="3:16">
      <c r="C1549" s="209"/>
      <c r="G1549" s="210"/>
      <c r="H1549" s="210"/>
      <c r="I1549" s="210"/>
      <c r="J1549" s="210"/>
      <c r="K1549" s="210"/>
      <c r="L1549" s="210"/>
      <c r="M1549" s="210"/>
      <c r="N1549" s="210"/>
      <c r="P1549" s="211"/>
    </row>
    <row r="1550" spans="3:16">
      <c r="C1550" s="209"/>
      <c r="G1550" s="210"/>
      <c r="H1550" s="210"/>
      <c r="I1550" s="210"/>
      <c r="J1550" s="210"/>
      <c r="K1550" s="210"/>
      <c r="L1550" s="210"/>
      <c r="M1550" s="210"/>
      <c r="N1550" s="210"/>
      <c r="P1550" s="211"/>
    </row>
    <row r="1551" spans="3:16">
      <c r="C1551" s="209"/>
      <c r="G1551" s="210"/>
      <c r="H1551" s="210"/>
      <c r="I1551" s="210"/>
      <c r="J1551" s="210"/>
      <c r="K1551" s="210"/>
      <c r="L1551" s="210"/>
      <c r="M1551" s="210"/>
      <c r="N1551" s="210"/>
      <c r="P1551" s="211"/>
    </row>
    <row r="1552" spans="3:16">
      <c r="C1552" s="209"/>
      <c r="G1552" s="210"/>
      <c r="H1552" s="210"/>
      <c r="I1552" s="210"/>
      <c r="J1552" s="210"/>
      <c r="K1552" s="210"/>
      <c r="L1552" s="210"/>
      <c r="M1552" s="210"/>
      <c r="N1552" s="210"/>
      <c r="P1552" s="211"/>
    </row>
    <row r="1553" spans="3:16">
      <c r="C1553" s="209"/>
      <c r="G1553" s="210"/>
      <c r="H1553" s="210"/>
      <c r="I1553" s="210"/>
      <c r="J1553" s="210"/>
      <c r="K1553" s="210"/>
      <c r="L1553" s="210"/>
      <c r="M1553" s="210"/>
      <c r="N1553" s="210"/>
      <c r="P1553" s="211"/>
    </row>
    <row r="1554" spans="3:16">
      <c r="C1554" s="209"/>
      <c r="G1554" s="210"/>
      <c r="H1554" s="210"/>
      <c r="I1554" s="210"/>
      <c r="J1554" s="210"/>
      <c r="K1554" s="210"/>
      <c r="L1554" s="210"/>
      <c r="M1554" s="210"/>
      <c r="N1554" s="210"/>
      <c r="P1554" s="211"/>
    </row>
    <row r="1555" spans="3:16">
      <c r="C1555" s="209"/>
      <c r="G1555" s="210"/>
      <c r="H1555" s="210"/>
      <c r="I1555" s="210"/>
      <c r="J1555" s="210"/>
      <c r="K1555" s="210"/>
      <c r="L1555" s="210"/>
      <c r="M1555" s="210"/>
      <c r="N1555" s="210"/>
      <c r="P1555" s="211"/>
    </row>
    <row r="1556" spans="3:16">
      <c r="C1556" s="209"/>
      <c r="G1556" s="210"/>
      <c r="H1556" s="210"/>
      <c r="I1556" s="210"/>
      <c r="J1556" s="210"/>
      <c r="K1556" s="210"/>
      <c r="L1556" s="210"/>
      <c r="M1556" s="210"/>
      <c r="N1556" s="210"/>
      <c r="P1556" s="211"/>
    </row>
    <row r="1557" spans="3:16">
      <c r="C1557" s="209"/>
      <c r="G1557" s="210"/>
      <c r="H1557" s="210"/>
      <c r="I1557" s="210"/>
      <c r="J1557" s="210"/>
      <c r="K1557" s="210"/>
      <c r="L1557" s="210"/>
      <c r="M1557" s="210"/>
      <c r="N1557" s="210"/>
      <c r="P1557" s="211"/>
    </row>
    <row r="1558" spans="3:16">
      <c r="C1558" s="209"/>
      <c r="G1558" s="210"/>
      <c r="H1558" s="210"/>
      <c r="I1558" s="210"/>
      <c r="J1558" s="210"/>
      <c r="K1558" s="210"/>
      <c r="L1558" s="210"/>
      <c r="M1558" s="210"/>
      <c r="N1558" s="210"/>
      <c r="P1558" s="211"/>
    </row>
    <row r="1559" spans="3:16">
      <c r="C1559" s="209"/>
      <c r="G1559" s="210"/>
      <c r="H1559" s="210"/>
      <c r="I1559" s="210"/>
      <c r="J1559" s="210"/>
      <c r="K1559" s="210"/>
      <c r="L1559" s="210"/>
      <c r="M1559" s="210"/>
      <c r="N1559" s="210"/>
      <c r="P1559" s="211"/>
    </row>
    <row r="1560" spans="3:16">
      <c r="C1560" s="209"/>
      <c r="G1560" s="210"/>
      <c r="H1560" s="210"/>
      <c r="I1560" s="210"/>
      <c r="J1560" s="210"/>
      <c r="K1560" s="210"/>
      <c r="L1560" s="210"/>
      <c r="M1560" s="210"/>
      <c r="N1560" s="210"/>
      <c r="P1560" s="211"/>
    </row>
    <row r="1561" spans="3:16">
      <c r="C1561" s="209"/>
      <c r="G1561" s="210"/>
      <c r="H1561" s="210"/>
      <c r="I1561" s="210"/>
      <c r="J1561" s="210"/>
      <c r="K1561" s="210"/>
      <c r="L1561" s="210"/>
      <c r="M1561" s="210"/>
      <c r="N1561" s="210"/>
      <c r="P1561" s="211"/>
    </row>
    <row r="1562" spans="3:16">
      <c r="C1562" s="209"/>
      <c r="G1562" s="210"/>
      <c r="H1562" s="210"/>
      <c r="I1562" s="210"/>
      <c r="J1562" s="210"/>
      <c r="K1562" s="210"/>
      <c r="L1562" s="210"/>
      <c r="M1562" s="210"/>
      <c r="N1562" s="210"/>
      <c r="P1562" s="211"/>
    </row>
    <row r="1563" spans="3:16">
      <c r="C1563" s="209"/>
      <c r="G1563" s="210"/>
      <c r="H1563" s="210"/>
      <c r="I1563" s="210"/>
      <c r="J1563" s="210"/>
      <c r="K1563" s="210"/>
      <c r="L1563" s="210"/>
      <c r="M1563" s="210"/>
      <c r="N1563" s="210"/>
      <c r="P1563" s="211"/>
    </row>
    <row r="1564" spans="3:16">
      <c r="C1564" s="209"/>
      <c r="G1564" s="210"/>
      <c r="H1564" s="210"/>
      <c r="I1564" s="210"/>
      <c r="J1564" s="210"/>
      <c r="K1564" s="210"/>
      <c r="L1564" s="210"/>
      <c r="M1564" s="210"/>
      <c r="N1564" s="210"/>
      <c r="P1564" s="211"/>
    </row>
    <row r="1565" spans="3:16">
      <c r="C1565" s="209"/>
      <c r="G1565" s="210"/>
      <c r="H1565" s="210"/>
      <c r="I1565" s="210"/>
      <c r="J1565" s="210"/>
      <c r="K1565" s="210"/>
      <c r="L1565" s="210"/>
      <c r="M1565" s="210"/>
      <c r="N1565" s="210"/>
      <c r="P1565" s="211"/>
    </row>
    <row r="1566" spans="3:16">
      <c r="C1566" s="209"/>
      <c r="G1566" s="210"/>
      <c r="H1566" s="210"/>
      <c r="I1566" s="210"/>
      <c r="J1566" s="210"/>
      <c r="K1566" s="210"/>
      <c r="L1566" s="210"/>
      <c r="M1566" s="210"/>
      <c r="N1566" s="210"/>
      <c r="P1566" s="211"/>
    </row>
    <row r="1567" spans="3:16">
      <c r="C1567" s="209"/>
      <c r="G1567" s="210"/>
      <c r="H1567" s="210"/>
      <c r="I1567" s="210"/>
      <c r="J1567" s="210"/>
      <c r="K1567" s="210"/>
      <c r="L1567" s="210"/>
      <c r="M1567" s="210"/>
      <c r="N1567" s="210"/>
      <c r="P1567" s="211"/>
    </row>
    <row r="1568" spans="3:16">
      <c r="C1568" s="209"/>
      <c r="G1568" s="210"/>
      <c r="H1568" s="210"/>
      <c r="I1568" s="210"/>
      <c r="J1568" s="210"/>
      <c r="K1568" s="210"/>
      <c r="L1568" s="210"/>
      <c r="M1568" s="210"/>
      <c r="N1568" s="210"/>
      <c r="P1568" s="211"/>
    </row>
    <row r="1569" spans="3:16">
      <c r="C1569" s="209"/>
      <c r="G1569" s="210"/>
      <c r="H1569" s="210"/>
      <c r="I1569" s="210"/>
      <c r="J1569" s="210"/>
      <c r="K1569" s="210"/>
      <c r="L1569" s="210"/>
      <c r="M1569" s="210"/>
      <c r="N1569" s="210"/>
      <c r="P1569" s="211"/>
    </row>
    <row r="1570" spans="3:16">
      <c r="C1570" s="209"/>
      <c r="G1570" s="210"/>
      <c r="H1570" s="210"/>
      <c r="I1570" s="210"/>
      <c r="J1570" s="210"/>
      <c r="K1570" s="210"/>
      <c r="L1570" s="210"/>
      <c r="M1570" s="210"/>
      <c r="N1570" s="210"/>
      <c r="P1570" s="211"/>
    </row>
    <row r="1571" spans="3:16">
      <c r="C1571" s="209"/>
      <c r="G1571" s="210"/>
      <c r="H1571" s="210"/>
      <c r="I1571" s="210"/>
      <c r="J1571" s="210"/>
      <c r="K1571" s="210"/>
      <c r="L1571" s="210"/>
      <c r="M1571" s="210"/>
      <c r="N1571" s="210"/>
      <c r="P1571" s="211"/>
    </row>
    <row r="1572" spans="3:16">
      <c r="C1572" s="209"/>
      <c r="G1572" s="210"/>
      <c r="H1572" s="210"/>
      <c r="I1572" s="210"/>
      <c r="J1572" s="210"/>
      <c r="K1572" s="210"/>
      <c r="L1572" s="210"/>
      <c r="M1572" s="210"/>
      <c r="N1572" s="210"/>
      <c r="P1572" s="211"/>
    </row>
    <row r="1573" spans="3:16">
      <c r="C1573" s="209"/>
      <c r="G1573" s="210"/>
      <c r="H1573" s="210"/>
      <c r="I1573" s="210"/>
      <c r="J1573" s="210"/>
      <c r="K1573" s="210"/>
      <c r="L1573" s="210"/>
      <c r="M1573" s="210"/>
      <c r="N1573" s="210"/>
      <c r="P1573" s="211"/>
    </row>
    <row r="1574" spans="3:16">
      <c r="C1574" s="209"/>
      <c r="G1574" s="210"/>
      <c r="H1574" s="210"/>
      <c r="I1574" s="210"/>
      <c r="J1574" s="210"/>
      <c r="K1574" s="210"/>
      <c r="L1574" s="210"/>
      <c r="M1574" s="210"/>
      <c r="N1574" s="210"/>
      <c r="P1574" s="211"/>
    </row>
    <row r="1575" spans="3:16">
      <c r="C1575" s="209"/>
      <c r="G1575" s="210"/>
      <c r="H1575" s="210"/>
      <c r="I1575" s="210"/>
      <c r="J1575" s="210"/>
      <c r="K1575" s="210"/>
      <c r="L1575" s="210"/>
      <c r="M1575" s="210"/>
      <c r="N1575" s="210"/>
      <c r="P1575" s="211"/>
    </row>
    <row r="1576" spans="3:16">
      <c r="C1576" s="209"/>
      <c r="G1576" s="210"/>
      <c r="H1576" s="210"/>
      <c r="I1576" s="210"/>
      <c r="J1576" s="210"/>
      <c r="K1576" s="210"/>
      <c r="L1576" s="210"/>
      <c r="M1576" s="210"/>
      <c r="N1576" s="210"/>
      <c r="P1576" s="211"/>
    </row>
    <row r="1577" spans="3:16">
      <c r="C1577" s="209"/>
      <c r="G1577" s="210"/>
      <c r="H1577" s="210"/>
      <c r="I1577" s="210"/>
      <c r="J1577" s="210"/>
      <c r="K1577" s="210"/>
      <c r="L1577" s="210"/>
      <c r="M1577" s="210"/>
      <c r="N1577" s="210"/>
      <c r="P1577" s="211"/>
    </row>
    <row r="1578" spans="3:16">
      <c r="C1578" s="209"/>
      <c r="G1578" s="210"/>
      <c r="H1578" s="210"/>
      <c r="I1578" s="210"/>
      <c r="J1578" s="210"/>
      <c r="K1578" s="210"/>
      <c r="L1578" s="210"/>
      <c r="M1578" s="210"/>
      <c r="N1578" s="210"/>
      <c r="P1578" s="211"/>
    </row>
    <row r="1579" spans="3:16">
      <c r="C1579" s="209"/>
      <c r="G1579" s="210"/>
      <c r="H1579" s="210"/>
      <c r="I1579" s="210"/>
      <c r="J1579" s="210"/>
      <c r="K1579" s="210"/>
      <c r="L1579" s="210"/>
      <c r="M1579" s="210"/>
      <c r="N1579" s="210"/>
      <c r="P1579" s="211"/>
    </row>
    <row r="1580" spans="3:16">
      <c r="C1580" s="209"/>
      <c r="G1580" s="210"/>
      <c r="H1580" s="210"/>
      <c r="I1580" s="210"/>
      <c r="J1580" s="210"/>
      <c r="K1580" s="210"/>
      <c r="L1580" s="210"/>
      <c r="M1580" s="210"/>
      <c r="N1580" s="210"/>
      <c r="P1580" s="211"/>
    </row>
    <row r="1581" spans="3:16">
      <c r="C1581" s="209"/>
      <c r="G1581" s="210"/>
      <c r="H1581" s="210"/>
      <c r="I1581" s="210"/>
      <c r="J1581" s="210"/>
      <c r="K1581" s="210"/>
      <c r="L1581" s="210"/>
      <c r="M1581" s="210"/>
      <c r="N1581" s="210"/>
      <c r="P1581" s="211"/>
    </row>
    <row r="1582" spans="3:16">
      <c r="C1582" s="209"/>
      <c r="G1582" s="210"/>
      <c r="H1582" s="210"/>
      <c r="I1582" s="210"/>
      <c r="J1582" s="210"/>
      <c r="K1582" s="210"/>
      <c r="L1582" s="210"/>
      <c r="M1582" s="210"/>
      <c r="N1582" s="210"/>
      <c r="P1582" s="211"/>
    </row>
    <row r="1583" spans="3:16">
      <c r="C1583" s="209"/>
      <c r="G1583" s="210"/>
      <c r="H1583" s="210"/>
      <c r="I1583" s="210"/>
      <c r="J1583" s="210"/>
      <c r="K1583" s="210"/>
      <c r="L1583" s="210"/>
      <c r="M1583" s="210"/>
      <c r="N1583" s="210"/>
      <c r="P1583" s="211"/>
    </row>
    <row r="1584" spans="3:16">
      <c r="C1584" s="209"/>
      <c r="G1584" s="210"/>
      <c r="H1584" s="210"/>
      <c r="I1584" s="210"/>
      <c r="J1584" s="210"/>
      <c r="K1584" s="210"/>
      <c r="L1584" s="210"/>
      <c r="M1584" s="210"/>
      <c r="N1584" s="210"/>
      <c r="P1584" s="211"/>
    </row>
    <row r="1585" spans="3:16">
      <c r="C1585" s="209"/>
      <c r="G1585" s="210"/>
      <c r="H1585" s="210"/>
      <c r="I1585" s="210"/>
      <c r="J1585" s="210"/>
      <c r="K1585" s="210"/>
      <c r="L1585" s="210"/>
      <c r="M1585" s="210"/>
      <c r="N1585" s="210"/>
      <c r="P1585" s="211"/>
    </row>
    <row r="1586" spans="3:16">
      <c r="C1586" s="209"/>
      <c r="G1586" s="210"/>
      <c r="H1586" s="210"/>
      <c r="I1586" s="210"/>
      <c r="J1586" s="210"/>
      <c r="K1586" s="210"/>
      <c r="L1586" s="210"/>
      <c r="M1586" s="210"/>
      <c r="N1586" s="210"/>
      <c r="P1586" s="211"/>
    </row>
    <row r="1587" spans="3:16">
      <c r="C1587" s="209"/>
      <c r="G1587" s="210"/>
      <c r="H1587" s="210"/>
      <c r="I1587" s="210"/>
      <c r="J1587" s="210"/>
      <c r="K1587" s="210"/>
      <c r="L1587" s="210"/>
      <c r="M1587" s="210"/>
      <c r="N1587" s="210"/>
      <c r="P1587" s="211"/>
    </row>
    <row r="1588" spans="3:16">
      <c r="C1588" s="209"/>
      <c r="G1588" s="210"/>
      <c r="H1588" s="210"/>
      <c r="I1588" s="210"/>
      <c r="J1588" s="210"/>
      <c r="K1588" s="210"/>
      <c r="L1588" s="210"/>
      <c r="M1588" s="210"/>
      <c r="N1588" s="210"/>
      <c r="P1588" s="211"/>
    </row>
    <row r="1589" spans="3:16">
      <c r="C1589" s="209"/>
      <c r="G1589" s="210"/>
      <c r="H1589" s="210"/>
      <c r="I1589" s="210"/>
      <c r="J1589" s="210"/>
      <c r="K1589" s="210"/>
      <c r="L1589" s="210"/>
      <c r="M1589" s="210"/>
      <c r="N1589" s="210"/>
      <c r="P1589" s="211"/>
    </row>
    <row r="1590" spans="3:16">
      <c r="C1590" s="209"/>
      <c r="G1590" s="210"/>
      <c r="H1590" s="210"/>
      <c r="I1590" s="210"/>
      <c r="J1590" s="210"/>
      <c r="K1590" s="210"/>
      <c r="L1590" s="210"/>
      <c r="M1590" s="210"/>
      <c r="N1590" s="210"/>
      <c r="P1590" s="211"/>
    </row>
    <row r="1591" spans="3:16">
      <c r="C1591" s="209"/>
      <c r="G1591" s="210"/>
      <c r="H1591" s="210"/>
      <c r="I1591" s="210"/>
      <c r="J1591" s="210"/>
      <c r="K1591" s="210"/>
      <c r="L1591" s="210"/>
      <c r="M1591" s="210"/>
      <c r="N1591" s="210"/>
      <c r="P1591" s="211"/>
    </row>
    <row r="1592" spans="3:16">
      <c r="C1592" s="209"/>
      <c r="G1592" s="210"/>
      <c r="H1592" s="210"/>
      <c r="I1592" s="210"/>
      <c r="J1592" s="210"/>
      <c r="K1592" s="210"/>
      <c r="L1592" s="210"/>
      <c r="M1592" s="210"/>
      <c r="N1592" s="210"/>
      <c r="P1592" s="211"/>
    </row>
    <row r="1593" spans="3:16">
      <c r="C1593" s="209"/>
      <c r="G1593" s="210"/>
      <c r="H1593" s="210"/>
      <c r="I1593" s="210"/>
      <c r="J1593" s="210"/>
      <c r="K1593" s="210"/>
      <c r="L1593" s="210"/>
      <c r="M1593" s="210"/>
      <c r="N1593" s="210"/>
      <c r="P1593" s="211"/>
    </row>
    <row r="1594" spans="3:16">
      <c r="C1594" s="209"/>
      <c r="G1594" s="210"/>
      <c r="H1594" s="210"/>
      <c r="I1594" s="210"/>
      <c r="J1594" s="210"/>
      <c r="K1594" s="210"/>
      <c r="L1594" s="210"/>
      <c r="M1594" s="210"/>
      <c r="N1594" s="210"/>
      <c r="P1594" s="211"/>
    </row>
    <row r="1595" spans="3:16">
      <c r="C1595" s="209"/>
      <c r="G1595" s="210"/>
      <c r="H1595" s="210"/>
      <c r="I1595" s="210"/>
      <c r="J1595" s="210"/>
      <c r="K1595" s="210"/>
      <c r="L1595" s="210"/>
      <c r="M1595" s="210"/>
      <c r="N1595" s="210"/>
      <c r="P1595" s="211"/>
    </row>
    <row r="1596" spans="3:16">
      <c r="C1596" s="209"/>
      <c r="G1596" s="210"/>
      <c r="H1596" s="210"/>
      <c r="I1596" s="210"/>
      <c r="J1596" s="210"/>
      <c r="K1596" s="210"/>
      <c r="L1596" s="210"/>
      <c r="M1596" s="210"/>
      <c r="N1596" s="210"/>
      <c r="P1596" s="211"/>
    </row>
    <row r="1597" spans="3:16">
      <c r="C1597" s="209"/>
      <c r="G1597" s="210"/>
      <c r="H1597" s="210"/>
      <c r="I1597" s="210"/>
      <c r="J1597" s="210"/>
      <c r="K1597" s="210"/>
      <c r="L1597" s="210"/>
      <c r="M1597" s="210"/>
      <c r="N1597" s="210"/>
      <c r="P1597" s="211"/>
    </row>
    <row r="1598" spans="3:16">
      <c r="C1598" s="209"/>
      <c r="G1598" s="210"/>
      <c r="H1598" s="210"/>
      <c r="I1598" s="210"/>
      <c r="J1598" s="210"/>
      <c r="K1598" s="210"/>
      <c r="L1598" s="210"/>
      <c r="M1598" s="210"/>
      <c r="N1598" s="210"/>
      <c r="P1598" s="211"/>
    </row>
    <row r="1599" spans="3:16">
      <c r="C1599" s="209"/>
      <c r="G1599" s="210"/>
      <c r="H1599" s="210"/>
      <c r="I1599" s="210"/>
      <c r="J1599" s="210"/>
      <c r="K1599" s="210"/>
      <c r="L1599" s="210"/>
      <c r="M1599" s="210"/>
      <c r="N1599" s="210"/>
      <c r="P1599" s="211"/>
    </row>
    <row r="1600" spans="3:16">
      <c r="C1600" s="209"/>
      <c r="G1600" s="210"/>
      <c r="H1600" s="210"/>
      <c r="I1600" s="210"/>
      <c r="J1600" s="210"/>
      <c r="K1600" s="210"/>
      <c r="L1600" s="210"/>
      <c r="M1600" s="210"/>
      <c r="N1600" s="210"/>
      <c r="P1600" s="211"/>
    </row>
    <row r="1601" spans="3:16">
      <c r="C1601" s="209"/>
      <c r="G1601" s="210"/>
      <c r="H1601" s="210"/>
      <c r="I1601" s="210"/>
      <c r="J1601" s="210"/>
      <c r="K1601" s="210"/>
      <c r="L1601" s="210"/>
      <c r="M1601" s="210"/>
      <c r="N1601" s="210"/>
      <c r="P1601" s="211"/>
    </row>
    <row r="1602" spans="3:16">
      <c r="C1602" s="209"/>
      <c r="G1602" s="210"/>
      <c r="H1602" s="210"/>
      <c r="I1602" s="210"/>
      <c r="J1602" s="210"/>
      <c r="K1602" s="210"/>
      <c r="L1602" s="210"/>
      <c r="M1602" s="210"/>
      <c r="N1602" s="210"/>
      <c r="P1602" s="211"/>
    </row>
    <row r="1603" spans="3:16">
      <c r="C1603" s="209"/>
      <c r="G1603" s="210"/>
      <c r="H1603" s="210"/>
      <c r="I1603" s="210"/>
      <c r="J1603" s="210"/>
      <c r="K1603" s="210"/>
      <c r="L1603" s="210"/>
      <c r="M1603" s="210"/>
      <c r="N1603" s="210"/>
      <c r="P1603" s="211"/>
    </row>
    <row r="1604" spans="3:16">
      <c r="C1604" s="209"/>
      <c r="G1604" s="210"/>
      <c r="H1604" s="210"/>
      <c r="I1604" s="210"/>
      <c r="J1604" s="210"/>
      <c r="K1604" s="210"/>
      <c r="L1604" s="210"/>
      <c r="M1604" s="210"/>
      <c r="N1604" s="210"/>
      <c r="P1604" s="211"/>
    </row>
    <row r="1605" spans="3:16">
      <c r="C1605" s="209"/>
      <c r="G1605" s="210"/>
      <c r="H1605" s="210"/>
      <c r="I1605" s="210"/>
      <c r="J1605" s="210"/>
      <c r="K1605" s="210"/>
      <c r="L1605" s="210"/>
      <c r="M1605" s="210"/>
      <c r="N1605" s="210"/>
      <c r="P1605" s="211"/>
    </row>
    <row r="1606" spans="3:16">
      <c r="C1606" s="209"/>
      <c r="G1606" s="210"/>
      <c r="H1606" s="210"/>
      <c r="I1606" s="210"/>
      <c r="J1606" s="210"/>
      <c r="K1606" s="210"/>
      <c r="L1606" s="210"/>
      <c r="M1606" s="210"/>
      <c r="N1606" s="210"/>
      <c r="P1606" s="211"/>
    </row>
    <row r="1607" spans="3:16">
      <c r="C1607" s="209"/>
      <c r="G1607" s="210"/>
      <c r="H1607" s="210"/>
      <c r="I1607" s="210"/>
      <c r="J1607" s="210"/>
      <c r="K1607" s="210"/>
      <c r="L1607" s="210"/>
      <c r="M1607" s="210"/>
      <c r="N1607" s="210"/>
      <c r="P1607" s="211"/>
    </row>
    <row r="1608" spans="3:16">
      <c r="C1608" s="209"/>
      <c r="G1608" s="210"/>
      <c r="H1608" s="210"/>
      <c r="I1608" s="210"/>
      <c r="J1608" s="210"/>
      <c r="K1608" s="210"/>
      <c r="L1608" s="210"/>
      <c r="M1608" s="210"/>
      <c r="N1608" s="210"/>
      <c r="P1608" s="211"/>
    </row>
    <row r="1609" spans="3:16">
      <c r="C1609" s="209"/>
      <c r="G1609" s="210"/>
      <c r="H1609" s="210"/>
      <c r="I1609" s="210"/>
      <c r="J1609" s="210"/>
      <c r="K1609" s="210"/>
      <c r="L1609" s="210"/>
      <c r="M1609" s="210"/>
      <c r="N1609" s="210"/>
      <c r="P1609" s="211"/>
    </row>
    <row r="1610" spans="3:16">
      <c r="C1610" s="209"/>
      <c r="G1610" s="210"/>
      <c r="H1610" s="210"/>
      <c r="I1610" s="210"/>
      <c r="J1610" s="210"/>
      <c r="K1610" s="210"/>
      <c r="L1610" s="210"/>
      <c r="M1610" s="210"/>
      <c r="N1610" s="210"/>
      <c r="P1610" s="211"/>
    </row>
    <row r="1611" spans="3:16">
      <c r="C1611" s="209"/>
      <c r="G1611" s="210"/>
      <c r="H1611" s="210"/>
      <c r="I1611" s="210"/>
      <c r="J1611" s="210"/>
      <c r="K1611" s="210"/>
      <c r="L1611" s="210"/>
      <c r="M1611" s="210"/>
      <c r="N1611" s="210"/>
      <c r="P1611" s="211"/>
    </row>
    <row r="1612" spans="3:16">
      <c r="C1612" s="209"/>
      <c r="G1612" s="210"/>
      <c r="H1612" s="210"/>
      <c r="I1612" s="210"/>
      <c r="J1612" s="210"/>
      <c r="K1612" s="210"/>
      <c r="L1612" s="210"/>
      <c r="M1612" s="210"/>
      <c r="N1612" s="210"/>
      <c r="P1612" s="211"/>
    </row>
    <row r="1613" spans="3:16">
      <c r="C1613" s="209"/>
      <c r="G1613" s="210"/>
      <c r="H1613" s="210"/>
      <c r="I1613" s="210"/>
      <c r="J1613" s="210"/>
      <c r="K1613" s="210"/>
      <c r="L1613" s="210"/>
      <c r="M1613" s="210"/>
      <c r="N1613" s="210"/>
      <c r="P1613" s="211"/>
    </row>
    <row r="1614" spans="3:16">
      <c r="C1614" s="209"/>
      <c r="G1614" s="210"/>
      <c r="H1614" s="210"/>
      <c r="I1614" s="210"/>
      <c r="J1614" s="210"/>
      <c r="K1614" s="210"/>
      <c r="L1614" s="210"/>
      <c r="M1614" s="210"/>
      <c r="N1614" s="210"/>
      <c r="P1614" s="211"/>
    </row>
    <row r="1615" spans="3:16">
      <c r="C1615" s="209"/>
      <c r="G1615" s="210"/>
      <c r="H1615" s="210"/>
      <c r="I1615" s="210"/>
      <c r="J1615" s="210"/>
      <c r="K1615" s="210"/>
      <c r="L1615" s="210"/>
      <c r="M1615" s="210"/>
      <c r="N1615" s="210"/>
      <c r="P1615" s="211"/>
    </row>
    <row r="1616" spans="3:16">
      <c r="C1616" s="209"/>
      <c r="G1616" s="210"/>
      <c r="H1616" s="210"/>
      <c r="I1616" s="210"/>
      <c r="J1616" s="210"/>
      <c r="K1616" s="210"/>
      <c r="L1616" s="210"/>
      <c r="M1616" s="210"/>
      <c r="N1616" s="210"/>
      <c r="P1616" s="211"/>
    </row>
    <row r="1617" spans="3:16">
      <c r="C1617" s="209"/>
      <c r="G1617" s="210"/>
      <c r="H1617" s="210"/>
      <c r="I1617" s="210"/>
      <c r="J1617" s="210"/>
      <c r="K1617" s="210"/>
      <c r="L1617" s="210"/>
      <c r="M1617" s="210"/>
      <c r="N1617" s="210"/>
      <c r="P1617" s="211"/>
    </row>
    <row r="1618" spans="3:16">
      <c r="C1618" s="209"/>
      <c r="G1618" s="210"/>
      <c r="H1618" s="210"/>
      <c r="I1618" s="210"/>
      <c r="J1618" s="210"/>
      <c r="K1618" s="210"/>
      <c r="L1618" s="210"/>
      <c r="M1618" s="210"/>
      <c r="N1618" s="210"/>
      <c r="P1618" s="211"/>
    </row>
    <row r="1619" spans="3:16">
      <c r="C1619" s="209"/>
      <c r="G1619" s="210"/>
      <c r="H1619" s="210"/>
      <c r="I1619" s="210"/>
      <c r="J1619" s="210"/>
      <c r="K1619" s="210"/>
      <c r="L1619" s="210"/>
      <c r="M1619" s="210"/>
      <c r="N1619" s="210"/>
      <c r="P1619" s="211"/>
    </row>
    <row r="1620" spans="3:16">
      <c r="C1620" s="209"/>
      <c r="G1620" s="210"/>
      <c r="H1620" s="210"/>
      <c r="I1620" s="210"/>
      <c r="J1620" s="210"/>
      <c r="K1620" s="210"/>
      <c r="L1620" s="210"/>
      <c r="M1620" s="210"/>
      <c r="N1620" s="210"/>
      <c r="P1620" s="211"/>
    </row>
    <row r="1621" spans="3:16">
      <c r="C1621" s="209"/>
      <c r="G1621" s="210"/>
      <c r="H1621" s="210"/>
      <c r="I1621" s="210"/>
      <c r="J1621" s="210"/>
      <c r="K1621" s="210"/>
      <c r="L1621" s="210"/>
      <c r="M1621" s="210"/>
      <c r="N1621" s="210"/>
      <c r="P1621" s="211"/>
    </row>
    <row r="1622" spans="3:16">
      <c r="C1622" s="209"/>
      <c r="G1622" s="210"/>
      <c r="H1622" s="210"/>
      <c r="I1622" s="210"/>
      <c r="J1622" s="210"/>
      <c r="K1622" s="210"/>
      <c r="L1622" s="210"/>
      <c r="M1622" s="210"/>
      <c r="N1622" s="210"/>
      <c r="P1622" s="211"/>
    </row>
    <row r="1623" spans="3:16">
      <c r="C1623" s="209"/>
      <c r="G1623" s="210"/>
      <c r="H1623" s="210"/>
      <c r="I1623" s="210"/>
      <c r="J1623" s="210"/>
      <c r="K1623" s="210"/>
      <c r="L1623" s="210"/>
      <c r="M1623" s="210"/>
      <c r="N1623" s="210"/>
      <c r="P1623" s="211"/>
    </row>
    <row r="1624" spans="3:16">
      <c r="C1624" s="209"/>
      <c r="G1624" s="210"/>
      <c r="H1624" s="210"/>
      <c r="I1624" s="210"/>
      <c r="J1624" s="210"/>
      <c r="K1624" s="210"/>
      <c r="L1624" s="210"/>
      <c r="M1624" s="210"/>
      <c r="N1624" s="210"/>
      <c r="P1624" s="211"/>
    </row>
    <row r="1625" spans="3:16">
      <c r="C1625" s="209"/>
      <c r="G1625" s="210"/>
      <c r="H1625" s="210"/>
      <c r="I1625" s="210"/>
      <c r="J1625" s="210"/>
      <c r="K1625" s="210"/>
      <c r="L1625" s="210"/>
      <c r="M1625" s="210"/>
      <c r="N1625" s="210"/>
      <c r="P1625" s="211"/>
    </row>
    <row r="1626" spans="3:16">
      <c r="C1626" s="209"/>
      <c r="G1626" s="210"/>
      <c r="H1626" s="210"/>
      <c r="I1626" s="210"/>
      <c r="J1626" s="210"/>
      <c r="K1626" s="210"/>
      <c r="L1626" s="210"/>
      <c r="M1626" s="210"/>
      <c r="N1626" s="210"/>
      <c r="P1626" s="211"/>
    </row>
    <row r="1627" spans="3:16">
      <c r="C1627" s="209"/>
      <c r="G1627" s="210"/>
      <c r="H1627" s="210"/>
      <c r="I1627" s="210"/>
      <c r="J1627" s="210"/>
      <c r="K1627" s="210"/>
      <c r="L1627" s="210"/>
      <c r="M1627" s="210"/>
      <c r="N1627" s="210"/>
      <c r="P1627" s="211"/>
    </row>
    <row r="1628" spans="3:16">
      <c r="C1628" s="209"/>
      <c r="G1628" s="210"/>
      <c r="H1628" s="210"/>
      <c r="I1628" s="210"/>
      <c r="J1628" s="210"/>
      <c r="K1628" s="210"/>
      <c r="L1628" s="210"/>
      <c r="M1628" s="210"/>
      <c r="N1628" s="210"/>
      <c r="P1628" s="211"/>
    </row>
    <row r="1629" spans="3:16">
      <c r="C1629" s="209"/>
      <c r="G1629" s="210"/>
      <c r="H1629" s="210"/>
      <c r="I1629" s="210"/>
      <c r="J1629" s="210"/>
      <c r="K1629" s="210"/>
      <c r="L1629" s="210"/>
      <c r="M1629" s="210"/>
      <c r="N1629" s="210"/>
      <c r="P1629" s="211"/>
    </row>
    <row r="1630" spans="3:16">
      <c r="C1630" s="209"/>
      <c r="G1630" s="210"/>
      <c r="H1630" s="210"/>
      <c r="I1630" s="210"/>
      <c r="J1630" s="210"/>
      <c r="K1630" s="210"/>
      <c r="L1630" s="210"/>
      <c r="M1630" s="210"/>
      <c r="N1630" s="210"/>
      <c r="P1630" s="211"/>
    </row>
    <row r="1631" spans="3:16">
      <c r="C1631" s="209"/>
      <c r="G1631" s="210"/>
      <c r="H1631" s="210"/>
      <c r="I1631" s="210"/>
      <c r="J1631" s="210"/>
      <c r="K1631" s="210"/>
      <c r="L1631" s="210"/>
      <c r="M1631" s="210"/>
      <c r="N1631" s="210"/>
      <c r="P1631" s="211"/>
    </row>
    <row r="1632" spans="3:16">
      <c r="C1632" s="209"/>
      <c r="G1632" s="210"/>
      <c r="H1632" s="210"/>
      <c r="I1632" s="210"/>
      <c r="J1632" s="210"/>
      <c r="K1632" s="210"/>
      <c r="L1632" s="210"/>
      <c r="M1632" s="210"/>
      <c r="N1632" s="210"/>
      <c r="P1632" s="211"/>
    </row>
    <row r="1633" spans="3:16">
      <c r="C1633" s="209"/>
      <c r="G1633" s="210"/>
      <c r="H1633" s="210"/>
      <c r="I1633" s="210"/>
      <c r="J1633" s="210"/>
      <c r="K1633" s="210"/>
      <c r="L1633" s="210"/>
      <c r="M1633" s="210"/>
      <c r="N1633" s="210"/>
      <c r="P1633" s="211"/>
    </row>
    <row r="1634" spans="3:16">
      <c r="C1634" s="209"/>
      <c r="G1634" s="210"/>
      <c r="H1634" s="210"/>
      <c r="I1634" s="210"/>
      <c r="J1634" s="210"/>
      <c r="K1634" s="210"/>
      <c r="L1634" s="210"/>
      <c r="M1634" s="210"/>
      <c r="N1634" s="210"/>
      <c r="P1634" s="211"/>
    </row>
    <row r="1635" spans="3:16">
      <c r="C1635" s="209"/>
      <c r="G1635" s="210"/>
      <c r="H1635" s="210"/>
      <c r="I1635" s="210"/>
      <c r="J1635" s="210"/>
      <c r="K1635" s="210"/>
      <c r="L1635" s="210"/>
      <c r="M1635" s="210"/>
      <c r="N1635" s="210"/>
      <c r="P1635" s="211"/>
    </row>
    <row r="1636" spans="3:16">
      <c r="C1636" s="209"/>
      <c r="G1636" s="210"/>
      <c r="H1636" s="210"/>
      <c r="I1636" s="210"/>
      <c r="J1636" s="210"/>
      <c r="K1636" s="210"/>
      <c r="L1636" s="210"/>
      <c r="M1636" s="210"/>
      <c r="N1636" s="210"/>
      <c r="P1636" s="211"/>
    </row>
    <row r="1637" spans="3:16">
      <c r="C1637" s="209"/>
      <c r="G1637" s="210"/>
      <c r="H1637" s="210"/>
      <c r="I1637" s="210"/>
      <c r="J1637" s="210"/>
      <c r="K1637" s="210"/>
      <c r="L1637" s="210"/>
      <c r="M1637" s="210"/>
      <c r="N1637" s="210"/>
      <c r="P1637" s="211"/>
    </row>
    <row r="1638" spans="3:16">
      <c r="C1638" s="209"/>
      <c r="G1638" s="210"/>
      <c r="H1638" s="210"/>
      <c r="I1638" s="210"/>
      <c r="J1638" s="210"/>
      <c r="K1638" s="210"/>
      <c r="L1638" s="210"/>
      <c r="M1638" s="210"/>
      <c r="N1638" s="210"/>
      <c r="P1638" s="211"/>
    </row>
    <row r="1639" spans="3:16">
      <c r="C1639" s="209"/>
      <c r="G1639" s="210"/>
      <c r="H1639" s="210"/>
      <c r="I1639" s="210"/>
      <c r="J1639" s="210"/>
      <c r="K1639" s="210"/>
      <c r="L1639" s="210"/>
      <c r="M1639" s="210"/>
      <c r="N1639" s="210"/>
      <c r="P1639" s="211"/>
    </row>
    <row r="1640" spans="3:16">
      <c r="C1640" s="209"/>
      <c r="G1640" s="210"/>
      <c r="H1640" s="210"/>
      <c r="I1640" s="210"/>
      <c r="J1640" s="210"/>
      <c r="K1640" s="210"/>
      <c r="L1640" s="210"/>
      <c r="M1640" s="210"/>
      <c r="N1640" s="210"/>
      <c r="P1640" s="211"/>
    </row>
    <row r="1641" spans="3:16">
      <c r="C1641" s="209"/>
      <c r="G1641" s="210"/>
      <c r="H1641" s="210"/>
      <c r="I1641" s="210"/>
      <c r="J1641" s="210"/>
      <c r="K1641" s="210"/>
      <c r="L1641" s="210"/>
      <c r="M1641" s="210"/>
      <c r="N1641" s="210"/>
      <c r="P1641" s="211"/>
    </row>
    <row r="1642" spans="3:16">
      <c r="C1642" s="209"/>
      <c r="G1642" s="210"/>
      <c r="H1642" s="210"/>
      <c r="I1642" s="210"/>
      <c r="J1642" s="210"/>
      <c r="K1642" s="210"/>
      <c r="L1642" s="210"/>
      <c r="M1642" s="210"/>
      <c r="N1642" s="210"/>
      <c r="P1642" s="211"/>
    </row>
    <row r="1643" spans="3:16">
      <c r="C1643" s="209"/>
      <c r="G1643" s="210"/>
      <c r="H1643" s="210"/>
      <c r="I1643" s="210"/>
      <c r="J1643" s="210"/>
      <c r="K1643" s="210"/>
      <c r="L1643" s="210"/>
      <c r="M1643" s="210"/>
      <c r="N1643" s="210"/>
      <c r="P1643" s="211"/>
    </row>
    <row r="1644" spans="3:16">
      <c r="C1644" s="209"/>
      <c r="G1644" s="210"/>
      <c r="H1644" s="210"/>
      <c r="I1644" s="210"/>
      <c r="J1644" s="210"/>
      <c r="K1644" s="210"/>
      <c r="L1644" s="210"/>
      <c r="M1644" s="210"/>
      <c r="N1644" s="210"/>
      <c r="P1644" s="211"/>
    </row>
    <row r="1645" spans="3:16">
      <c r="C1645" s="209"/>
      <c r="G1645" s="210"/>
      <c r="H1645" s="210"/>
      <c r="I1645" s="210"/>
      <c r="J1645" s="210"/>
      <c r="K1645" s="210"/>
      <c r="L1645" s="210"/>
      <c r="M1645" s="210"/>
      <c r="N1645" s="210"/>
      <c r="P1645" s="211"/>
    </row>
    <row r="1646" spans="3:16">
      <c r="C1646" s="209"/>
      <c r="G1646" s="210"/>
      <c r="H1646" s="210"/>
      <c r="I1646" s="210"/>
      <c r="J1646" s="210"/>
      <c r="K1646" s="210"/>
      <c r="L1646" s="210"/>
      <c r="M1646" s="210"/>
      <c r="N1646" s="210"/>
      <c r="P1646" s="211"/>
    </row>
    <row r="1647" spans="3:16">
      <c r="C1647" s="209"/>
      <c r="G1647" s="210"/>
      <c r="H1647" s="210"/>
      <c r="I1647" s="210"/>
      <c r="J1647" s="210"/>
      <c r="K1647" s="210"/>
      <c r="L1647" s="210"/>
      <c r="M1647" s="210"/>
      <c r="N1647" s="210"/>
      <c r="P1647" s="211"/>
    </row>
    <row r="1648" spans="3:16">
      <c r="C1648" s="209"/>
      <c r="G1648" s="210"/>
      <c r="H1648" s="210"/>
      <c r="I1648" s="210"/>
      <c r="J1648" s="210"/>
      <c r="K1648" s="210"/>
      <c r="L1648" s="210"/>
      <c r="M1648" s="210"/>
      <c r="N1648" s="210"/>
      <c r="P1648" s="211"/>
    </row>
    <row r="1649" spans="3:16">
      <c r="C1649" s="209"/>
      <c r="G1649" s="210"/>
      <c r="H1649" s="210"/>
      <c r="I1649" s="210"/>
      <c r="J1649" s="210"/>
      <c r="K1649" s="210"/>
      <c r="L1649" s="210"/>
      <c r="M1649" s="210"/>
      <c r="N1649" s="210"/>
      <c r="P1649" s="211"/>
    </row>
    <row r="1650" spans="3:16">
      <c r="C1650" s="209"/>
      <c r="G1650" s="210"/>
      <c r="H1650" s="210"/>
      <c r="I1650" s="210"/>
      <c r="J1650" s="210"/>
      <c r="K1650" s="210"/>
      <c r="L1650" s="210"/>
      <c r="M1650" s="210"/>
      <c r="N1650" s="210"/>
      <c r="P1650" s="211"/>
    </row>
    <row r="1651" spans="3:16">
      <c r="C1651" s="209"/>
      <c r="G1651" s="210"/>
      <c r="H1651" s="210"/>
      <c r="I1651" s="210"/>
      <c r="J1651" s="210"/>
      <c r="K1651" s="210"/>
      <c r="L1651" s="210"/>
      <c r="M1651" s="210"/>
      <c r="N1651" s="210"/>
      <c r="P1651" s="211"/>
    </row>
    <row r="1652" spans="3:16">
      <c r="C1652" s="209"/>
      <c r="G1652" s="210"/>
      <c r="H1652" s="210"/>
      <c r="I1652" s="210"/>
      <c r="J1652" s="210"/>
      <c r="K1652" s="210"/>
      <c r="L1652" s="210"/>
      <c r="M1652" s="210"/>
      <c r="N1652" s="210"/>
      <c r="P1652" s="211"/>
    </row>
    <row r="1653" spans="3:16">
      <c r="C1653" s="209"/>
      <c r="G1653" s="210"/>
      <c r="H1653" s="210"/>
      <c r="I1653" s="210"/>
      <c r="J1653" s="210"/>
      <c r="K1653" s="210"/>
      <c r="L1653" s="210"/>
      <c r="M1653" s="210"/>
      <c r="N1653" s="210"/>
      <c r="P1653" s="211"/>
    </row>
    <row r="1654" spans="3:16">
      <c r="C1654" s="209"/>
      <c r="G1654" s="210"/>
      <c r="H1654" s="210"/>
      <c r="I1654" s="210"/>
      <c r="J1654" s="210"/>
      <c r="K1654" s="210"/>
      <c r="L1654" s="210"/>
      <c r="M1654" s="210"/>
      <c r="N1654" s="210"/>
      <c r="P1654" s="211"/>
    </row>
    <row r="1655" spans="3:16">
      <c r="C1655" s="209"/>
      <c r="G1655" s="210"/>
      <c r="H1655" s="210"/>
      <c r="I1655" s="210"/>
      <c r="J1655" s="210"/>
      <c r="K1655" s="210"/>
      <c r="L1655" s="210"/>
      <c r="M1655" s="210"/>
      <c r="N1655" s="210"/>
      <c r="P1655" s="211"/>
    </row>
    <row r="1656" spans="3:16">
      <c r="C1656" s="209"/>
      <c r="G1656" s="210"/>
      <c r="H1656" s="210"/>
      <c r="I1656" s="210"/>
      <c r="J1656" s="210"/>
      <c r="K1656" s="210"/>
      <c r="L1656" s="210"/>
      <c r="M1656" s="210"/>
      <c r="N1656" s="210"/>
      <c r="P1656" s="211"/>
    </row>
    <row r="1657" spans="3:16">
      <c r="C1657" s="209"/>
      <c r="G1657" s="210"/>
      <c r="H1657" s="210"/>
      <c r="I1657" s="210"/>
      <c r="J1657" s="210"/>
      <c r="K1657" s="210"/>
      <c r="L1657" s="210"/>
      <c r="M1657" s="210"/>
      <c r="N1657" s="210"/>
      <c r="P1657" s="211"/>
    </row>
    <row r="1658" spans="3:16">
      <c r="C1658" s="209"/>
      <c r="G1658" s="210"/>
      <c r="H1658" s="210"/>
      <c r="I1658" s="210"/>
      <c r="J1658" s="210"/>
      <c r="K1658" s="210"/>
      <c r="L1658" s="210"/>
      <c r="M1658" s="210"/>
      <c r="N1658" s="210"/>
      <c r="P1658" s="211"/>
    </row>
    <row r="1659" spans="3:16">
      <c r="C1659" s="209"/>
      <c r="G1659" s="210"/>
      <c r="H1659" s="210"/>
      <c r="I1659" s="210"/>
      <c r="J1659" s="210"/>
      <c r="K1659" s="210"/>
      <c r="L1659" s="210"/>
      <c r="M1659" s="210"/>
      <c r="N1659" s="210"/>
      <c r="P1659" s="211"/>
    </row>
    <row r="1660" spans="3:16">
      <c r="C1660" s="209"/>
      <c r="G1660" s="210"/>
      <c r="H1660" s="210"/>
      <c r="I1660" s="210"/>
      <c r="J1660" s="210"/>
      <c r="K1660" s="210"/>
      <c r="L1660" s="210"/>
      <c r="M1660" s="210"/>
      <c r="N1660" s="210"/>
      <c r="P1660" s="211"/>
    </row>
    <row r="1661" spans="3:16">
      <c r="C1661" s="209"/>
      <c r="G1661" s="210"/>
      <c r="H1661" s="210"/>
      <c r="I1661" s="210"/>
      <c r="J1661" s="210"/>
      <c r="K1661" s="210"/>
      <c r="L1661" s="210"/>
      <c r="M1661" s="210"/>
      <c r="N1661" s="210"/>
      <c r="P1661" s="211"/>
    </row>
    <row r="1662" spans="3:16">
      <c r="C1662" s="209"/>
      <c r="G1662" s="210"/>
      <c r="H1662" s="210"/>
      <c r="I1662" s="210"/>
      <c r="J1662" s="210"/>
      <c r="K1662" s="210"/>
      <c r="L1662" s="210"/>
      <c r="M1662" s="210"/>
      <c r="N1662" s="210"/>
      <c r="P1662" s="211"/>
    </row>
    <row r="1663" spans="3:16">
      <c r="C1663" s="209"/>
      <c r="G1663" s="210"/>
      <c r="H1663" s="210"/>
      <c r="I1663" s="210"/>
      <c r="J1663" s="210"/>
      <c r="K1663" s="210"/>
      <c r="L1663" s="210"/>
      <c r="M1663" s="210"/>
      <c r="N1663" s="210"/>
      <c r="P1663" s="211"/>
    </row>
    <row r="1664" spans="3:16">
      <c r="C1664" s="209"/>
      <c r="G1664" s="210"/>
      <c r="H1664" s="210"/>
      <c r="I1664" s="210"/>
      <c r="J1664" s="210"/>
      <c r="K1664" s="210"/>
      <c r="L1664" s="210"/>
      <c r="M1664" s="210"/>
      <c r="N1664" s="210"/>
      <c r="P1664" s="211"/>
    </row>
    <row r="1665" spans="3:16">
      <c r="C1665" s="209"/>
      <c r="G1665" s="210"/>
      <c r="H1665" s="210"/>
      <c r="I1665" s="210"/>
      <c r="J1665" s="210"/>
      <c r="K1665" s="210"/>
      <c r="L1665" s="210"/>
      <c r="M1665" s="210"/>
      <c r="N1665" s="210"/>
      <c r="P1665" s="211"/>
    </row>
    <row r="1666" spans="3:16">
      <c r="C1666" s="209"/>
      <c r="G1666" s="210"/>
      <c r="H1666" s="210"/>
      <c r="I1666" s="210"/>
      <c r="J1666" s="210"/>
      <c r="K1666" s="210"/>
      <c r="L1666" s="210"/>
      <c r="M1666" s="210"/>
      <c r="N1666" s="210"/>
      <c r="P1666" s="211"/>
    </row>
    <row r="1667" spans="3:16">
      <c r="C1667" s="209"/>
      <c r="G1667" s="210"/>
      <c r="H1667" s="210"/>
      <c r="I1667" s="210"/>
      <c r="J1667" s="210"/>
      <c r="K1667" s="210"/>
      <c r="L1667" s="210"/>
      <c r="M1667" s="210"/>
      <c r="N1667" s="210"/>
      <c r="P1667" s="211"/>
    </row>
    <row r="1668" spans="3:16">
      <c r="C1668" s="209"/>
      <c r="G1668" s="210"/>
      <c r="H1668" s="210"/>
      <c r="I1668" s="210"/>
      <c r="J1668" s="210"/>
      <c r="K1668" s="210"/>
      <c r="L1668" s="210"/>
      <c r="M1668" s="210"/>
      <c r="N1668" s="210"/>
      <c r="P1668" s="211"/>
    </row>
    <row r="1669" spans="3:16">
      <c r="C1669" s="209"/>
      <c r="G1669" s="210"/>
      <c r="H1669" s="210"/>
      <c r="I1669" s="210"/>
      <c r="J1669" s="210"/>
      <c r="K1669" s="210"/>
      <c r="L1669" s="210"/>
      <c r="M1669" s="210"/>
      <c r="N1669" s="210"/>
      <c r="P1669" s="211"/>
    </row>
    <row r="1670" spans="3:16">
      <c r="C1670" s="209"/>
      <c r="G1670" s="210"/>
      <c r="H1670" s="210"/>
      <c r="I1670" s="210"/>
      <c r="J1670" s="210"/>
      <c r="K1670" s="210"/>
      <c r="L1670" s="210"/>
      <c r="M1670" s="210"/>
      <c r="N1670" s="210"/>
      <c r="P1670" s="211"/>
    </row>
    <row r="1671" spans="3:16">
      <c r="C1671" s="209"/>
      <c r="G1671" s="210"/>
      <c r="H1671" s="210"/>
      <c r="I1671" s="210"/>
      <c r="J1671" s="210"/>
      <c r="K1671" s="210"/>
      <c r="L1671" s="210"/>
      <c r="M1671" s="210"/>
      <c r="N1671" s="210"/>
      <c r="P1671" s="211"/>
    </row>
    <row r="1672" spans="3:16">
      <c r="C1672" s="209"/>
      <c r="G1672" s="210"/>
      <c r="H1672" s="210"/>
      <c r="I1672" s="210"/>
      <c r="J1672" s="210"/>
      <c r="K1672" s="210"/>
      <c r="L1672" s="210"/>
      <c r="M1672" s="210"/>
      <c r="N1672" s="210"/>
      <c r="P1672" s="211"/>
    </row>
    <row r="1673" spans="3:16">
      <c r="C1673" s="209"/>
      <c r="G1673" s="210"/>
      <c r="H1673" s="210"/>
      <c r="I1673" s="210"/>
      <c r="J1673" s="210"/>
      <c r="K1673" s="210"/>
      <c r="L1673" s="210"/>
      <c r="M1673" s="210"/>
      <c r="N1673" s="210"/>
      <c r="P1673" s="211"/>
    </row>
    <row r="1674" spans="3:16">
      <c r="C1674" s="209"/>
      <c r="G1674" s="210"/>
      <c r="H1674" s="210"/>
      <c r="I1674" s="210"/>
      <c r="J1674" s="210"/>
      <c r="K1674" s="210"/>
      <c r="L1674" s="210"/>
      <c r="M1674" s="210"/>
      <c r="N1674" s="210"/>
      <c r="P1674" s="211"/>
    </row>
    <row r="1675" spans="3:16">
      <c r="C1675" s="209"/>
      <c r="G1675" s="210"/>
      <c r="H1675" s="210"/>
      <c r="I1675" s="210"/>
      <c r="J1675" s="210"/>
      <c r="K1675" s="210"/>
      <c r="L1675" s="210"/>
      <c r="M1675" s="210"/>
      <c r="N1675" s="210"/>
      <c r="P1675" s="211"/>
    </row>
    <row r="1676" spans="3:16">
      <c r="C1676" s="209"/>
      <c r="G1676" s="210"/>
      <c r="H1676" s="210"/>
      <c r="I1676" s="210"/>
      <c r="J1676" s="210"/>
      <c r="K1676" s="210"/>
      <c r="L1676" s="210"/>
      <c r="M1676" s="210"/>
      <c r="N1676" s="210"/>
      <c r="P1676" s="211"/>
    </row>
    <row r="1677" spans="3:16">
      <c r="C1677" s="209"/>
      <c r="G1677" s="210"/>
      <c r="H1677" s="210"/>
      <c r="I1677" s="210"/>
      <c r="J1677" s="210"/>
      <c r="K1677" s="210"/>
      <c r="L1677" s="210"/>
      <c r="M1677" s="210"/>
      <c r="N1677" s="210"/>
      <c r="P1677" s="211"/>
    </row>
    <row r="1678" spans="3:16">
      <c r="C1678" s="209"/>
      <c r="G1678" s="210"/>
      <c r="H1678" s="210"/>
      <c r="I1678" s="210"/>
      <c r="J1678" s="210"/>
      <c r="K1678" s="210"/>
      <c r="L1678" s="210"/>
      <c r="M1678" s="210"/>
      <c r="N1678" s="210"/>
      <c r="P1678" s="211"/>
    </row>
    <row r="1679" spans="3:16">
      <c r="C1679" s="209"/>
      <c r="G1679" s="210"/>
      <c r="H1679" s="210"/>
      <c r="I1679" s="210"/>
      <c r="J1679" s="210"/>
      <c r="K1679" s="210"/>
      <c r="L1679" s="210"/>
      <c r="M1679" s="210"/>
      <c r="N1679" s="210"/>
      <c r="P1679" s="211"/>
    </row>
    <row r="1680" spans="3:16">
      <c r="C1680" s="209"/>
      <c r="G1680" s="210"/>
      <c r="H1680" s="210"/>
      <c r="I1680" s="210"/>
      <c r="J1680" s="210"/>
      <c r="K1680" s="210"/>
      <c r="L1680" s="210"/>
      <c r="M1680" s="210"/>
      <c r="N1680" s="210"/>
      <c r="P1680" s="211"/>
    </row>
    <row r="1681" spans="3:16">
      <c r="C1681" s="209"/>
      <c r="G1681" s="210"/>
      <c r="H1681" s="210"/>
      <c r="I1681" s="210"/>
      <c r="J1681" s="210"/>
      <c r="K1681" s="210"/>
      <c r="L1681" s="210"/>
      <c r="M1681" s="210"/>
      <c r="N1681" s="210"/>
      <c r="P1681" s="211"/>
    </row>
    <row r="1682" spans="3:16">
      <c r="C1682" s="209"/>
      <c r="G1682" s="210"/>
      <c r="H1682" s="210"/>
      <c r="I1682" s="210"/>
      <c r="J1682" s="210"/>
      <c r="K1682" s="210"/>
      <c r="L1682" s="210"/>
      <c r="M1682" s="210"/>
      <c r="N1682" s="210"/>
      <c r="P1682" s="211"/>
    </row>
    <row r="1683" spans="3:16">
      <c r="C1683" s="209"/>
      <c r="G1683" s="210"/>
      <c r="H1683" s="210"/>
      <c r="I1683" s="210"/>
      <c r="J1683" s="210"/>
      <c r="K1683" s="210"/>
      <c r="L1683" s="210"/>
      <c r="M1683" s="210"/>
      <c r="N1683" s="210"/>
      <c r="P1683" s="211"/>
    </row>
    <row r="1684" spans="3:16">
      <c r="C1684" s="209"/>
      <c r="G1684" s="210"/>
      <c r="H1684" s="210"/>
      <c r="I1684" s="210"/>
      <c r="J1684" s="210"/>
      <c r="K1684" s="210"/>
      <c r="L1684" s="210"/>
      <c r="M1684" s="210"/>
      <c r="N1684" s="210"/>
      <c r="P1684" s="211"/>
    </row>
    <row r="1685" spans="3:16">
      <c r="C1685" s="209"/>
      <c r="G1685" s="210"/>
      <c r="H1685" s="210"/>
      <c r="I1685" s="210"/>
      <c r="J1685" s="210"/>
      <c r="K1685" s="210"/>
      <c r="L1685" s="210"/>
      <c r="M1685" s="210"/>
      <c r="N1685" s="210"/>
      <c r="P1685" s="211"/>
    </row>
    <row r="1686" spans="3:16">
      <c r="C1686" s="209"/>
      <c r="G1686" s="210"/>
      <c r="H1686" s="210"/>
      <c r="I1686" s="210"/>
      <c r="J1686" s="210"/>
      <c r="K1686" s="210"/>
      <c r="L1686" s="210"/>
      <c r="M1686" s="210"/>
      <c r="N1686" s="210"/>
      <c r="P1686" s="211"/>
    </row>
    <row r="1687" spans="3:16">
      <c r="C1687" s="209"/>
      <c r="G1687" s="210"/>
      <c r="H1687" s="210"/>
      <c r="I1687" s="210"/>
      <c r="J1687" s="210"/>
      <c r="K1687" s="210"/>
      <c r="L1687" s="210"/>
      <c r="M1687" s="210"/>
      <c r="N1687" s="210"/>
      <c r="P1687" s="211"/>
    </row>
    <row r="1688" spans="3:16">
      <c r="C1688" s="209"/>
      <c r="G1688" s="210"/>
      <c r="H1688" s="210"/>
      <c r="I1688" s="210"/>
      <c r="J1688" s="210"/>
      <c r="K1688" s="210"/>
      <c r="L1688" s="210"/>
      <c r="M1688" s="210"/>
      <c r="N1688" s="210"/>
      <c r="P1688" s="211"/>
    </row>
    <row r="1689" spans="3:16">
      <c r="C1689" s="209"/>
      <c r="G1689" s="210"/>
      <c r="H1689" s="210"/>
      <c r="I1689" s="210"/>
      <c r="J1689" s="210"/>
      <c r="K1689" s="210"/>
      <c r="L1689" s="210"/>
      <c r="M1689" s="210"/>
      <c r="N1689" s="210"/>
      <c r="P1689" s="211"/>
    </row>
    <row r="1690" spans="3:16">
      <c r="C1690" s="209"/>
      <c r="G1690" s="210"/>
      <c r="H1690" s="210"/>
      <c r="I1690" s="210"/>
      <c r="J1690" s="210"/>
      <c r="K1690" s="210"/>
      <c r="L1690" s="210"/>
      <c r="M1690" s="210"/>
      <c r="N1690" s="210"/>
      <c r="P1690" s="211"/>
    </row>
    <row r="1691" spans="3:16">
      <c r="C1691" s="209"/>
      <c r="G1691" s="210"/>
      <c r="H1691" s="210"/>
      <c r="I1691" s="210"/>
      <c r="J1691" s="210"/>
      <c r="K1691" s="210"/>
      <c r="L1691" s="210"/>
      <c r="M1691" s="210"/>
      <c r="N1691" s="210"/>
      <c r="P1691" s="211"/>
    </row>
    <row r="1692" spans="3:16">
      <c r="C1692" s="209"/>
      <c r="G1692" s="210"/>
      <c r="H1692" s="210"/>
      <c r="I1692" s="210"/>
      <c r="J1692" s="210"/>
      <c r="K1692" s="210"/>
      <c r="L1692" s="210"/>
      <c r="M1692" s="210"/>
      <c r="N1692" s="210"/>
      <c r="P1692" s="211"/>
    </row>
    <row r="1693" spans="3:16">
      <c r="C1693" s="209"/>
      <c r="G1693" s="210"/>
      <c r="H1693" s="210"/>
      <c r="I1693" s="210"/>
      <c r="J1693" s="210"/>
      <c r="K1693" s="210"/>
      <c r="L1693" s="210"/>
      <c r="M1693" s="210"/>
      <c r="N1693" s="210"/>
      <c r="P1693" s="211"/>
    </row>
    <row r="1694" spans="3:16">
      <c r="C1694" s="209"/>
      <c r="G1694" s="210"/>
      <c r="H1694" s="210"/>
      <c r="I1694" s="210"/>
      <c r="J1694" s="210"/>
      <c r="K1694" s="210"/>
      <c r="L1694" s="210"/>
      <c r="M1694" s="210"/>
      <c r="N1694" s="210"/>
      <c r="P1694" s="211"/>
    </row>
    <row r="1695" spans="3:16">
      <c r="C1695" s="209"/>
      <c r="G1695" s="210"/>
      <c r="H1695" s="210"/>
      <c r="I1695" s="210"/>
      <c r="J1695" s="210"/>
      <c r="K1695" s="210"/>
      <c r="L1695" s="210"/>
      <c r="M1695" s="210"/>
      <c r="N1695" s="210"/>
      <c r="P1695" s="211"/>
    </row>
    <row r="1696" spans="3:16">
      <c r="C1696" s="209"/>
      <c r="G1696" s="210"/>
      <c r="H1696" s="210"/>
      <c r="I1696" s="210"/>
      <c r="J1696" s="210"/>
      <c r="K1696" s="210"/>
      <c r="L1696" s="210"/>
      <c r="M1696" s="210"/>
      <c r="N1696" s="210"/>
      <c r="P1696" s="211"/>
    </row>
    <row r="1697" spans="3:16">
      <c r="C1697" s="209"/>
      <c r="G1697" s="210"/>
      <c r="H1697" s="210"/>
      <c r="I1697" s="210"/>
      <c r="J1697" s="210"/>
      <c r="K1697" s="210"/>
      <c r="L1697" s="210"/>
      <c r="M1697" s="210"/>
      <c r="N1697" s="210"/>
      <c r="P1697" s="211"/>
    </row>
    <row r="1698" spans="3:16">
      <c r="C1698" s="209"/>
      <c r="G1698" s="210"/>
      <c r="H1698" s="210"/>
      <c r="I1698" s="210"/>
      <c r="J1698" s="210"/>
      <c r="K1698" s="210"/>
      <c r="L1698" s="210"/>
      <c r="M1698" s="210"/>
      <c r="N1698" s="210"/>
      <c r="P1698" s="211"/>
    </row>
    <row r="1699" spans="3:16">
      <c r="C1699" s="209"/>
      <c r="G1699" s="210"/>
      <c r="H1699" s="210"/>
      <c r="I1699" s="210"/>
      <c r="J1699" s="210"/>
      <c r="K1699" s="210"/>
      <c r="L1699" s="210"/>
      <c r="M1699" s="210"/>
      <c r="N1699" s="210"/>
      <c r="P1699" s="211"/>
    </row>
    <row r="1700" spans="3:16">
      <c r="C1700" s="209"/>
      <c r="G1700" s="210"/>
      <c r="H1700" s="210"/>
      <c r="I1700" s="210"/>
      <c r="J1700" s="210"/>
      <c r="K1700" s="210"/>
      <c r="L1700" s="210"/>
      <c r="M1700" s="210"/>
      <c r="N1700" s="210"/>
      <c r="P1700" s="211"/>
    </row>
    <row r="1701" spans="3:16">
      <c r="C1701" s="209"/>
      <c r="G1701" s="210"/>
      <c r="H1701" s="210"/>
      <c r="I1701" s="210"/>
      <c r="J1701" s="210"/>
      <c r="K1701" s="210"/>
      <c r="L1701" s="210"/>
      <c r="M1701" s="210"/>
      <c r="N1701" s="210"/>
      <c r="P1701" s="211"/>
    </row>
    <row r="1702" spans="3:16">
      <c r="C1702" s="209"/>
      <c r="G1702" s="210"/>
      <c r="H1702" s="210"/>
      <c r="I1702" s="210"/>
      <c r="J1702" s="210"/>
      <c r="K1702" s="210"/>
      <c r="L1702" s="210"/>
      <c r="M1702" s="210"/>
      <c r="N1702" s="210"/>
      <c r="P1702" s="211"/>
    </row>
    <row r="1703" spans="3:16">
      <c r="C1703" s="209"/>
      <c r="G1703" s="210"/>
      <c r="H1703" s="210"/>
      <c r="I1703" s="210"/>
      <c r="J1703" s="210"/>
      <c r="K1703" s="210"/>
      <c r="L1703" s="210"/>
      <c r="M1703" s="210"/>
      <c r="N1703" s="210"/>
      <c r="P1703" s="211"/>
    </row>
    <row r="1704" spans="3:16">
      <c r="C1704" s="209"/>
      <c r="G1704" s="210"/>
      <c r="H1704" s="210"/>
      <c r="I1704" s="210"/>
      <c r="J1704" s="210"/>
      <c r="K1704" s="210"/>
      <c r="L1704" s="210"/>
      <c r="M1704" s="210"/>
      <c r="N1704" s="210"/>
      <c r="P1704" s="211"/>
    </row>
    <row r="1705" spans="3:16">
      <c r="C1705" s="209"/>
      <c r="G1705" s="210"/>
      <c r="H1705" s="210"/>
      <c r="I1705" s="210"/>
      <c r="J1705" s="210"/>
      <c r="K1705" s="210"/>
      <c r="L1705" s="210"/>
      <c r="M1705" s="210"/>
      <c r="N1705" s="210"/>
      <c r="P1705" s="211"/>
    </row>
    <row r="1706" spans="3:16">
      <c r="C1706" s="209"/>
      <c r="G1706" s="210"/>
      <c r="H1706" s="210"/>
      <c r="I1706" s="210"/>
      <c r="J1706" s="210"/>
      <c r="K1706" s="210"/>
      <c r="L1706" s="210"/>
      <c r="M1706" s="210"/>
      <c r="N1706" s="210"/>
      <c r="P1706" s="211"/>
    </row>
    <row r="1707" spans="3:16">
      <c r="C1707" s="209"/>
      <c r="G1707" s="210"/>
      <c r="H1707" s="210"/>
      <c r="I1707" s="210"/>
      <c r="J1707" s="210"/>
      <c r="K1707" s="210"/>
      <c r="L1707" s="210"/>
      <c r="M1707" s="210"/>
      <c r="N1707" s="210"/>
      <c r="P1707" s="211"/>
    </row>
    <row r="1708" spans="3:16">
      <c r="C1708" s="209"/>
      <c r="G1708" s="210"/>
      <c r="H1708" s="210"/>
      <c r="I1708" s="210"/>
      <c r="J1708" s="210"/>
      <c r="K1708" s="210"/>
      <c r="L1708" s="210"/>
      <c r="M1708" s="210"/>
      <c r="N1708" s="210"/>
      <c r="P1708" s="211"/>
    </row>
    <row r="1709" spans="3:16">
      <c r="C1709" s="209"/>
      <c r="G1709" s="210"/>
      <c r="H1709" s="210"/>
      <c r="I1709" s="210"/>
      <c r="J1709" s="210"/>
      <c r="K1709" s="210"/>
      <c r="L1709" s="210"/>
      <c r="M1709" s="210"/>
      <c r="N1709" s="210"/>
      <c r="P1709" s="211"/>
    </row>
    <row r="1710" spans="3:16">
      <c r="C1710" s="209"/>
      <c r="G1710" s="210"/>
      <c r="H1710" s="210"/>
      <c r="I1710" s="210"/>
      <c r="J1710" s="210"/>
      <c r="K1710" s="210"/>
      <c r="L1710" s="210"/>
      <c r="M1710" s="210"/>
      <c r="N1710" s="210"/>
      <c r="P1710" s="211"/>
    </row>
    <row r="1711" spans="3:16">
      <c r="C1711" s="209"/>
      <c r="G1711" s="210"/>
      <c r="H1711" s="210"/>
      <c r="I1711" s="210"/>
      <c r="J1711" s="210"/>
      <c r="K1711" s="210"/>
      <c r="L1711" s="210"/>
      <c r="M1711" s="210"/>
      <c r="N1711" s="210"/>
      <c r="P1711" s="211"/>
    </row>
    <row r="1712" spans="3:16">
      <c r="C1712" s="209"/>
      <c r="G1712" s="210"/>
      <c r="H1712" s="210"/>
      <c r="I1712" s="210"/>
      <c r="J1712" s="210"/>
      <c r="K1712" s="210"/>
      <c r="L1712" s="210"/>
      <c r="M1712" s="210"/>
      <c r="N1712" s="210"/>
      <c r="P1712" s="211"/>
    </row>
    <row r="1713" spans="3:16">
      <c r="C1713" s="209"/>
      <c r="G1713" s="210"/>
      <c r="H1713" s="210"/>
      <c r="I1713" s="210"/>
      <c r="J1713" s="210"/>
      <c r="K1713" s="210"/>
      <c r="L1713" s="210"/>
      <c r="M1713" s="210"/>
      <c r="N1713" s="210"/>
      <c r="P1713" s="211"/>
    </row>
    <row r="1714" spans="3:16">
      <c r="C1714" s="209"/>
      <c r="G1714" s="210"/>
      <c r="H1714" s="210"/>
      <c r="I1714" s="210"/>
      <c r="J1714" s="210"/>
      <c r="K1714" s="210"/>
      <c r="L1714" s="210"/>
      <c r="M1714" s="210"/>
      <c r="N1714" s="210"/>
      <c r="P1714" s="211"/>
    </row>
    <row r="1715" spans="3:16">
      <c r="C1715" s="209"/>
      <c r="G1715" s="210"/>
      <c r="H1715" s="210"/>
      <c r="I1715" s="210"/>
      <c r="J1715" s="210"/>
      <c r="K1715" s="210"/>
      <c r="L1715" s="210"/>
      <c r="M1715" s="210"/>
      <c r="N1715" s="210"/>
      <c r="P1715" s="211"/>
    </row>
    <row r="1716" spans="3:16">
      <c r="C1716" s="209"/>
      <c r="G1716" s="210"/>
      <c r="H1716" s="210"/>
      <c r="I1716" s="210"/>
      <c r="J1716" s="210"/>
      <c r="K1716" s="210"/>
      <c r="L1716" s="210"/>
      <c r="M1716" s="210"/>
      <c r="N1716" s="210"/>
      <c r="P1716" s="211"/>
    </row>
    <row r="1717" spans="3:16">
      <c r="C1717" s="209"/>
      <c r="G1717" s="210"/>
      <c r="H1717" s="210"/>
      <c r="I1717" s="210"/>
      <c r="J1717" s="210"/>
      <c r="K1717" s="210"/>
      <c r="L1717" s="210"/>
      <c r="M1717" s="210"/>
      <c r="N1717" s="210"/>
      <c r="P1717" s="211"/>
    </row>
    <row r="1718" spans="3:16">
      <c r="C1718" s="209"/>
      <c r="G1718" s="210"/>
      <c r="H1718" s="210"/>
      <c r="I1718" s="210"/>
      <c r="J1718" s="210"/>
      <c r="K1718" s="210"/>
      <c r="L1718" s="210"/>
      <c r="M1718" s="210"/>
      <c r="N1718" s="210"/>
      <c r="P1718" s="211"/>
    </row>
    <row r="1719" spans="3:16">
      <c r="C1719" s="209"/>
      <c r="G1719" s="210"/>
      <c r="H1719" s="210"/>
      <c r="I1719" s="210"/>
      <c r="J1719" s="210"/>
      <c r="K1719" s="210"/>
      <c r="L1719" s="210"/>
      <c r="M1719" s="210"/>
      <c r="N1719" s="210"/>
      <c r="P1719" s="211"/>
    </row>
    <row r="1720" spans="3:16">
      <c r="C1720" s="209"/>
      <c r="G1720" s="210"/>
      <c r="H1720" s="210"/>
      <c r="I1720" s="210"/>
      <c r="J1720" s="210"/>
      <c r="K1720" s="210"/>
      <c r="L1720" s="210"/>
      <c r="M1720" s="210"/>
      <c r="N1720" s="210"/>
      <c r="P1720" s="211"/>
    </row>
    <row r="1721" spans="3:16">
      <c r="C1721" s="209"/>
      <c r="G1721" s="210"/>
      <c r="H1721" s="210"/>
      <c r="I1721" s="210"/>
      <c r="J1721" s="210"/>
      <c r="K1721" s="210"/>
      <c r="L1721" s="210"/>
      <c r="M1721" s="210"/>
      <c r="N1721" s="210"/>
      <c r="P1721" s="211"/>
    </row>
    <row r="1722" spans="3:16">
      <c r="C1722" s="209"/>
      <c r="G1722" s="210"/>
      <c r="H1722" s="210"/>
      <c r="I1722" s="210"/>
      <c r="J1722" s="210"/>
      <c r="K1722" s="210"/>
      <c r="L1722" s="210"/>
      <c r="M1722" s="210"/>
      <c r="N1722" s="210"/>
      <c r="P1722" s="211"/>
    </row>
    <row r="1723" spans="3:16">
      <c r="C1723" s="209"/>
      <c r="G1723" s="210"/>
      <c r="H1723" s="210"/>
      <c r="I1723" s="210"/>
      <c r="J1723" s="210"/>
      <c r="K1723" s="210"/>
      <c r="L1723" s="210"/>
      <c r="M1723" s="210"/>
      <c r="N1723" s="210"/>
      <c r="P1723" s="211"/>
    </row>
    <row r="1724" spans="3:16">
      <c r="C1724" s="209"/>
      <c r="G1724" s="210"/>
      <c r="H1724" s="210"/>
      <c r="I1724" s="210"/>
      <c r="J1724" s="210"/>
      <c r="K1724" s="210"/>
      <c r="L1724" s="210"/>
      <c r="M1724" s="210"/>
      <c r="N1724" s="210"/>
      <c r="P1724" s="211"/>
    </row>
    <row r="1725" spans="3:16">
      <c r="C1725" s="209"/>
      <c r="G1725" s="210"/>
      <c r="H1725" s="210"/>
      <c r="I1725" s="210"/>
      <c r="J1725" s="210"/>
      <c r="K1725" s="210"/>
      <c r="L1725" s="210"/>
      <c r="M1725" s="210"/>
      <c r="N1725" s="210"/>
      <c r="P1725" s="211"/>
    </row>
    <row r="1726" spans="3:16">
      <c r="C1726" s="209"/>
      <c r="G1726" s="210"/>
      <c r="H1726" s="210"/>
      <c r="I1726" s="210"/>
      <c r="J1726" s="210"/>
      <c r="K1726" s="210"/>
      <c r="L1726" s="210"/>
      <c r="M1726" s="210"/>
      <c r="N1726" s="210"/>
      <c r="P1726" s="211"/>
    </row>
    <row r="1727" spans="3:16">
      <c r="C1727" s="209"/>
      <c r="G1727" s="210"/>
      <c r="H1727" s="210"/>
      <c r="I1727" s="210"/>
      <c r="J1727" s="210"/>
      <c r="K1727" s="210"/>
      <c r="L1727" s="210"/>
      <c r="M1727" s="210"/>
      <c r="N1727" s="210"/>
      <c r="P1727" s="211"/>
    </row>
    <row r="1728" spans="3:16">
      <c r="C1728" s="209"/>
      <c r="G1728" s="210"/>
      <c r="H1728" s="210"/>
      <c r="I1728" s="210"/>
      <c r="J1728" s="210"/>
      <c r="K1728" s="210"/>
      <c r="L1728" s="210"/>
      <c r="M1728" s="210"/>
      <c r="N1728" s="210"/>
      <c r="P1728" s="211"/>
    </row>
    <row r="1729" spans="3:16">
      <c r="C1729" s="209"/>
      <c r="G1729" s="210"/>
      <c r="H1729" s="210"/>
      <c r="I1729" s="210"/>
      <c r="J1729" s="210"/>
      <c r="K1729" s="210"/>
      <c r="L1729" s="210"/>
      <c r="M1729" s="210"/>
      <c r="N1729" s="210"/>
      <c r="P1729" s="211"/>
    </row>
    <row r="1730" spans="3:16">
      <c r="C1730" s="209"/>
      <c r="G1730" s="210"/>
      <c r="H1730" s="210"/>
      <c r="I1730" s="210"/>
      <c r="J1730" s="210"/>
      <c r="K1730" s="210"/>
      <c r="L1730" s="210"/>
      <c r="M1730" s="210"/>
      <c r="N1730" s="210"/>
      <c r="P1730" s="211"/>
    </row>
    <row r="1731" spans="3:16">
      <c r="C1731" s="209"/>
      <c r="G1731" s="210"/>
      <c r="H1731" s="210"/>
      <c r="I1731" s="210"/>
      <c r="J1731" s="210"/>
      <c r="K1731" s="210"/>
      <c r="L1731" s="210"/>
      <c r="M1731" s="210"/>
      <c r="N1731" s="210"/>
      <c r="P1731" s="211"/>
    </row>
    <row r="1732" spans="3:16">
      <c r="C1732" s="209"/>
      <c r="G1732" s="210"/>
      <c r="H1732" s="210"/>
      <c r="I1732" s="210"/>
      <c r="J1732" s="210"/>
      <c r="K1732" s="210"/>
      <c r="L1732" s="210"/>
      <c r="M1732" s="210"/>
      <c r="N1732" s="210"/>
      <c r="P1732" s="211"/>
    </row>
    <row r="1733" spans="3:16">
      <c r="C1733" s="209"/>
      <c r="G1733" s="210"/>
      <c r="H1733" s="210"/>
      <c r="I1733" s="210"/>
      <c r="J1733" s="210"/>
      <c r="K1733" s="210"/>
      <c r="L1733" s="210"/>
      <c r="M1733" s="210"/>
      <c r="N1733" s="210"/>
      <c r="P1733" s="211"/>
    </row>
    <row r="1734" spans="3:16">
      <c r="C1734" s="209"/>
      <c r="G1734" s="210"/>
      <c r="H1734" s="210"/>
      <c r="I1734" s="210"/>
      <c r="J1734" s="210"/>
      <c r="K1734" s="210"/>
      <c r="L1734" s="210"/>
      <c r="M1734" s="210"/>
      <c r="N1734" s="210"/>
      <c r="P1734" s="211"/>
    </row>
    <row r="1735" spans="3:16">
      <c r="C1735" s="209"/>
      <c r="G1735" s="210"/>
      <c r="H1735" s="210"/>
      <c r="I1735" s="210"/>
      <c r="J1735" s="210"/>
      <c r="K1735" s="210"/>
      <c r="L1735" s="210"/>
      <c r="M1735" s="210"/>
      <c r="N1735" s="210"/>
      <c r="P1735" s="211"/>
    </row>
    <row r="1736" spans="3:16">
      <c r="C1736" s="209"/>
      <c r="G1736" s="210"/>
      <c r="H1736" s="210"/>
      <c r="I1736" s="210"/>
      <c r="J1736" s="210"/>
      <c r="K1736" s="210"/>
      <c r="L1736" s="210"/>
      <c r="M1736" s="210"/>
      <c r="N1736" s="210"/>
      <c r="P1736" s="211"/>
    </row>
    <row r="1737" spans="3:16">
      <c r="C1737" s="209"/>
      <c r="G1737" s="210"/>
      <c r="H1737" s="210"/>
      <c r="I1737" s="210"/>
      <c r="J1737" s="210"/>
      <c r="K1737" s="210"/>
      <c r="L1737" s="210"/>
      <c r="M1737" s="210"/>
      <c r="N1737" s="210"/>
      <c r="P1737" s="211"/>
    </row>
    <row r="1738" spans="3:16">
      <c r="C1738" s="209"/>
      <c r="G1738" s="210"/>
      <c r="H1738" s="210"/>
      <c r="I1738" s="210"/>
      <c r="J1738" s="210"/>
      <c r="K1738" s="210"/>
      <c r="L1738" s="210"/>
      <c r="M1738" s="210"/>
      <c r="N1738" s="210"/>
      <c r="P1738" s="211"/>
    </row>
    <row r="1739" spans="3:16">
      <c r="C1739" s="209"/>
      <c r="G1739" s="210"/>
      <c r="H1739" s="210"/>
      <c r="I1739" s="210"/>
      <c r="J1739" s="210"/>
      <c r="K1739" s="210"/>
      <c r="L1739" s="210"/>
      <c r="M1739" s="210"/>
      <c r="N1739" s="210"/>
      <c r="P1739" s="211"/>
    </row>
    <row r="1740" spans="3:16">
      <c r="C1740" s="209"/>
      <c r="G1740" s="210"/>
      <c r="H1740" s="210"/>
      <c r="I1740" s="210"/>
      <c r="J1740" s="210"/>
      <c r="K1740" s="210"/>
      <c r="L1740" s="210"/>
      <c r="M1740" s="210"/>
      <c r="N1740" s="210"/>
      <c r="P1740" s="211"/>
    </row>
    <row r="1741" spans="3:16">
      <c r="C1741" s="209"/>
      <c r="G1741" s="210"/>
      <c r="H1741" s="210"/>
      <c r="I1741" s="210"/>
      <c r="J1741" s="210"/>
      <c r="K1741" s="210"/>
      <c r="L1741" s="210"/>
      <c r="M1741" s="210"/>
      <c r="N1741" s="210"/>
      <c r="P1741" s="211"/>
    </row>
    <row r="1742" spans="3:16">
      <c r="C1742" s="209"/>
      <c r="G1742" s="210"/>
      <c r="H1742" s="210"/>
      <c r="I1742" s="210"/>
      <c r="J1742" s="210"/>
      <c r="K1742" s="210"/>
      <c r="L1742" s="210"/>
      <c r="M1742" s="210"/>
      <c r="N1742" s="210"/>
      <c r="P1742" s="211"/>
    </row>
    <row r="1743" spans="3:16">
      <c r="C1743" s="209"/>
      <c r="G1743" s="210"/>
      <c r="H1743" s="210"/>
      <c r="I1743" s="210"/>
      <c r="J1743" s="210"/>
      <c r="K1743" s="210"/>
      <c r="L1743" s="210"/>
      <c r="M1743" s="210"/>
      <c r="N1743" s="210"/>
      <c r="P1743" s="211"/>
    </row>
    <row r="1744" spans="3:16">
      <c r="C1744" s="209"/>
      <c r="G1744" s="210"/>
      <c r="H1744" s="210"/>
      <c r="I1744" s="210"/>
      <c r="J1744" s="210"/>
      <c r="K1744" s="210"/>
      <c r="L1744" s="210"/>
      <c r="M1744" s="210"/>
      <c r="N1744" s="210"/>
      <c r="P1744" s="211"/>
    </row>
    <row r="1745" spans="3:16">
      <c r="C1745" s="209"/>
      <c r="G1745" s="210"/>
      <c r="H1745" s="210"/>
      <c r="I1745" s="210"/>
      <c r="J1745" s="210"/>
      <c r="K1745" s="210"/>
      <c r="L1745" s="210"/>
      <c r="M1745" s="210"/>
      <c r="N1745" s="210"/>
      <c r="P1745" s="211"/>
    </row>
    <row r="1746" spans="3:16">
      <c r="C1746" s="209"/>
      <c r="G1746" s="210"/>
      <c r="H1746" s="210"/>
      <c r="I1746" s="210"/>
      <c r="J1746" s="210"/>
      <c r="K1746" s="210"/>
      <c r="L1746" s="210"/>
      <c r="M1746" s="210"/>
      <c r="N1746" s="210"/>
      <c r="P1746" s="211"/>
    </row>
    <row r="1747" spans="3:16">
      <c r="C1747" s="209"/>
      <c r="G1747" s="210"/>
      <c r="H1747" s="210"/>
      <c r="I1747" s="210"/>
      <c r="J1747" s="210"/>
      <c r="K1747" s="210"/>
      <c r="L1747" s="210"/>
      <c r="M1747" s="210"/>
      <c r="N1747" s="210"/>
      <c r="P1747" s="211"/>
    </row>
    <row r="1748" spans="3:16">
      <c r="C1748" s="209"/>
      <c r="G1748" s="210"/>
      <c r="H1748" s="210"/>
      <c r="I1748" s="210"/>
      <c r="J1748" s="210"/>
      <c r="K1748" s="210"/>
      <c r="L1748" s="210"/>
      <c r="M1748" s="210"/>
      <c r="N1748" s="210"/>
      <c r="P1748" s="211"/>
    </row>
    <row r="1749" spans="3:16">
      <c r="C1749" s="209"/>
      <c r="G1749" s="210"/>
      <c r="H1749" s="210"/>
      <c r="I1749" s="210"/>
      <c r="J1749" s="210"/>
      <c r="K1749" s="210"/>
      <c r="L1749" s="210"/>
      <c r="M1749" s="210"/>
      <c r="N1749" s="210"/>
      <c r="P1749" s="211"/>
    </row>
    <row r="1750" spans="3:16">
      <c r="C1750" s="209"/>
      <c r="G1750" s="210"/>
      <c r="H1750" s="210"/>
      <c r="I1750" s="210"/>
      <c r="J1750" s="210"/>
      <c r="K1750" s="210"/>
      <c r="L1750" s="210"/>
      <c r="M1750" s="210"/>
      <c r="N1750" s="210"/>
      <c r="P1750" s="211"/>
    </row>
    <row r="1751" spans="3:16">
      <c r="C1751" s="209"/>
      <c r="G1751" s="210"/>
      <c r="H1751" s="210"/>
      <c r="I1751" s="210"/>
      <c r="J1751" s="210"/>
      <c r="K1751" s="210"/>
      <c r="L1751" s="210"/>
      <c r="M1751" s="210"/>
      <c r="N1751" s="210"/>
      <c r="P1751" s="211"/>
    </row>
    <row r="1752" spans="3:16">
      <c r="C1752" s="209"/>
      <c r="G1752" s="210"/>
      <c r="H1752" s="210"/>
      <c r="I1752" s="210"/>
      <c r="J1752" s="210"/>
      <c r="K1752" s="210"/>
      <c r="L1752" s="210"/>
      <c r="M1752" s="210"/>
      <c r="N1752" s="210"/>
      <c r="P1752" s="211"/>
    </row>
    <row r="1753" spans="3:16">
      <c r="C1753" s="209"/>
      <c r="G1753" s="210"/>
      <c r="H1753" s="210"/>
      <c r="I1753" s="210"/>
      <c r="J1753" s="210"/>
      <c r="K1753" s="210"/>
      <c r="L1753" s="210"/>
      <c r="M1753" s="210"/>
      <c r="N1753" s="210"/>
      <c r="P1753" s="211"/>
    </row>
    <row r="1754" spans="3:16">
      <c r="C1754" s="209"/>
      <c r="G1754" s="210"/>
      <c r="H1754" s="210"/>
      <c r="I1754" s="210"/>
      <c r="J1754" s="210"/>
      <c r="K1754" s="210"/>
      <c r="L1754" s="210"/>
      <c r="M1754" s="210"/>
      <c r="N1754" s="210"/>
      <c r="P1754" s="211"/>
    </row>
    <row r="1755" spans="3:16">
      <c r="C1755" s="209"/>
      <c r="G1755" s="210"/>
      <c r="H1755" s="210"/>
      <c r="I1755" s="210"/>
      <c r="J1755" s="210"/>
      <c r="K1755" s="210"/>
      <c r="L1755" s="210"/>
      <c r="M1755" s="210"/>
      <c r="N1755" s="210"/>
      <c r="P1755" s="211"/>
    </row>
    <row r="1756" spans="3:16">
      <c r="C1756" s="209"/>
      <c r="G1756" s="210"/>
      <c r="H1756" s="210"/>
      <c r="I1756" s="210"/>
      <c r="J1756" s="210"/>
      <c r="K1756" s="210"/>
      <c r="L1756" s="210"/>
      <c r="M1756" s="210"/>
      <c r="N1756" s="210"/>
      <c r="P1756" s="211"/>
    </row>
    <row r="1757" spans="3:16">
      <c r="C1757" s="209"/>
      <c r="G1757" s="210"/>
      <c r="H1757" s="210"/>
      <c r="I1757" s="210"/>
      <c r="J1757" s="210"/>
      <c r="K1757" s="210"/>
      <c r="L1757" s="210"/>
      <c r="M1757" s="210"/>
      <c r="N1757" s="210"/>
      <c r="P1757" s="211"/>
    </row>
    <row r="1758" spans="3:16">
      <c r="C1758" s="209"/>
      <c r="G1758" s="210"/>
      <c r="H1758" s="210"/>
      <c r="I1758" s="210"/>
      <c r="J1758" s="210"/>
      <c r="K1758" s="210"/>
      <c r="L1758" s="210"/>
      <c r="M1758" s="210"/>
      <c r="N1758" s="210"/>
      <c r="P1758" s="211"/>
    </row>
    <row r="1759" spans="3:16">
      <c r="C1759" s="209"/>
      <c r="G1759" s="210"/>
      <c r="H1759" s="210"/>
      <c r="I1759" s="210"/>
      <c r="J1759" s="210"/>
      <c r="K1759" s="210"/>
      <c r="L1759" s="210"/>
      <c r="M1759" s="210"/>
      <c r="N1759" s="210"/>
      <c r="P1759" s="211"/>
    </row>
    <row r="1760" spans="3:16">
      <c r="C1760" s="209"/>
      <c r="G1760" s="210"/>
      <c r="H1760" s="210"/>
      <c r="I1760" s="210"/>
      <c r="J1760" s="210"/>
      <c r="K1760" s="210"/>
      <c r="L1760" s="210"/>
      <c r="M1760" s="210"/>
      <c r="N1760" s="210"/>
      <c r="P1760" s="211"/>
    </row>
    <row r="1761" spans="3:16">
      <c r="C1761" s="209"/>
      <c r="G1761" s="210"/>
      <c r="H1761" s="210"/>
      <c r="I1761" s="210"/>
      <c r="J1761" s="210"/>
      <c r="K1761" s="210"/>
      <c r="L1761" s="210"/>
      <c r="M1761" s="210"/>
      <c r="N1761" s="210"/>
      <c r="P1761" s="211"/>
    </row>
    <row r="1762" spans="3:16">
      <c r="C1762" s="209"/>
      <c r="G1762" s="210"/>
      <c r="H1762" s="210"/>
      <c r="I1762" s="210"/>
      <c r="J1762" s="210"/>
      <c r="K1762" s="210"/>
      <c r="L1762" s="210"/>
      <c r="M1762" s="210"/>
      <c r="N1762" s="210"/>
      <c r="P1762" s="211"/>
    </row>
    <row r="1763" spans="3:16">
      <c r="C1763" s="209"/>
      <c r="G1763" s="210"/>
      <c r="H1763" s="210"/>
      <c r="I1763" s="210"/>
      <c r="J1763" s="210"/>
      <c r="K1763" s="210"/>
      <c r="L1763" s="210"/>
      <c r="M1763" s="210"/>
      <c r="N1763" s="210"/>
      <c r="P1763" s="211"/>
    </row>
    <row r="1764" spans="3:16">
      <c r="C1764" s="209"/>
      <c r="G1764" s="210"/>
      <c r="H1764" s="210"/>
      <c r="I1764" s="210"/>
      <c r="J1764" s="210"/>
      <c r="K1764" s="210"/>
      <c r="L1764" s="210"/>
      <c r="M1764" s="210"/>
      <c r="N1764" s="210"/>
      <c r="P1764" s="211"/>
    </row>
    <row r="1765" spans="3:16">
      <c r="C1765" s="209"/>
      <c r="G1765" s="210"/>
      <c r="H1765" s="210"/>
      <c r="I1765" s="210"/>
      <c r="J1765" s="210"/>
      <c r="K1765" s="210"/>
      <c r="L1765" s="210"/>
      <c r="M1765" s="210"/>
      <c r="N1765" s="210"/>
      <c r="P1765" s="211"/>
    </row>
    <row r="1766" spans="3:16">
      <c r="C1766" s="209"/>
      <c r="G1766" s="210"/>
      <c r="H1766" s="210"/>
      <c r="I1766" s="210"/>
      <c r="J1766" s="210"/>
      <c r="K1766" s="210"/>
      <c r="L1766" s="210"/>
      <c r="M1766" s="210"/>
      <c r="N1766" s="210"/>
      <c r="P1766" s="211"/>
    </row>
    <row r="1767" spans="3:16">
      <c r="C1767" s="209"/>
      <c r="G1767" s="210"/>
      <c r="H1767" s="210"/>
      <c r="I1767" s="210"/>
      <c r="J1767" s="210"/>
      <c r="K1767" s="210"/>
      <c r="L1767" s="210"/>
      <c r="M1767" s="210"/>
      <c r="N1767" s="210"/>
      <c r="P1767" s="211"/>
    </row>
    <row r="1768" spans="3:16">
      <c r="C1768" s="209"/>
      <c r="G1768" s="210"/>
      <c r="H1768" s="210"/>
      <c r="I1768" s="210"/>
      <c r="J1768" s="210"/>
      <c r="K1768" s="210"/>
      <c r="L1768" s="210"/>
      <c r="M1768" s="210"/>
      <c r="N1768" s="210"/>
      <c r="P1768" s="211"/>
    </row>
    <row r="1769" spans="3:16">
      <c r="C1769" s="209"/>
      <c r="G1769" s="210"/>
      <c r="H1769" s="210"/>
      <c r="I1769" s="210"/>
      <c r="J1769" s="210"/>
      <c r="K1769" s="210"/>
      <c r="L1769" s="210"/>
      <c r="M1769" s="210"/>
      <c r="N1769" s="210"/>
      <c r="P1769" s="211"/>
    </row>
    <row r="1770" spans="3:16">
      <c r="C1770" s="209"/>
      <c r="G1770" s="210"/>
      <c r="H1770" s="210"/>
      <c r="I1770" s="210"/>
      <c r="J1770" s="210"/>
      <c r="K1770" s="210"/>
      <c r="L1770" s="210"/>
      <c r="M1770" s="210"/>
      <c r="N1770" s="210"/>
      <c r="P1770" s="211"/>
    </row>
    <row r="1771" spans="3:16">
      <c r="C1771" s="209"/>
      <c r="G1771" s="210"/>
      <c r="H1771" s="210"/>
      <c r="I1771" s="210"/>
      <c r="J1771" s="210"/>
      <c r="K1771" s="210"/>
      <c r="L1771" s="210"/>
      <c r="M1771" s="210"/>
      <c r="N1771" s="210"/>
      <c r="P1771" s="211"/>
    </row>
    <row r="1772" spans="3:16">
      <c r="C1772" s="209"/>
      <c r="G1772" s="210"/>
      <c r="H1772" s="210"/>
      <c r="I1772" s="210"/>
      <c r="J1772" s="210"/>
      <c r="K1772" s="210"/>
      <c r="L1772" s="210"/>
      <c r="M1772" s="210"/>
      <c r="N1772" s="210"/>
      <c r="P1772" s="211"/>
    </row>
    <row r="1773" spans="3:16">
      <c r="C1773" s="209"/>
      <c r="G1773" s="210"/>
      <c r="H1773" s="210"/>
      <c r="I1773" s="210"/>
      <c r="J1773" s="210"/>
      <c r="K1773" s="210"/>
      <c r="L1773" s="210"/>
      <c r="M1773" s="210"/>
      <c r="N1773" s="210"/>
      <c r="P1773" s="211"/>
    </row>
    <row r="1774" spans="3:16">
      <c r="C1774" s="209"/>
      <c r="G1774" s="210"/>
      <c r="H1774" s="210"/>
      <c r="I1774" s="210"/>
      <c r="J1774" s="210"/>
      <c r="K1774" s="210"/>
      <c r="L1774" s="210"/>
      <c r="M1774" s="210"/>
      <c r="N1774" s="210"/>
      <c r="P1774" s="211"/>
    </row>
    <row r="1775" spans="3:16">
      <c r="C1775" s="209"/>
      <c r="G1775" s="210"/>
      <c r="H1775" s="210"/>
      <c r="I1775" s="210"/>
      <c r="J1775" s="210"/>
      <c r="K1775" s="210"/>
      <c r="L1775" s="210"/>
      <c r="M1775" s="210"/>
      <c r="N1775" s="210"/>
      <c r="P1775" s="211"/>
    </row>
    <row r="1776" spans="3:16">
      <c r="C1776" s="209"/>
      <c r="G1776" s="210"/>
      <c r="H1776" s="210"/>
      <c r="I1776" s="210"/>
      <c r="J1776" s="210"/>
      <c r="K1776" s="210"/>
      <c r="L1776" s="210"/>
      <c r="M1776" s="210"/>
      <c r="N1776" s="210"/>
      <c r="P1776" s="211"/>
    </row>
    <row r="1777" spans="3:16">
      <c r="C1777" s="209"/>
      <c r="G1777" s="210"/>
      <c r="H1777" s="210"/>
      <c r="I1777" s="210"/>
      <c r="J1777" s="210"/>
      <c r="K1777" s="210"/>
      <c r="L1777" s="210"/>
      <c r="M1777" s="210"/>
      <c r="N1777" s="210"/>
      <c r="P1777" s="211"/>
    </row>
    <row r="1778" spans="3:16">
      <c r="C1778" s="209"/>
      <c r="G1778" s="210"/>
      <c r="H1778" s="210"/>
      <c r="I1778" s="210"/>
      <c r="J1778" s="210"/>
      <c r="K1778" s="210"/>
      <c r="L1778" s="210"/>
      <c r="M1778" s="210"/>
      <c r="N1778" s="210"/>
      <c r="P1778" s="211"/>
    </row>
    <row r="1779" spans="3:16">
      <c r="C1779" s="209"/>
      <c r="G1779" s="210"/>
      <c r="H1779" s="210"/>
      <c r="I1779" s="210"/>
      <c r="J1779" s="210"/>
      <c r="K1779" s="210"/>
      <c r="L1779" s="210"/>
      <c r="M1779" s="210"/>
      <c r="N1779" s="210"/>
      <c r="P1779" s="211"/>
    </row>
    <row r="1780" spans="3:16">
      <c r="C1780" s="209"/>
      <c r="G1780" s="210"/>
      <c r="H1780" s="210"/>
      <c r="I1780" s="210"/>
      <c r="J1780" s="210"/>
      <c r="K1780" s="210"/>
      <c r="L1780" s="210"/>
      <c r="M1780" s="210"/>
      <c r="N1780" s="210"/>
      <c r="P1780" s="211"/>
    </row>
    <row r="1781" spans="3:16">
      <c r="C1781" s="209"/>
      <c r="G1781" s="210"/>
      <c r="H1781" s="210"/>
      <c r="I1781" s="210"/>
      <c r="J1781" s="210"/>
      <c r="K1781" s="210"/>
      <c r="L1781" s="210"/>
      <c r="M1781" s="210"/>
      <c r="N1781" s="210"/>
      <c r="P1781" s="211"/>
    </row>
    <row r="1782" spans="3:16">
      <c r="C1782" s="209"/>
      <c r="G1782" s="210"/>
      <c r="H1782" s="210"/>
      <c r="I1782" s="210"/>
      <c r="J1782" s="210"/>
      <c r="K1782" s="210"/>
      <c r="L1782" s="210"/>
      <c r="M1782" s="210"/>
      <c r="N1782" s="210"/>
      <c r="P1782" s="211"/>
    </row>
    <row r="1783" spans="3:16">
      <c r="C1783" s="209"/>
      <c r="G1783" s="210"/>
      <c r="H1783" s="210"/>
      <c r="I1783" s="210"/>
      <c r="J1783" s="210"/>
      <c r="K1783" s="210"/>
      <c r="L1783" s="210"/>
      <c r="M1783" s="210"/>
      <c r="N1783" s="210"/>
      <c r="P1783" s="211"/>
    </row>
    <row r="1784" spans="3:16">
      <c r="C1784" s="209"/>
      <c r="G1784" s="210"/>
      <c r="H1784" s="210"/>
      <c r="I1784" s="210"/>
      <c r="J1784" s="210"/>
      <c r="K1784" s="210"/>
      <c r="L1784" s="210"/>
      <c r="M1784" s="210"/>
      <c r="N1784" s="210"/>
      <c r="P1784" s="211"/>
    </row>
    <row r="1785" spans="3:16">
      <c r="C1785" s="209"/>
      <c r="G1785" s="210"/>
      <c r="H1785" s="210"/>
      <c r="I1785" s="210"/>
      <c r="J1785" s="210"/>
      <c r="K1785" s="210"/>
      <c r="L1785" s="210"/>
      <c r="M1785" s="210"/>
      <c r="N1785" s="210"/>
      <c r="P1785" s="211"/>
    </row>
    <row r="1786" spans="3:16">
      <c r="C1786" s="209"/>
      <c r="G1786" s="210"/>
      <c r="H1786" s="210"/>
      <c r="I1786" s="210"/>
      <c r="J1786" s="210"/>
      <c r="K1786" s="210"/>
      <c r="L1786" s="210"/>
      <c r="M1786" s="210"/>
      <c r="N1786" s="210"/>
      <c r="P1786" s="211"/>
    </row>
    <row r="1787" spans="3:16">
      <c r="C1787" s="209"/>
      <c r="G1787" s="210"/>
      <c r="H1787" s="210"/>
      <c r="I1787" s="210"/>
      <c r="J1787" s="210"/>
      <c r="K1787" s="210"/>
      <c r="L1787" s="210"/>
      <c r="M1787" s="210"/>
      <c r="N1787" s="210"/>
      <c r="P1787" s="211"/>
    </row>
    <row r="1788" spans="3:16">
      <c r="C1788" s="209"/>
      <c r="G1788" s="210"/>
      <c r="H1788" s="210"/>
      <c r="I1788" s="210"/>
      <c r="J1788" s="210"/>
      <c r="K1788" s="210"/>
      <c r="L1788" s="210"/>
      <c r="M1788" s="210"/>
      <c r="N1788" s="210"/>
      <c r="P1788" s="211"/>
    </row>
    <row r="1789" spans="3:16">
      <c r="C1789" s="209"/>
      <c r="G1789" s="210"/>
      <c r="H1789" s="210"/>
      <c r="I1789" s="210"/>
      <c r="J1789" s="210"/>
      <c r="K1789" s="210"/>
      <c r="L1789" s="210"/>
      <c r="M1789" s="210"/>
      <c r="N1789" s="210"/>
      <c r="P1789" s="211"/>
    </row>
    <row r="1790" spans="3:16">
      <c r="C1790" s="209"/>
      <c r="G1790" s="210"/>
      <c r="H1790" s="210"/>
      <c r="I1790" s="210"/>
      <c r="J1790" s="210"/>
      <c r="K1790" s="210"/>
      <c r="L1790" s="210"/>
      <c r="M1790" s="210"/>
      <c r="N1790" s="210"/>
      <c r="P1790" s="211"/>
    </row>
    <row r="1791" spans="3:16">
      <c r="C1791" s="209"/>
      <c r="G1791" s="210"/>
      <c r="H1791" s="210"/>
      <c r="I1791" s="210"/>
      <c r="J1791" s="210"/>
      <c r="K1791" s="210"/>
      <c r="L1791" s="210"/>
      <c r="M1791" s="210"/>
      <c r="N1791" s="210"/>
      <c r="P1791" s="211"/>
    </row>
    <row r="1792" spans="3:16">
      <c r="C1792" s="209"/>
      <c r="G1792" s="210"/>
      <c r="H1792" s="210"/>
      <c r="I1792" s="210"/>
      <c r="J1792" s="210"/>
      <c r="K1792" s="210"/>
      <c r="L1792" s="210"/>
      <c r="M1792" s="210"/>
      <c r="N1792" s="210"/>
      <c r="P1792" s="211"/>
    </row>
    <row r="1793" spans="3:16">
      <c r="C1793" s="209"/>
      <c r="G1793" s="210"/>
      <c r="H1793" s="210"/>
      <c r="I1793" s="210"/>
      <c r="J1793" s="210"/>
      <c r="K1793" s="210"/>
      <c r="L1793" s="210"/>
      <c r="M1793" s="210"/>
      <c r="N1793" s="210"/>
      <c r="P1793" s="211"/>
    </row>
    <row r="1794" spans="3:16">
      <c r="C1794" s="209"/>
      <c r="G1794" s="210"/>
      <c r="H1794" s="210"/>
      <c r="I1794" s="210"/>
      <c r="J1794" s="210"/>
      <c r="K1794" s="210"/>
      <c r="L1794" s="210"/>
      <c r="M1794" s="210"/>
      <c r="N1794" s="210"/>
      <c r="P1794" s="211"/>
    </row>
    <row r="1795" spans="3:16">
      <c r="C1795" s="209"/>
      <c r="G1795" s="210"/>
      <c r="H1795" s="210"/>
      <c r="I1795" s="210"/>
      <c r="J1795" s="210"/>
      <c r="K1795" s="210"/>
      <c r="L1795" s="210"/>
      <c r="M1795" s="210"/>
      <c r="N1795" s="210"/>
      <c r="P1795" s="211"/>
    </row>
    <row r="1796" spans="3:16">
      <c r="C1796" s="209"/>
      <c r="G1796" s="210"/>
      <c r="H1796" s="210"/>
      <c r="I1796" s="210"/>
      <c r="J1796" s="210"/>
      <c r="K1796" s="210"/>
      <c r="L1796" s="210"/>
      <c r="M1796" s="210"/>
      <c r="N1796" s="210"/>
      <c r="P1796" s="211"/>
    </row>
    <row r="1797" spans="3:16">
      <c r="C1797" s="209"/>
      <c r="G1797" s="210"/>
      <c r="H1797" s="210"/>
      <c r="I1797" s="210"/>
      <c r="J1797" s="210"/>
      <c r="K1797" s="210"/>
      <c r="L1797" s="210"/>
      <c r="M1797" s="210"/>
      <c r="N1797" s="210"/>
      <c r="P1797" s="211"/>
    </row>
    <row r="1798" spans="3:16">
      <c r="C1798" s="209"/>
      <c r="G1798" s="210"/>
      <c r="H1798" s="210"/>
      <c r="I1798" s="210"/>
      <c r="J1798" s="210"/>
      <c r="K1798" s="210"/>
      <c r="L1798" s="210"/>
      <c r="M1798" s="210"/>
      <c r="N1798" s="210"/>
      <c r="P1798" s="211"/>
    </row>
    <row r="1799" spans="3:16">
      <c r="C1799" s="209"/>
      <c r="G1799" s="210"/>
      <c r="H1799" s="210"/>
      <c r="I1799" s="210"/>
      <c r="J1799" s="210"/>
      <c r="K1799" s="210"/>
      <c r="L1799" s="210"/>
      <c r="M1799" s="210"/>
      <c r="N1799" s="210"/>
      <c r="P1799" s="211"/>
    </row>
    <row r="1800" spans="3:16">
      <c r="C1800" s="209"/>
      <c r="G1800" s="210"/>
      <c r="H1800" s="210"/>
      <c r="I1800" s="210"/>
      <c r="J1800" s="210"/>
      <c r="K1800" s="210"/>
      <c r="L1800" s="210"/>
      <c r="M1800" s="210"/>
      <c r="N1800" s="210"/>
      <c r="P1800" s="211"/>
    </row>
    <row r="1801" spans="3:16">
      <c r="C1801" s="209"/>
      <c r="G1801" s="210"/>
      <c r="H1801" s="210"/>
      <c r="I1801" s="210"/>
      <c r="J1801" s="210"/>
      <c r="K1801" s="210"/>
      <c r="L1801" s="210"/>
      <c r="M1801" s="210"/>
      <c r="N1801" s="210"/>
      <c r="P1801" s="211"/>
    </row>
    <row r="1802" spans="3:16">
      <c r="C1802" s="209"/>
      <c r="G1802" s="210"/>
      <c r="H1802" s="210"/>
      <c r="I1802" s="210"/>
      <c r="J1802" s="210"/>
      <c r="K1802" s="210"/>
      <c r="L1802" s="210"/>
      <c r="M1802" s="210"/>
      <c r="N1802" s="210"/>
      <c r="P1802" s="211"/>
    </row>
    <row r="1803" spans="3:16">
      <c r="C1803" s="209"/>
      <c r="G1803" s="210"/>
      <c r="H1803" s="210"/>
      <c r="I1803" s="210"/>
      <c r="J1803" s="210"/>
      <c r="K1803" s="210"/>
      <c r="L1803" s="210"/>
      <c r="M1803" s="210"/>
      <c r="N1803" s="210"/>
      <c r="P1803" s="211"/>
    </row>
    <row r="1804" spans="3:16">
      <c r="C1804" s="209"/>
      <c r="G1804" s="210"/>
      <c r="H1804" s="210"/>
      <c r="I1804" s="210"/>
      <c r="J1804" s="210"/>
      <c r="K1804" s="210"/>
      <c r="L1804" s="210"/>
      <c r="M1804" s="210"/>
      <c r="N1804" s="210"/>
      <c r="P1804" s="211"/>
    </row>
    <row r="1805" spans="3:16">
      <c r="C1805" s="209"/>
      <c r="G1805" s="210"/>
      <c r="H1805" s="210"/>
      <c r="I1805" s="210"/>
      <c r="J1805" s="210"/>
      <c r="K1805" s="210"/>
      <c r="L1805" s="210"/>
      <c r="M1805" s="210"/>
      <c r="N1805" s="210"/>
      <c r="P1805" s="211"/>
    </row>
    <row r="1806" spans="3:16">
      <c r="C1806" s="209"/>
      <c r="G1806" s="210"/>
      <c r="H1806" s="210"/>
      <c r="I1806" s="210"/>
      <c r="J1806" s="210"/>
      <c r="K1806" s="210"/>
      <c r="L1806" s="210"/>
      <c r="M1806" s="210"/>
      <c r="N1806" s="210"/>
      <c r="P1806" s="211"/>
    </row>
    <row r="1807" spans="3:16">
      <c r="C1807" s="209"/>
      <c r="G1807" s="210"/>
      <c r="H1807" s="210"/>
      <c r="I1807" s="210"/>
      <c r="J1807" s="210"/>
      <c r="K1807" s="210"/>
      <c r="L1807" s="210"/>
      <c r="M1807" s="210"/>
      <c r="N1807" s="210"/>
      <c r="P1807" s="211"/>
    </row>
    <row r="1808" spans="3:16">
      <c r="C1808" s="209"/>
      <c r="G1808" s="210"/>
      <c r="H1808" s="210"/>
      <c r="I1808" s="210"/>
      <c r="J1808" s="210"/>
      <c r="K1808" s="210"/>
      <c r="L1808" s="210"/>
      <c r="M1808" s="210"/>
      <c r="N1808" s="210"/>
      <c r="P1808" s="211"/>
    </row>
    <row r="1809" spans="3:16">
      <c r="C1809" s="209"/>
      <c r="G1809" s="210"/>
      <c r="H1809" s="210"/>
      <c r="I1809" s="210"/>
      <c r="J1809" s="210"/>
      <c r="K1809" s="210"/>
      <c r="L1809" s="210"/>
      <c r="M1809" s="210"/>
      <c r="N1809" s="210"/>
      <c r="P1809" s="211"/>
    </row>
    <row r="1810" spans="3:16">
      <c r="C1810" s="209"/>
      <c r="G1810" s="210"/>
      <c r="H1810" s="210"/>
      <c r="I1810" s="210"/>
      <c r="J1810" s="210"/>
      <c r="K1810" s="210"/>
      <c r="L1810" s="210"/>
      <c r="M1810" s="210"/>
      <c r="N1810" s="210"/>
      <c r="P1810" s="211"/>
    </row>
    <row r="1811" spans="3:16">
      <c r="C1811" s="209"/>
      <c r="G1811" s="210"/>
      <c r="H1811" s="210"/>
      <c r="I1811" s="210"/>
      <c r="J1811" s="210"/>
      <c r="K1811" s="210"/>
      <c r="L1811" s="210"/>
      <c r="M1811" s="210"/>
      <c r="N1811" s="210"/>
      <c r="P1811" s="211"/>
    </row>
    <row r="1812" spans="3:16">
      <c r="C1812" s="209"/>
      <c r="G1812" s="210"/>
      <c r="H1812" s="210"/>
      <c r="I1812" s="210"/>
      <c r="J1812" s="210"/>
      <c r="K1812" s="210"/>
      <c r="L1812" s="210"/>
      <c r="M1812" s="210"/>
      <c r="N1812" s="210"/>
      <c r="P1812" s="211"/>
    </row>
    <row r="1813" spans="3:16">
      <c r="C1813" s="209"/>
      <c r="G1813" s="210"/>
      <c r="H1813" s="210"/>
      <c r="I1813" s="210"/>
      <c r="J1813" s="210"/>
      <c r="K1813" s="210"/>
      <c r="L1813" s="210"/>
      <c r="M1813" s="210"/>
      <c r="N1813" s="210"/>
      <c r="P1813" s="211"/>
    </row>
    <row r="1814" spans="3:16">
      <c r="C1814" s="209"/>
      <c r="G1814" s="210"/>
      <c r="H1814" s="210"/>
      <c r="I1814" s="210"/>
      <c r="J1814" s="210"/>
      <c r="K1814" s="210"/>
      <c r="L1814" s="210"/>
      <c r="M1814" s="210"/>
      <c r="N1814" s="210"/>
      <c r="P1814" s="211"/>
    </row>
    <row r="1815" spans="3:16">
      <c r="C1815" s="209"/>
      <c r="G1815" s="210"/>
      <c r="H1815" s="210"/>
      <c r="I1815" s="210"/>
      <c r="J1815" s="210"/>
      <c r="K1815" s="210"/>
      <c r="L1815" s="210"/>
      <c r="M1815" s="210"/>
      <c r="N1815" s="210"/>
      <c r="P1815" s="211"/>
    </row>
    <row r="1816" spans="3:16">
      <c r="C1816" s="209"/>
      <c r="G1816" s="210"/>
      <c r="H1816" s="210"/>
      <c r="I1816" s="210"/>
      <c r="J1816" s="210"/>
      <c r="K1816" s="210"/>
      <c r="L1816" s="210"/>
      <c r="M1816" s="210"/>
      <c r="N1816" s="210"/>
      <c r="P1816" s="211"/>
    </row>
    <row r="1817" spans="3:16">
      <c r="C1817" s="209"/>
      <c r="G1817" s="210"/>
      <c r="H1817" s="210"/>
      <c r="I1817" s="210"/>
      <c r="J1817" s="210"/>
      <c r="K1817" s="210"/>
      <c r="L1817" s="210"/>
      <c r="M1817" s="210"/>
      <c r="N1817" s="210"/>
      <c r="P1817" s="211"/>
    </row>
    <row r="1818" spans="3:16">
      <c r="C1818" s="209"/>
      <c r="G1818" s="210"/>
      <c r="H1818" s="210"/>
      <c r="I1818" s="210"/>
      <c r="J1818" s="210"/>
      <c r="K1818" s="210"/>
      <c r="L1818" s="210"/>
      <c r="M1818" s="210"/>
      <c r="N1818" s="210"/>
      <c r="P1818" s="211"/>
    </row>
    <row r="1819" spans="3:16">
      <c r="C1819" s="209"/>
      <c r="G1819" s="210"/>
      <c r="H1819" s="210"/>
      <c r="I1819" s="210"/>
      <c r="J1819" s="210"/>
      <c r="K1819" s="210"/>
      <c r="L1819" s="210"/>
      <c r="M1819" s="210"/>
      <c r="N1819" s="210"/>
      <c r="P1819" s="211"/>
    </row>
    <row r="1820" spans="3:16">
      <c r="C1820" s="209"/>
      <c r="G1820" s="210"/>
      <c r="H1820" s="210"/>
      <c r="I1820" s="210"/>
      <c r="J1820" s="210"/>
      <c r="K1820" s="210"/>
      <c r="L1820" s="210"/>
      <c r="M1820" s="210"/>
      <c r="N1820" s="210"/>
      <c r="P1820" s="211"/>
    </row>
    <row r="1821" spans="3:16">
      <c r="C1821" s="209"/>
      <c r="G1821" s="210"/>
      <c r="H1821" s="210"/>
      <c r="I1821" s="210"/>
      <c r="J1821" s="210"/>
      <c r="K1821" s="210"/>
      <c r="L1821" s="210"/>
      <c r="M1821" s="210"/>
      <c r="N1821" s="210"/>
      <c r="P1821" s="211"/>
    </row>
    <row r="1822" spans="3:16">
      <c r="C1822" s="209"/>
      <c r="G1822" s="210"/>
      <c r="H1822" s="210"/>
      <c r="I1822" s="210"/>
      <c r="J1822" s="210"/>
      <c r="K1822" s="210"/>
      <c r="L1822" s="210"/>
      <c r="M1822" s="210"/>
      <c r="N1822" s="210"/>
      <c r="P1822" s="211"/>
    </row>
    <row r="1823" spans="3:16">
      <c r="C1823" s="209"/>
      <c r="G1823" s="210"/>
      <c r="H1823" s="210"/>
      <c r="I1823" s="210"/>
      <c r="J1823" s="210"/>
      <c r="K1823" s="210"/>
      <c r="L1823" s="210"/>
      <c r="M1823" s="210"/>
      <c r="N1823" s="210"/>
      <c r="P1823" s="211"/>
    </row>
    <row r="1824" spans="3:16">
      <c r="C1824" s="209"/>
      <c r="G1824" s="210"/>
      <c r="H1824" s="210"/>
      <c r="I1824" s="210"/>
      <c r="J1824" s="210"/>
      <c r="K1824" s="210"/>
      <c r="L1824" s="210"/>
      <c r="M1824" s="210"/>
      <c r="N1824" s="210"/>
      <c r="P1824" s="211"/>
    </row>
    <row r="1825" spans="3:16">
      <c r="C1825" s="209"/>
      <c r="G1825" s="210"/>
      <c r="H1825" s="210"/>
      <c r="I1825" s="210"/>
      <c r="J1825" s="210"/>
      <c r="K1825" s="210"/>
      <c r="L1825" s="210"/>
      <c r="M1825" s="210"/>
      <c r="N1825" s="210"/>
      <c r="P1825" s="211"/>
    </row>
    <row r="1826" spans="3:16">
      <c r="C1826" s="209"/>
      <c r="G1826" s="210"/>
      <c r="H1826" s="210"/>
      <c r="I1826" s="210"/>
      <c r="J1826" s="210"/>
      <c r="K1826" s="210"/>
      <c r="L1826" s="210"/>
      <c r="M1826" s="210"/>
      <c r="N1826" s="210"/>
      <c r="P1826" s="211"/>
    </row>
    <row r="1827" spans="3:16">
      <c r="C1827" s="209"/>
      <c r="G1827" s="210"/>
      <c r="H1827" s="210"/>
      <c r="I1827" s="210"/>
      <c r="J1827" s="210"/>
      <c r="K1827" s="210"/>
      <c r="L1827" s="210"/>
      <c r="M1827" s="210"/>
      <c r="N1827" s="210"/>
      <c r="P1827" s="211"/>
    </row>
    <row r="1828" spans="3:16">
      <c r="C1828" s="209"/>
      <c r="G1828" s="210"/>
      <c r="H1828" s="210"/>
      <c r="I1828" s="210"/>
      <c r="J1828" s="210"/>
      <c r="K1828" s="210"/>
      <c r="L1828" s="210"/>
      <c r="M1828" s="210"/>
      <c r="N1828" s="210"/>
      <c r="P1828" s="211"/>
    </row>
    <row r="1829" spans="3:16">
      <c r="C1829" s="209"/>
      <c r="G1829" s="210"/>
      <c r="H1829" s="210"/>
      <c r="I1829" s="210"/>
      <c r="J1829" s="210"/>
      <c r="K1829" s="210"/>
      <c r="L1829" s="210"/>
      <c r="M1829" s="210"/>
      <c r="N1829" s="210"/>
      <c r="P1829" s="211"/>
    </row>
    <row r="1830" spans="3:16">
      <c r="C1830" s="209"/>
      <c r="G1830" s="210"/>
      <c r="H1830" s="210"/>
      <c r="I1830" s="210"/>
      <c r="J1830" s="210"/>
      <c r="K1830" s="210"/>
      <c r="L1830" s="210"/>
      <c r="M1830" s="210"/>
      <c r="N1830" s="210"/>
      <c r="P1830" s="211"/>
    </row>
    <row r="1831" spans="3:16">
      <c r="C1831" s="209"/>
      <c r="G1831" s="210"/>
      <c r="H1831" s="210"/>
      <c r="I1831" s="210"/>
      <c r="J1831" s="210"/>
      <c r="K1831" s="210"/>
      <c r="L1831" s="210"/>
      <c r="M1831" s="210"/>
      <c r="N1831" s="210"/>
      <c r="P1831" s="211"/>
    </row>
    <row r="1832" spans="3:16">
      <c r="C1832" s="209"/>
      <c r="G1832" s="210"/>
      <c r="H1832" s="210"/>
      <c r="I1832" s="210"/>
      <c r="J1832" s="210"/>
      <c r="K1832" s="210"/>
      <c r="L1832" s="210"/>
      <c r="M1832" s="210"/>
      <c r="N1832" s="210"/>
      <c r="P1832" s="211"/>
    </row>
    <row r="1833" spans="3:16">
      <c r="C1833" s="209"/>
      <c r="G1833" s="210"/>
      <c r="H1833" s="210"/>
      <c r="I1833" s="210"/>
      <c r="J1833" s="210"/>
      <c r="K1833" s="210"/>
      <c r="L1833" s="210"/>
      <c r="M1833" s="210"/>
      <c r="N1833" s="210"/>
      <c r="P1833" s="211"/>
    </row>
    <row r="1834" spans="3:16">
      <c r="C1834" s="209"/>
      <c r="G1834" s="210"/>
      <c r="H1834" s="210"/>
      <c r="I1834" s="210"/>
      <c r="J1834" s="210"/>
      <c r="K1834" s="210"/>
      <c r="L1834" s="210"/>
      <c r="M1834" s="210"/>
      <c r="N1834" s="210"/>
      <c r="P1834" s="211"/>
    </row>
    <row r="1835" spans="3:16">
      <c r="C1835" s="209"/>
      <c r="G1835" s="210"/>
      <c r="H1835" s="210"/>
      <c r="I1835" s="210"/>
      <c r="J1835" s="210"/>
      <c r="K1835" s="210"/>
      <c r="L1835" s="210"/>
      <c r="M1835" s="210"/>
      <c r="N1835" s="210"/>
      <c r="P1835" s="211"/>
    </row>
    <row r="1836" spans="3:16">
      <c r="C1836" s="209"/>
      <c r="G1836" s="210"/>
      <c r="H1836" s="210"/>
      <c r="I1836" s="210"/>
      <c r="J1836" s="210"/>
      <c r="K1836" s="210"/>
      <c r="L1836" s="210"/>
      <c r="M1836" s="210"/>
      <c r="N1836" s="210"/>
      <c r="P1836" s="211"/>
    </row>
    <row r="1837" spans="3:16">
      <c r="C1837" s="209"/>
      <c r="G1837" s="210"/>
      <c r="H1837" s="210"/>
      <c r="I1837" s="210"/>
      <c r="J1837" s="210"/>
      <c r="K1837" s="210"/>
      <c r="L1837" s="210"/>
      <c r="M1837" s="210"/>
      <c r="N1837" s="210"/>
      <c r="P1837" s="211"/>
    </row>
    <row r="1838" spans="3:16">
      <c r="C1838" s="209"/>
      <c r="G1838" s="210"/>
      <c r="H1838" s="210"/>
      <c r="I1838" s="210"/>
      <c r="J1838" s="210"/>
      <c r="K1838" s="210"/>
      <c r="L1838" s="210"/>
      <c r="M1838" s="210"/>
      <c r="N1838" s="210"/>
      <c r="P1838" s="211"/>
    </row>
    <row r="1839" spans="3:16">
      <c r="C1839" s="209"/>
      <c r="G1839" s="210"/>
      <c r="H1839" s="210"/>
      <c r="I1839" s="210"/>
      <c r="J1839" s="210"/>
      <c r="K1839" s="210"/>
      <c r="L1839" s="210"/>
      <c r="M1839" s="210"/>
      <c r="N1839" s="210"/>
      <c r="P1839" s="211"/>
    </row>
    <row r="1840" spans="3:16">
      <c r="C1840" s="209"/>
      <c r="G1840" s="210"/>
      <c r="H1840" s="210"/>
      <c r="I1840" s="210"/>
      <c r="J1840" s="210"/>
      <c r="K1840" s="210"/>
      <c r="L1840" s="210"/>
      <c r="M1840" s="210"/>
      <c r="N1840" s="210"/>
      <c r="P1840" s="211"/>
    </row>
    <row r="1841" spans="3:16">
      <c r="C1841" s="209"/>
      <c r="G1841" s="210"/>
      <c r="H1841" s="210"/>
      <c r="I1841" s="210"/>
      <c r="J1841" s="210"/>
      <c r="K1841" s="210"/>
      <c r="L1841" s="210"/>
      <c r="M1841" s="210"/>
      <c r="N1841" s="210"/>
      <c r="P1841" s="211"/>
    </row>
    <row r="1842" spans="3:16">
      <c r="C1842" s="209"/>
      <c r="G1842" s="210"/>
      <c r="H1842" s="210"/>
      <c r="I1842" s="210"/>
      <c r="J1842" s="210"/>
      <c r="K1842" s="210"/>
      <c r="L1842" s="210"/>
      <c r="M1842" s="210"/>
      <c r="N1842" s="210"/>
      <c r="P1842" s="211"/>
    </row>
    <row r="1843" spans="3:16">
      <c r="C1843" s="209"/>
      <c r="G1843" s="210"/>
      <c r="H1843" s="210"/>
      <c r="I1843" s="210"/>
      <c r="J1843" s="210"/>
      <c r="K1843" s="210"/>
      <c r="L1843" s="210"/>
      <c r="M1843" s="210"/>
      <c r="N1843" s="210"/>
      <c r="P1843" s="211"/>
    </row>
    <row r="1844" spans="3:16">
      <c r="C1844" s="209"/>
      <c r="G1844" s="210"/>
      <c r="H1844" s="210"/>
      <c r="I1844" s="210"/>
      <c r="J1844" s="210"/>
      <c r="K1844" s="210"/>
      <c r="L1844" s="210"/>
      <c r="M1844" s="210"/>
      <c r="N1844" s="210"/>
      <c r="P1844" s="211"/>
    </row>
    <row r="1845" spans="3:16">
      <c r="C1845" s="209"/>
      <c r="G1845" s="210"/>
      <c r="H1845" s="210"/>
      <c r="I1845" s="210"/>
      <c r="J1845" s="210"/>
      <c r="K1845" s="210"/>
      <c r="L1845" s="210"/>
      <c r="M1845" s="210"/>
      <c r="N1845" s="210"/>
      <c r="P1845" s="211"/>
    </row>
    <row r="1846" spans="3:16">
      <c r="C1846" s="209"/>
      <c r="G1846" s="210"/>
      <c r="H1846" s="210"/>
      <c r="I1846" s="210"/>
      <c r="J1846" s="210"/>
      <c r="K1846" s="210"/>
      <c r="L1846" s="210"/>
      <c r="M1846" s="210"/>
      <c r="N1846" s="210"/>
      <c r="P1846" s="211"/>
    </row>
    <row r="1847" spans="3:16">
      <c r="C1847" s="209"/>
      <c r="G1847" s="210"/>
      <c r="H1847" s="210"/>
      <c r="I1847" s="210"/>
      <c r="J1847" s="210"/>
      <c r="K1847" s="210"/>
      <c r="L1847" s="210"/>
      <c r="M1847" s="210"/>
      <c r="N1847" s="210"/>
      <c r="P1847" s="211"/>
    </row>
    <row r="1848" spans="3:16">
      <c r="C1848" s="209"/>
      <c r="G1848" s="210"/>
      <c r="H1848" s="210"/>
      <c r="I1848" s="210"/>
      <c r="J1848" s="210"/>
      <c r="K1848" s="210"/>
      <c r="L1848" s="210"/>
      <c r="M1848" s="210"/>
      <c r="N1848" s="210"/>
      <c r="P1848" s="211"/>
    </row>
    <row r="1849" spans="3:16">
      <c r="C1849" s="209"/>
      <c r="G1849" s="210"/>
      <c r="H1849" s="210"/>
      <c r="I1849" s="210"/>
      <c r="J1849" s="210"/>
      <c r="K1849" s="210"/>
      <c r="L1849" s="210"/>
      <c r="M1849" s="210"/>
      <c r="N1849" s="210"/>
      <c r="P1849" s="211"/>
    </row>
    <row r="1850" spans="3:16">
      <c r="C1850" s="209"/>
      <c r="G1850" s="210"/>
      <c r="H1850" s="210"/>
      <c r="I1850" s="210"/>
      <c r="J1850" s="210"/>
      <c r="K1850" s="210"/>
      <c r="L1850" s="210"/>
      <c r="M1850" s="210"/>
      <c r="N1850" s="210"/>
      <c r="P1850" s="211"/>
    </row>
    <row r="1851" spans="3:16">
      <c r="C1851" s="209"/>
      <c r="G1851" s="210"/>
      <c r="H1851" s="210"/>
      <c r="I1851" s="210"/>
      <c r="J1851" s="210"/>
      <c r="K1851" s="210"/>
      <c r="L1851" s="210"/>
      <c r="M1851" s="210"/>
      <c r="N1851" s="210"/>
      <c r="P1851" s="211"/>
    </row>
    <row r="1852" spans="3:16">
      <c r="C1852" s="209"/>
      <c r="G1852" s="210"/>
      <c r="H1852" s="210"/>
      <c r="I1852" s="210"/>
      <c r="J1852" s="210"/>
      <c r="K1852" s="210"/>
      <c r="L1852" s="210"/>
      <c r="M1852" s="210"/>
      <c r="N1852" s="210"/>
      <c r="P1852" s="211"/>
    </row>
    <row r="1853" spans="3:16">
      <c r="C1853" s="209"/>
      <c r="G1853" s="210"/>
      <c r="H1853" s="210"/>
      <c r="I1853" s="210"/>
      <c r="J1853" s="210"/>
      <c r="K1853" s="210"/>
      <c r="L1853" s="210"/>
      <c r="M1853" s="210"/>
      <c r="N1853" s="210"/>
      <c r="P1853" s="211"/>
    </row>
    <row r="1854" spans="3:16">
      <c r="C1854" s="209"/>
      <c r="G1854" s="210"/>
      <c r="H1854" s="210"/>
      <c r="I1854" s="210"/>
      <c r="J1854" s="210"/>
      <c r="K1854" s="210"/>
      <c r="L1854" s="210"/>
      <c r="M1854" s="210"/>
      <c r="N1854" s="210"/>
      <c r="P1854" s="211"/>
    </row>
    <row r="1855" spans="3:16">
      <c r="C1855" s="209"/>
      <c r="G1855" s="210"/>
      <c r="H1855" s="210"/>
      <c r="I1855" s="210"/>
      <c r="J1855" s="210"/>
      <c r="K1855" s="210"/>
      <c r="L1855" s="210"/>
      <c r="M1855" s="210"/>
      <c r="N1855" s="210"/>
      <c r="P1855" s="211"/>
    </row>
    <row r="1856" spans="3:16">
      <c r="C1856" s="209"/>
      <c r="G1856" s="210"/>
      <c r="H1856" s="210"/>
      <c r="I1856" s="210"/>
      <c r="J1856" s="210"/>
      <c r="K1856" s="210"/>
      <c r="L1856" s="210"/>
      <c r="M1856" s="210"/>
      <c r="N1856" s="210"/>
      <c r="P1856" s="211"/>
    </row>
    <row r="1857" spans="3:16">
      <c r="C1857" s="209"/>
      <c r="G1857" s="210"/>
      <c r="H1857" s="210"/>
      <c r="I1857" s="210"/>
      <c r="J1857" s="210"/>
      <c r="K1857" s="210"/>
      <c r="L1857" s="210"/>
      <c r="M1857" s="210"/>
      <c r="N1857" s="210"/>
      <c r="P1857" s="211"/>
    </row>
    <row r="1858" spans="3:16">
      <c r="C1858" s="209"/>
      <c r="G1858" s="210"/>
      <c r="H1858" s="210"/>
      <c r="I1858" s="210"/>
      <c r="J1858" s="210"/>
      <c r="K1858" s="210"/>
      <c r="L1858" s="210"/>
      <c r="M1858" s="210"/>
      <c r="N1858" s="210"/>
      <c r="P1858" s="211"/>
    </row>
    <row r="1859" spans="3:16">
      <c r="C1859" s="209"/>
      <c r="G1859" s="210"/>
      <c r="H1859" s="210"/>
      <c r="I1859" s="210"/>
      <c r="J1859" s="210"/>
      <c r="K1859" s="210"/>
      <c r="L1859" s="210"/>
      <c r="M1859" s="210"/>
      <c r="N1859" s="210"/>
      <c r="P1859" s="211"/>
    </row>
    <row r="1860" spans="3:16">
      <c r="C1860" s="209"/>
      <c r="G1860" s="210"/>
      <c r="H1860" s="210"/>
      <c r="I1860" s="210"/>
      <c r="J1860" s="210"/>
      <c r="K1860" s="210"/>
      <c r="L1860" s="210"/>
      <c r="M1860" s="210"/>
      <c r="N1860" s="210"/>
      <c r="P1860" s="211"/>
    </row>
    <row r="1861" spans="3:16">
      <c r="C1861" s="209"/>
      <c r="G1861" s="210"/>
      <c r="H1861" s="210"/>
      <c r="I1861" s="210"/>
      <c r="J1861" s="210"/>
      <c r="K1861" s="210"/>
      <c r="L1861" s="210"/>
      <c r="M1861" s="210"/>
      <c r="N1861" s="210"/>
      <c r="P1861" s="211"/>
    </row>
    <row r="1862" spans="3:16">
      <c r="C1862" s="209"/>
      <c r="G1862" s="210"/>
      <c r="H1862" s="210"/>
      <c r="I1862" s="210"/>
      <c r="J1862" s="210"/>
      <c r="K1862" s="210"/>
      <c r="L1862" s="210"/>
      <c r="M1862" s="210"/>
      <c r="N1862" s="210"/>
      <c r="P1862" s="211"/>
    </row>
    <row r="1863" spans="3:16">
      <c r="C1863" s="209"/>
      <c r="G1863" s="210"/>
      <c r="H1863" s="210"/>
      <c r="I1863" s="210"/>
      <c r="J1863" s="210"/>
      <c r="K1863" s="210"/>
      <c r="L1863" s="210"/>
      <c r="M1863" s="210"/>
      <c r="N1863" s="210"/>
      <c r="P1863" s="211"/>
    </row>
    <row r="1864" spans="3:16">
      <c r="C1864" s="209"/>
      <c r="G1864" s="210"/>
      <c r="H1864" s="210"/>
      <c r="I1864" s="210"/>
      <c r="J1864" s="210"/>
      <c r="K1864" s="210"/>
      <c r="L1864" s="210"/>
      <c r="M1864" s="210"/>
      <c r="N1864" s="210"/>
      <c r="P1864" s="211"/>
    </row>
    <row r="1865" spans="3:16">
      <c r="C1865" s="209"/>
      <c r="G1865" s="210"/>
      <c r="H1865" s="210"/>
      <c r="I1865" s="210"/>
      <c r="J1865" s="210"/>
      <c r="K1865" s="210"/>
      <c r="L1865" s="210"/>
      <c r="M1865" s="210"/>
      <c r="N1865" s="210"/>
      <c r="P1865" s="211"/>
    </row>
    <row r="1866" spans="3:16">
      <c r="C1866" s="209"/>
      <c r="G1866" s="210"/>
      <c r="H1866" s="210"/>
      <c r="I1866" s="210"/>
      <c r="J1866" s="210"/>
      <c r="K1866" s="210"/>
      <c r="L1866" s="210"/>
      <c r="M1866" s="210"/>
      <c r="N1866" s="210"/>
      <c r="P1866" s="211"/>
    </row>
    <row r="1867" spans="3:16">
      <c r="C1867" s="209"/>
      <c r="G1867" s="210"/>
      <c r="H1867" s="210"/>
      <c r="I1867" s="210"/>
      <c r="J1867" s="210"/>
      <c r="K1867" s="210"/>
      <c r="L1867" s="210"/>
      <c r="M1867" s="210"/>
      <c r="N1867" s="210"/>
      <c r="P1867" s="211"/>
    </row>
    <row r="1868" spans="3:16">
      <c r="C1868" s="209"/>
      <c r="G1868" s="210"/>
      <c r="H1868" s="210"/>
      <c r="I1868" s="210"/>
      <c r="J1868" s="210"/>
      <c r="K1868" s="210"/>
      <c r="L1868" s="210"/>
      <c r="M1868" s="210"/>
      <c r="N1868" s="210"/>
      <c r="P1868" s="211"/>
    </row>
    <row r="1869" spans="3:16">
      <c r="C1869" s="209"/>
      <c r="G1869" s="210"/>
      <c r="H1869" s="210"/>
      <c r="I1869" s="210"/>
      <c r="J1869" s="210"/>
      <c r="K1869" s="210"/>
      <c r="L1869" s="210"/>
      <c r="M1869" s="210"/>
      <c r="N1869" s="210"/>
      <c r="P1869" s="211"/>
    </row>
    <row r="1870" spans="3:16">
      <c r="C1870" s="209"/>
      <c r="G1870" s="210"/>
      <c r="H1870" s="210"/>
      <c r="I1870" s="210"/>
      <c r="J1870" s="210"/>
      <c r="K1870" s="210"/>
      <c r="L1870" s="210"/>
      <c r="M1870" s="210"/>
      <c r="N1870" s="210"/>
      <c r="P1870" s="211"/>
    </row>
    <row r="1871" spans="3:16">
      <c r="C1871" s="209"/>
      <c r="G1871" s="210"/>
      <c r="H1871" s="210"/>
      <c r="I1871" s="210"/>
      <c r="J1871" s="210"/>
      <c r="K1871" s="210"/>
      <c r="L1871" s="210"/>
      <c r="M1871" s="210"/>
      <c r="N1871" s="210"/>
      <c r="P1871" s="211"/>
    </row>
    <row r="1872" spans="3:16">
      <c r="C1872" s="209"/>
      <c r="G1872" s="210"/>
      <c r="H1872" s="210"/>
      <c r="I1872" s="210"/>
      <c r="J1872" s="210"/>
      <c r="K1872" s="210"/>
      <c r="L1872" s="210"/>
      <c r="M1872" s="210"/>
      <c r="N1872" s="210"/>
      <c r="P1872" s="211"/>
    </row>
    <row r="1873" spans="3:16">
      <c r="C1873" s="209"/>
      <c r="G1873" s="210"/>
      <c r="H1873" s="210"/>
      <c r="I1873" s="210"/>
      <c r="J1873" s="210"/>
      <c r="K1873" s="210"/>
      <c r="L1873" s="210"/>
      <c r="M1873" s="210"/>
      <c r="N1873" s="210"/>
      <c r="P1873" s="211"/>
    </row>
    <row r="1874" spans="3:16">
      <c r="C1874" s="209"/>
      <c r="G1874" s="210"/>
      <c r="H1874" s="210"/>
      <c r="I1874" s="210"/>
      <c r="J1874" s="210"/>
      <c r="K1874" s="210"/>
      <c r="L1874" s="210"/>
      <c r="M1874" s="210"/>
      <c r="N1874" s="210"/>
      <c r="P1874" s="211"/>
    </row>
    <row r="1875" spans="3:16">
      <c r="C1875" s="209"/>
      <c r="G1875" s="210"/>
      <c r="H1875" s="210"/>
      <c r="I1875" s="210"/>
      <c r="J1875" s="210"/>
      <c r="K1875" s="210"/>
      <c r="L1875" s="210"/>
      <c r="M1875" s="210"/>
      <c r="N1875" s="210"/>
      <c r="P1875" s="211"/>
    </row>
    <row r="1876" spans="3:16">
      <c r="C1876" s="209"/>
      <c r="G1876" s="210"/>
      <c r="H1876" s="210"/>
      <c r="I1876" s="210"/>
      <c r="J1876" s="210"/>
      <c r="K1876" s="210"/>
      <c r="L1876" s="210"/>
      <c r="M1876" s="210"/>
      <c r="N1876" s="210"/>
      <c r="P1876" s="211"/>
    </row>
    <row r="1877" spans="3:16">
      <c r="C1877" s="209"/>
      <c r="G1877" s="210"/>
      <c r="H1877" s="210"/>
      <c r="I1877" s="210"/>
      <c r="J1877" s="210"/>
      <c r="K1877" s="210"/>
      <c r="L1877" s="210"/>
      <c r="M1877" s="210"/>
      <c r="N1877" s="210"/>
      <c r="P1877" s="211"/>
    </row>
    <row r="1878" spans="3:16">
      <c r="C1878" s="209"/>
      <c r="G1878" s="210"/>
      <c r="H1878" s="210"/>
      <c r="I1878" s="210"/>
      <c r="J1878" s="210"/>
      <c r="K1878" s="210"/>
      <c r="L1878" s="210"/>
      <c r="M1878" s="210"/>
      <c r="N1878" s="210"/>
      <c r="P1878" s="211"/>
    </row>
    <row r="1879" spans="3:16">
      <c r="C1879" s="209"/>
      <c r="G1879" s="210"/>
      <c r="H1879" s="210"/>
      <c r="I1879" s="210"/>
      <c r="J1879" s="210"/>
      <c r="K1879" s="210"/>
      <c r="L1879" s="210"/>
      <c r="M1879" s="210"/>
      <c r="N1879" s="210"/>
      <c r="P1879" s="211"/>
    </row>
    <row r="1880" spans="3:16">
      <c r="C1880" s="209"/>
      <c r="G1880" s="210"/>
      <c r="H1880" s="210"/>
      <c r="I1880" s="210"/>
      <c r="J1880" s="210"/>
      <c r="K1880" s="210"/>
      <c r="L1880" s="210"/>
      <c r="M1880" s="210"/>
      <c r="N1880" s="210"/>
      <c r="P1880" s="211"/>
    </row>
    <row r="1881" spans="3:16">
      <c r="C1881" s="209"/>
      <c r="G1881" s="210"/>
      <c r="H1881" s="210"/>
      <c r="I1881" s="210"/>
      <c r="J1881" s="210"/>
      <c r="K1881" s="210"/>
      <c r="L1881" s="210"/>
      <c r="M1881" s="210"/>
      <c r="N1881" s="210"/>
      <c r="P1881" s="211"/>
    </row>
    <row r="1882" spans="3:16">
      <c r="C1882" s="209"/>
      <c r="G1882" s="210"/>
      <c r="H1882" s="210"/>
      <c r="I1882" s="210"/>
      <c r="J1882" s="210"/>
      <c r="K1882" s="210"/>
      <c r="L1882" s="210"/>
      <c r="M1882" s="210"/>
      <c r="N1882" s="210"/>
      <c r="P1882" s="211"/>
    </row>
    <row r="1883" spans="3:16">
      <c r="C1883" s="209"/>
      <c r="G1883" s="210"/>
      <c r="H1883" s="210"/>
      <c r="I1883" s="210"/>
      <c r="J1883" s="210"/>
      <c r="K1883" s="210"/>
      <c r="L1883" s="210"/>
      <c r="M1883" s="210"/>
      <c r="N1883" s="210"/>
      <c r="P1883" s="211"/>
    </row>
    <row r="1884" spans="3:16">
      <c r="C1884" s="209"/>
      <c r="G1884" s="210"/>
      <c r="H1884" s="210"/>
      <c r="I1884" s="210"/>
      <c r="J1884" s="210"/>
      <c r="K1884" s="210"/>
      <c r="L1884" s="210"/>
      <c r="M1884" s="210"/>
      <c r="N1884" s="210"/>
      <c r="P1884" s="211"/>
    </row>
    <row r="1885" spans="3:16">
      <c r="C1885" s="209"/>
      <c r="G1885" s="210"/>
      <c r="H1885" s="210"/>
      <c r="I1885" s="210"/>
      <c r="J1885" s="210"/>
      <c r="K1885" s="210"/>
      <c r="L1885" s="210"/>
      <c r="M1885" s="210"/>
      <c r="N1885" s="210"/>
      <c r="P1885" s="211"/>
    </row>
    <row r="1886" spans="3:16">
      <c r="C1886" s="209"/>
      <c r="G1886" s="210"/>
      <c r="H1886" s="210"/>
      <c r="I1886" s="210"/>
      <c r="J1886" s="210"/>
      <c r="K1886" s="210"/>
      <c r="L1886" s="210"/>
      <c r="M1886" s="210"/>
      <c r="N1886" s="210"/>
      <c r="P1886" s="211"/>
    </row>
    <row r="1887" spans="3:16">
      <c r="C1887" s="209"/>
      <c r="G1887" s="210"/>
      <c r="H1887" s="210"/>
      <c r="I1887" s="210"/>
      <c r="J1887" s="210"/>
      <c r="K1887" s="210"/>
      <c r="L1887" s="210"/>
      <c r="M1887" s="210"/>
      <c r="N1887" s="210"/>
      <c r="P1887" s="211"/>
    </row>
    <row r="1888" spans="3:16">
      <c r="C1888" s="209"/>
      <c r="G1888" s="210"/>
      <c r="H1888" s="210"/>
      <c r="I1888" s="210"/>
      <c r="J1888" s="210"/>
      <c r="K1888" s="210"/>
      <c r="L1888" s="210"/>
      <c r="M1888" s="210"/>
      <c r="N1888" s="210"/>
      <c r="P1888" s="211"/>
    </row>
    <row r="1889" spans="3:16">
      <c r="C1889" s="209"/>
      <c r="G1889" s="210"/>
      <c r="H1889" s="210"/>
      <c r="I1889" s="210"/>
      <c r="J1889" s="210"/>
      <c r="K1889" s="210"/>
      <c r="L1889" s="210"/>
      <c r="M1889" s="210"/>
      <c r="N1889" s="210"/>
      <c r="P1889" s="211"/>
    </row>
    <row r="1890" spans="3:16">
      <c r="C1890" s="209"/>
      <c r="G1890" s="210"/>
      <c r="H1890" s="210"/>
      <c r="I1890" s="210"/>
      <c r="J1890" s="210"/>
      <c r="K1890" s="210"/>
      <c r="L1890" s="210"/>
      <c r="M1890" s="210"/>
      <c r="N1890" s="210"/>
      <c r="P1890" s="211"/>
    </row>
    <row r="1891" spans="3:16">
      <c r="C1891" s="209"/>
      <c r="G1891" s="210"/>
      <c r="H1891" s="210"/>
      <c r="I1891" s="210"/>
      <c r="J1891" s="210"/>
      <c r="K1891" s="210"/>
      <c r="L1891" s="210"/>
      <c r="M1891" s="210"/>
      <c r="N1891" s="210"/>
      <c r="P1891" s="211"/>
    </row>
    <row r="1892" spans="3:16">
      <c r="C1892" s="209"/>
      <c r="G1892" s="210"/>
      <c r="H1892" s="210"/>
      <c r="I1892" s="210"/>
      <c r="J1892" s="210"/>
      <c r="K1892" s="210"/>
      <c r="L1892" s="210"/>
      <c r="M1892" s="210"/>
      <c r="N1892" s="210"/>
      <c r="P1892" s="211"/>
    </row>
    <row r="1893" spans="3:16">
      <c r="C1893" s="209"/>
      <c r="G1893" s="210"/>
      <c r="H1893" s="210"/>
      <c r="I1893" s="210"/>
      <c r="J1893" s="210"/>
      <c r="K1893" s="210"/>
      <c r="L1893" s="210"/>
      <c r="M1893" s="210"/>
      <c r="N1893" s="210"/>
      <c r="P1893" s="211"/>
    </row>
    <row r="1894" spans="3:16">
      <c r="C1894" s="209"/>
      <c r="G1894" s="210"/>
      <c r="H1894" s="210"/>
      <c r="I1894" s="210"/>
      <c r="J1894" s="210"/>
      <c r="K1894" s="210"/>
      <c r="L1894" s="210"/>
      <c r="M1894" s="210"/>
      <c r="N1894" s="210"/>
      <c r="P1894" s="211"/>
    </row>
    <row r="1895" spans="3:16">
      <c r="C1895" s="209"/>
      <c r="G1895" s="210"/>
      <c r="H1895" s="210"/>
      <c r="I1895" s="210"/>
      <c r="J1895" s="210"/>
      <c r="K1895" s="210"/>
      <c r="L1895" s="210"/>
      <c r="M1895" s="210"/>
      <c r="N1895" s="210"/>
      <c r="P1895" s="211"/>
    </row>
    <row r="1896" spans="3:16">
      <c r="C1896" s="209"/>
      <c r="G1896" s="210"/>
      <c r="H1896" s="210"/>
      <c r="I1896" s="210"/>
      <c r="J1896" s="210"/>
      <c r="K1896" s="210"/>
      <c r="L1896" s="210"/>
      <c r="M1896" s="210"/>
      <c r="N1896" s="210"/>
      <c r="P1896" s="211"/>
    </row>
    <row r="1897" spans="3:16">
      <c r="C1897" s="209"/>
      <c r="G1897" s="210"/>
      <c r="H1897" s="210"/>
      <c r="I1897" s="210"/>
      <c r="J1897" s="210"/>
      <c r="K1897" s="210"/>
      <c r="L1897" s="210"/>
      <c r="M1897" s="210"/>
      <c r="N1897" s="210"/>
      <c r="P1897" s="211"/>
    </row>
    <row r="1898" spans="3:16">
      <c r="C1898" s="209"/>
      <c r="G1898" s="210"/>
      <c r="H1898" s="210"/>
      <c r="I1898" s="210"/>
      <c r="J1898" s="210"/>
      <c r="K1898" s="210"/>
      <c r="L1898" s="210"/>
      <c r="M1898" s="210"/>
      <c r="N1898" s="210"/>
      <c r="P1898" s="211"/>
    </row>
    <row r="1899" spans="3:16">
      <c r="C1899" s="209"/>
      <c r="G1899" s="210"/>
      <c r="H1899" s="210"/>
      <c r="I1899" s="210"/>
      <c r="J1899" s="210"/>
      <c r="K1899" s="210"/>
      <c r="L1899" s="210"/>
      <c r="M1899" s="210"/>
      <c r="N1899" s="210"/>
      <c r="P1899" s="211"/>
    </row>
    <row r="1900" spans="3:16">
      <c r="C1900" s="209"/>
      <c r="G1900" s="210"/>
      <c r="H1900" s="210"/>
      <c r="I1900" s="210"/>
      <c r="J1900" s="210"/>
      <c r="K1900" s="210"/>
      <c r="L1900" s="210"/>
      <c r="M1900" s="210"/>
      <c r="N1900" s="210"/>
      <c r="P1900" s="211"/>
    </row>
    <row r="1901" spans="3:16">
      <c r="C1901" s="209"/>
      <c r="G1901" s="210"/>
      <c r="H1901" s="210"/>
      <c r="I1901" s="210"/>
      <c r="J1901" s="210"/>
      <c r="K1901" s="210"/>
      <c r="L1901" s="210"/>
      <c r="M1901" s="210"/>
      <c r="N1901" s="210"/>
      <c r="P1901" s="211"/>
    </row>
    <row r="1902" spans="3:16">
      <c r="C1902" s="209"/>
      <c r="G1902" s="210"/>
      <c r="H1902" s="210"/>
      <c r="I1902" s="210"/>
      <c r="J1902" s="210"/>
      <c r="K1902" s="210"/>
      <c r="L1902" s="210"/>
      <c r="M1902" s="210"/>
      <c r="N1902" s="210"/>
      <c r="P1902" s="211"/>
    </row>
    <row r="1903" spans="3:16">
      <c r="C1903" s="209"/>
      <c r="G1903" s="210"/>
      <c r="H1903" s="210"/>
      <c r="I1903" s="210"/>
      <c r="J1903" s="210"/>
      <c r="K1903" s="210"/>
      <c r="L1903" s="210"/>
      <c r="M1903" s="210"/>
      <c r="N1903" s="210"/>
      <c r="P1903" s="211"/>
    </row>
    <row r="1904" spans="3:16">
      <c r="C1904" s="209"/>
      <c r="G1904" s="210"/>
      <c r="H1904" s="210"/>
      <c r="I1904" s="210"/>
      <c r="J1904" s="210"/>
      <c r="K1904" s="210"/>
      <c r="L1904" s="210"/>
      <c r="M1904" s="210"/>
      <c r="N1904" s="210"/>
      <c r="P1904" s="211"/>
    </row>
    <row r="1905" spans="3:16">
      <c r="C1905" s="209"/>
      <c r="G1905" s="210"/>
      <c r="H1905" s="210"/>
      <c r="I1905" s="210"/>
      <c r="J1905" s="210"/>
      <c r="K1905" s="210"/>
      <c r="L1905" s="210"/>
      <c r="M1905" s="210"/>
      <c r="N1905" s="210"/>
      <c r="P1905" s="211"/>
    </row>
    <row r="1906" spans="3:16">
      <c r="C1906" s="209"/>
      <c r="G1906" s="210"/>
      <c r="H1906" s="210"/>
      <c r="I1906" s="210"/>
      <c r="J1906" s="210"/>
      <c r="K1906" s="210"/>
      <c r="L1906" s="210"/>
      <c r="M1906" s="210"/>
      <c r="N1906" s="210"/>
      <c r="P1906" s="211"/>
    </row>
    <row r="1907" spans="3:16">
      <c r="C1907" s="209"/>
      <c r="G1907" s="210"/>
      <c r="H1907" s="210"/>
      <c r="I1907" s="210"/>
      <c r="J1907" s="210"/>
      <c r="K1907" s="210"/>
      <c r="L1907" s="210"/>
      <c r="M1907" s="210"/>
      <c r="N1907" s="210"/>
      <c r="P1907" s="211"/>
    </row>
    <row r="1908" spans="3:16">
      <c r="C1908" s="209"/>
      <c r="G1908" s="210"/>
      <c r="H1908" s="210"/>
      <c r="I1908" s="210"/>
      <c r="J1908" s="210"/>
      <c r="K1908" s="210"/>
      <c r="L1908" s="210"/>
      <c r="M1908" s="210"/>
      <c r="N1908" s="210"/>
      <c r="P1908" s="211"/>
    </row>
    <row r="1909" spans="3:16">
      <c r="C1909" s="209"/>
      <c r="G1909" s="210"/>
      <c r="H1909" s="210"/>
      <c r="I1909" s="210"/>
      <c r="J1909" s="210"/>
      <c r="K1909" s="210"/>
      <c r="L1909" s="210"/>
      <c r="M1909" s="210"/>
      <c r="N1909" s="210"/>
      <c r="P1909" s="211"/>
    </row>
    <row r="1910" spans="3:16">
      <c r="C1910" s="209"/>
      <c r="G1910" s="210"/>
      <c r="H1910" s="210"/>
      <c r="I1910" s="210"/>
      <c r="J1910" s="210"/>
      <c r="K1910" s="210"/>
      <c r="L1910" s="210"/>
      <c r="M1910" s="210"/>
      <c r="N1910" s="210"/>
      <c r="P1910" s="211"/>
    </row>
    <row r="1911" spans="3:16">
      <c r="C1911" s="209"/>
      <c r="G1911" s="210"/>
      <c r="H1911" s="210"/>
      <c r="I1911" s="210"/>
      <c r="J1911" s="210"/>
      <c r="K1911" s="210"/>
      <c r="L1911" s="210"/>
      <c r="M1911" s="210"/>
      <c r="N1911" s="210"/>
      <c r="P1911" s="211"/>
    </row>
    <row r="1912" spans="3:16">
      <c r="C1912" s="209"/>
      <c r="G1912" s="210"/>
      <c r="H1912" s="210"/>
      <c r="I1912" s="210"/>
      <c r="J1912" s="210"/>
      <c r="K1912" s="210"/>
      <c r="L1912" s="210"/>
      <c r="M1912" s="210"/>
      <c r="N1912" s="210"/>
      <c r="P1912" s="211"/>
    </row>
    <row r="1913" spans="3:16">
      <c r="C1913" s="209"/>
      <c r="G1913" s="210"/>
      <c r="H1913" s="210"/>
      <c r="I1913" s="210"/>
      <c r="J1913" s="210"/>
      <c r="K1913" s="210"/>
      <c r="L1913" s="210"/>
      <c r="M1913" s="210"/>
      <c r="N1913" s="210"/>
      <c r="P1913" s="211"/>
    </row>
    <row r="1914" spans="3:16">
      <c r="C1914" s="209"/>
      <c r="G1914" s="210"/>
      <c r="H1914" s="210"/>
      <c r="I1914" s="210"/>
      <c r="J1914" s="210"/>
      <c r="K1914" s="210"/>
      <c r="L1914" s="210"/>
      <c r="M1914" s="210"/>
      <c r="N1914" s="210"/>
      <c r="P1914" s="211"/>
    </row>
    <row r="1915" spans="3:16">
      <c r="C1915" s="209"/>
      <c r="G1915" s="210"/>
      <c r="H1915" s="210"/>
      <c r="I1915" s="210"/>
      <c r="J1915" s="210"/>
      <c r="K1915" s="210"/>
      <c r="L1915" s="210"/>
      <c r="M1915" s="210"/>
      <c r="N1915" s="210"/>
      <c r="P1915" s="211"/>
    </row>
    <row r="1916" spans="3:16">
      <c r="C1916" s="209"/>
      <c r="G1916" s="210"/>
      <c r="H1916" s="210"/>
      <c r="I1916" s="210"/>
      <c r="J1916" s="210"/>
      <c r="K1916" s="210"/>
      <c r="L1916" s="210"/>
      <c r="M1916" s="210"/>
      <c r="N1916" s="210"/>
      <c r="P1916" s="211"/>
    </row>
    <row r="1917" spans="3:16">
      <c r="C1917" s="209"/>
      <c r="G1917" s="210"/>
      <c r="H1917" s="210"/>
      <c r="I1917" s="210"/>
      <c r="J1917" s="210"/>
      <c r="K1917" s="210"/>
      <c r="L1917" s="210"/>
      <c r="M1917" s="210"/>
      <c r="N1917" s="210"/>
      <c r="P1917" s="211"/>
    </row>
    <row r="1918" spans="3:16">
      <c r="C1918" s="209"/>
      <c r="G1918" s="210"/>
      <c r="H1918" s="210"/>
      <c r="I1918" s="210"/>
      <c r="J1918" s="210"/>
      <c r="K1918" s="210"/>
      <c r="L1918" s="210"/>
      <c r="M1918" s="210"/>
      <c r="N1918" s="210"/>
      <c r="P1918" s="211"/>
    </row>
    <row r="1919" spans="3:16">
      <c r="C1919" s="209"/>
      <c r="G1919" s="210"/>
      <c r="H1919" s="210"/>
      <c r="I1919" s="210"/>
      <c r="J1919" s="210"/>
      <c r="K1919" s="210"/>
      <c r="L1919" s="210"/>
      <c r="M1919" s="210"/>
      <c r="N1919" s="210"/>
      <c r="P1919" s="211"/>
    </row>
    <row r="1920" spans="3:16">
      <c r="C1920" s="209"/>
      <c r="G1920" s="210"/>
      <c r="H1920" s="210"/>
      <c r="I1920" s="210"/>
      <c r="J1920" s="210"/>
      <c r="K1920" s="210"/>
      <c r="L1920" s="210"/>
      <c r="M1920" s="210"/>
      <c r="N1920" s="210"/>
      <c r="P1920" s="211"/>
    </row>
    <row r="1921" spans="3:16">
      <c r="C1921" s="209"/>
      <c r="G1921" s="210"/>
      <c r="H1921" s="210"/>
      <c r="I1921" s="210"/>
      <c r="J1921" s="210"/>
      <c r="K1921" s="210"/>
      <c r="L1921" s="210"/>
      <c r="M1921" s="210"/>
      <c r="N1921" s="210"/>
      <c r="P1921" s="211"/>
    </row>
    <row r="1922" spans="3:16">
      <c r="C1922" s="209"/>
      <c r="G1922" s="210"/>
      <c r="H1922" s="210"/>
      <c r="I1922" s="210"/>
      <c r="J1922" s="210"/>
      <c r="K1922" s="210"/>
      <c r="L1922" s="210"/>
      <c r="M1922" s="210"/>
      <c r="N1922" s="210"/>
      <c r="P1922" s="211"/>
    </row>
    <row r="1923" spans="3:16">
      <c r="C1923" s="209"/>
      <c r="G1923" s="210"/>
      <c r="H1923" s="210"/>
      <c r="I1923" s="210"/>
      <c r="J1923" s="210"/>
      <c r="K1923" s="210"/>
      <c r="L1923" s="210"/>
      <c r="M1923" s="210"/>
      <c r="N1923" s="210"/>
      <c r="P1923" s="211"/>
    </row>
    <row r="1924" spans="3:16">
      <c r="C1924" s="209"/>
      <c r="G1924" s="210"/>
      <c r="H1924" s="210"/>
      <c r="I1924" s="210"/>
      <c r="J1924" s="210"/>
      <c r="K1924" s="210"/>
      <c r="L1924" s="210"/>
      <c r="M1924" s="210"/>
      <c r="N1924" s="210"/>
      <c r="P1924" s="211"/>
    </row>
    <row r="1925" spans="3:16">
      <c r="C1925" s="209"/>
      <c r="G1925" s="210"/>
      <c r="H1925" s="210"/>
      <c r="I1925" s="210"/>
      <c r="J1925" s="210"/>
      <c r="K1925" s="210"/>
      <c r="L1925" s="210"/>
      <c r="M1925" s="210"/>
      <c r="N1925" s="210"/>
      <c r="P1925" s="211"/>
    </row>
    <row r="1926" spans="3:16">
      <c r="C1926" s="209"/>
      <c r="G1926" s="210"/>
      <c r="H1926" s="210"/>
      <c r="I1926" s="210"/>
      <c r="J1926" s="210"/>
      <c r="K1926" s="210"/>
      <c r="L1926" s="210"/>
      <c r="M1926" s="210"/>
      <c r="N1926" s="210"/>
      <c r="P1926" s="211"/>
    </row>
    <row r="1927" spans="3:16">
      <c r="C1927" s="209"/>
      <c r="G1927" s="210"/>
      <c r="H1927" s="210"/>
      <c r="I1927" s="210"/>
      <c r="J1927" s="210"/>
      <c r="K1927" s="210"/>
      <c r="L1927" s="210"/>
      <c r="M1927" s="210"/>
      <c r="N1927" s="210"/>
      <c r="P1927" s="211"/>
    </row>
    <row r="1928" spans="3:16">
      <c r="C1928" s="209"/>
      <c r="G1928" s="210"/>
      <c r="H1928" s="210"/>
      <c r="I1928" s="210"/>
      <c r="J1928" s="210"/>
      <c r="K1928" s="210"/>
      <c r="L1928" s="210"/>
      <c r="M1928" s="210"/>
      <c r="N1928" s="210"/>
      <c r="P1928" s="211"/>
    </row>
    <row r="1929" spans="3:16">
      <c r="C1929" s="209"/>
      <c r="G1929" s="210"/>
      <c r="H1929" s="210"/>
      <c r="I1929" s="210"/>
      <c r="J1929" s="210"/>
      <c r="K1929" s="210"/>
      <c r="L1929" s="210"/>
      <c r="M1929" s="210"/>
      <c r="N1929" s="210"/>
      <c r="P1929" s="211"/>
    </row>
    <row r="1930" spans="3:16">
      <c r="C1930" s="209"/>
      <c r="G1930" s="210"/>
      <c r="H1930" s="210"/>
      <c r="I1930" s="210"/>
      <c r="J1930" s="210"/>
      <c r="K1930" s="210"/>
      <c r="L1930" s="210"/>
      <c r="M1930" s="210"/>
      <c r="N1930" s="210"/>
      <c r="P1930" s="211"/>
    </row>
    <row r="1931" spans="3:16">
      <c r="C1931" s="209"/>
      <c r="G1931" s="210"/>
      <c r="H1931" s="210"/>
      <c r="I1931" s="210"/>
      <c r="J1931" s="210"/>
      <c r="K1931" s="210"/>
      <c r="L1931" s="210"/>
      <c r="M1931" s="210"/>
      <c r="N1931" s="210"/>
      <c r="P1931" s="211"/>
    </row>
    <row r="1932" spans="3:16">
      <c r="C1932" s="209"/>
      <c r="G1932" s="210"/>
      <c r="H1932" s="210"/>
      <c r="I1932" s="210"/>
      <c r="J1932" s="210"/>
      <c r="K1932" s="210"/>
      <c r="L1932" s="210"/>
      <c r="M1932" s="210"/>
      <c r="N1932" s="210"/>
      <c r="P1932" s="211"/>
    </row>
    <row r="1933" spans="3:16">
      <c r="C1933" s="209"/>
      <c r="G1933" s="210"/>
      <c r="H1933" s="210"/>
      <c r="I1933" s="210"/>
      <c r="J1933" s="210"/>
      <c r="K1933" s="210"/>
      <c r="L1933" s="210"/>
      <c r="M1933" s="210"/>
      <c r="N1933" s="210"/>
      <c r="P1933" s="211"/>
    </row>
    <row r="1934" spans="3:16">
      <c r="C1934" s="209"/>
      <c r="G1934" s="210"/>
      <c r="H1934" s="210"/>
      <c r="I1934" s="210"/>
      <c r="J1934" s="210"/>
      <c r="K1934" s="210"/>
      <c r="L1934" s="210"/>
      <c r="M1934" s="210"/>
      <c r="N1934" s="210"/>
      <c r="P1934" s="211"/>
    </row>
    <row r="1935" spans="3:16">
      <c r="C1935" s="209"/>
      <c r="G1935" s="210"/>
      <c r="H1935" s="210"/>
      <c r="I1935" s="210"/>
      <c r="J1935" s="210"/>
      <c r="K1935" s="210"/>
      <c r="L1935" s="210"/>
      <c r="M1935" s="210"/>
      <c r="N1935" s="210"/>
      <c r="P1935" s="211"/>
    </row>
    <row r="1936" spans="3:16">
      <c r="C1936" s="209"/>
      <c r="G1936" s="210"/>
      <c r="H1936" s="210"/>
      <c r="I1936" s="210"/>
      <c r="J1936" s="210"/>
      <c r="K1936" s="210"/>
      <c r="L1936" s="210"/>
      <c r="M1936" s="210"/>
      <c r="N1936" s="210"/>
      <c r="P1936" s="211"/>
    </row>
    <row r="1937" spans="3:16">
      <c r="C1937" s="209"/>
      <c r="G1937" s="210"/>
      <c r="H1937" s="210"/>
      <c r="I1937" s="210"/>
      <c r="J1937" s="210"/>
      <c r="K1937" s="210"/>
      <c r="L1937" s="210"/>
      <c r="M1937" s="210"/>
      <c r="N1937" s="210"/>
      <c r="P1937" s="211"/>
    </row>
    <row r="1938" spans="3:16">
      <c r="C1938" s="209"/>
      <c r="G1938" s="210"/>
      <c r="H1938" s="210"/>
      <c r="I1938" s="210"/>
      <c r="J1938" s="210"/>
      <c r="K1938" s="210"/>
      <c r="L1938" s="210"/>
      <c r="M1938" s="210"/>
      <c r="N1938" s="210"/>
      <c r="P1938" s="211"/>
    </row>
    <row r="1939" spans="3:16">
      <c r="C1939" s="209"/>
      <c r="G1939" s="210"/>
      <c r="H1939" s="210"/>
      <c r="I1939" s="210"/>
      <c r="J1939" s="210"/>
      <c r="K1939" s="210"/>
      <c r="L1939" s="210"/>
      <c r="M1939" s="210"/>
      <c r="N1939" s="210"/>
      <c r="P1939" s="211"/>
    </row>
    <row r="1940" spans="3:16">
      <c r="C1940" s="209"/>
      <c r="G1940" s="210"/>
      <c r="H1940" s="210"/>
      <c r="I1940" s="210"/>
      <c r="J1940" s="210"/>
      <c r="K1940" s="210"/>
      <c r="L1940" s="210"/>
      <c r="M1940" s="210"/>
      <c r="N1940" s="210"/>
      <c r="P1940" s="211"/>
    </row>
    <row r="1941" spans="3:16">
      <c r="C1941" s="209"/>
      <c r="G1941" s="210"/>
      <c r="H1941" s="210"/>
      <c r="I1941" s="210"/>
      <c r="J1941" s="210"/>
      <c r="K1941" s="210"/>
      <c r="L1941" s="210"/>
      <c r="M1941" s="210"/>
      <c r="N1941" s="210"/>
      <c r="P1941" s="211"/>
    </row>
    <row r="1942" spans="3:16">
      <c r="C1942" s="209"/>
      <c r="G1942" s="210"/>
      <c r="H1942" s="210"/>
      <c r="I1942" s="210"/>
      <c r="J1942" s="210"/>
      <c r="K1942" s="210"/>
      <c r="L1942" s="210"/>
      <c r="M1942" s="210"/>
      <c r="N1942" s="210"/>
      <c r="P1942" s="211"/>
    </row>
    <row r="1943" spans="3:16">
      <c r="C1943" s="209"/>
      <c r="G1943" s="210"/>
      <c r="H1943" s="210"/>
      <c r="I1943" s="210"/>
      <c r="J1943" s="210"/>
      <c r="K1943" s="210"/>
      <c r="L1943" s="210"/>
      <c r="M1943" s="210"/>
      <c r="N1943" s="210"/>
      <c r="P1943" s="211"/>
    </row>
    <row r="1944" spans="3:16">
      <c r="C1944" s="209"/>
      <c r="G1944" s="210"/>
      <c r="H1944" s="210"/>
      <c r="I1944" s="210"/>
      <c r="J1944" s="210"/>
      <c r="K1944" s="210"/>
      <c r="L1944" s="210"/>
      <c r="M1944" s="210"/>
      <c r="N1944" s="210"/>
      <c r="P1944" s="211"/>
    </row>
    <row r="1945" spans="3:16">
      <c r="C1945" s="209"/>
      <c r="G1945" s="210"/>
      <c r="H1945" s="210"/>
      <c r="I1945" s="210"/>
      <c r="J1945" s="210"/>
      <c r="K1945" s="210"/>
      <c r="L1945" s="210"/>
      <c r="M1945" s="210"/>
      <c r="N1945" s="210"/>
      <c r="P1945" s="211"/>
    </row>
    <row r="1946" spans="3:16">
      <c r="C1946" s="209"/>
      <c r="G1946" s="210"/>
      <c r="H1946" s="210"/>
      <c r="I1946" s="210"/>
      <c r="J1946" s="210"/>
      <c r="K1946" s="210"/>
      <c r="L1946" s="210"/>
      <c r="M1946" s="210"/>
      <c r="N1946" s="210"/>
      <c r="P1946" s="211"/>
    </row>
    <row r="1947" spans="3:16">
      <c r="C1947" s="209"/>
      <c r="G1947" s="210"/>
      <c r="H1947" s="210"/>
      <c r="I1947" s="210"/>
      <c r="J1947" s="210"/>
      <c r="K1947" s="210"/>
      <c r="L1947" s="210"/>
      <c r="M1947" s="210"/>
      <c r="N1947" s="210"/>
      <c r="P1947" s="211"/>
    </row>
    <row r="1948" spans="3:16">
      <c r="C1948" s="209"/>
      <c r="G1948" s="210"/>
      <c r="H1948" s="210"/>
      <c r="I1948" s="210"/>
      <c r="J1948" s="210"/>
      <c r="K1948" s="210"/>
      <c r="L1948" s="210"/>
      <c r="M1948" s="210"/>
      <c r="N1948" s="210"/>
      <c r="P1948" s="211"/>
    </row>
    <row r="1949" spans="3:16">
      <c r="C1949" s="209"/>
      <c r="G1949" s="210"/>
      <c r="H1949" s="210"/>
      <c r="I1949" s="210"/>
      <c r="J1949" s="210"/>
      <c r="K1949" s="210"/>
      <c r="L1949" s="210"/>
      <c r="M1949" s="210"/>
      <c r="N1949" s="210"/>
      <c r="P1949" s="211"/>
    </row>
    <row r="1950" spans="3:16">
      <c r="C1950" s="209"/>
      <c r="G1950" s="210"/>
      <c r="H1950" s="210"/>
      <c r="I1950" s="210"/>
      <c r="J1950" s="210"/>
      <c r="K1950" s="210"/>
      <c r="L1950" s="210"/>
      <c r="M1950" s="210"/>
      <c r="N1950" s="210"/>
      <c r="P1950" s="211"/>
    </row>
    <row r="1951" spans="3:16">
      <c r="C1951" s="209"/>
      <c r="G1951" s="210"/>
      <c r="H1951" s="210"/>
      <c r="I1951" s="210"/>
      <c r="J1951" s="210"/>
      <c r="K1951" s="210"/>
      <c r="L1951" s="210"/>
      <c r="M1951" s="210"/>
      <c r="N1951" s="210"/>
      <c r="P1951" s="211"/>
    </row>
    <row r="1952" spans="3:16">
      <c r="C1952" s="209"/>
      <c r="G1952" s="210"/>
      <c r="H1952" s="210"/>
      <c r="I1952" s="210"/>
      <c r="J1952" s="210"/>
      <c r="K1952" s="210"/>
      <c r="L1952" s="210"/>
      <c r="M1952" s="210"/>
      <c r="N1952" s="210"/>
      <c r="P1952" s="211"/>
    </row>
    <row r="1953" spans="3:16">
      <c r="C1953" s="209"/>
      <c r="G1953" s="210"/>
      <c r="H1953" s="210"/>
      <c r="I1953" s="210"/>
      <c r="J1953" s="210"/>
      <c r="K1953" s="210"/>
      <c r="L1953" s="210"/>
      <c r="M1953" s="210"/>
      <c r="N1953" s="210"/>
      <c r="P1953" s="211"/>
    </row>
    <row r="1954" spans="3:16">
      <c r="C1954" s="209"/>
      <c r="G1954" s="210"/>
      <c r="H1954" s="210"/>
      <c r="I1954" s="210"/>
      <c r="J1954" s="210"/>
      <c r="K1954" s="210"/>
      <c r="L1954" s="210"/>
      <c r="M1954" s="210"/>
      <c r="N1954" s="210"/>
      <c r="P1954" s="211"/>
    </row>
    <row r="1955" spans="3:16">
      <c r="C1955" s="209"/>
      <c r="G1955" s="210"/>
      <c r="H1955" s="210"/>
      <c r="I1955" s="210"/>
      <c r="J1955" s="210"/>
      <c r="K1955" s="210"/>
      <c r="L1955" s="210"/>
      <c r="M1955" s="210"/>
      <c r="N1955" s="210"/>
      <c r="P1955" s="211"/>
    </row>
    <row r="1956" spans="3:16">
      <c r="C1956" s="209"/>
      <c r="G1956" s="210"/>
      <c r="H1956" s="210"/>
      <c r="I1956" s="210"/>
      <c r="J1956" s="210"/>
      <c r="K1956" s="210"/>
      <c r="L1956" s="210"/>
      <c r="M1956" s="210"/>
      <c r="N1956" s="210"/>
      <c r="P1956" s="211"/>
    </row>
    <row r="1957" spans="3:16">
      <c r="C1957" s="209"/>
      <c r="G1957" s="210"/>
      <c r="H1957" s="210"/>
      <c r="I1957" s="210"/>
      <c r="J1957" s="210"/>
      <c r="K1957" s="210"/>
      <c r="L1957" s="210"/>
      <c r="M1957" s="210"/>
      <c r="N1957" s="210"/>
      <c r="P1957" s="211"/>
    </row>
    <row r="1958" spans="3:16">
      <c r="C1958" s="209"/>
      <c r="G1958" s="210"/>
      <c r="H1958" s="210"/>
      <c r="I1958" s="210"/>
      <c r="J1958" s="210"/>
      <c r="K1958" s="210"/>
      <c r="L1958" s="210"/>
      <c r="M1958" s="210"/>
      <c r="N1958" s="210"/>
      <c r="P1958" s="211"/>
    </row>
    <row r="1959" spans="3:16">
      <c r="C1959" s="209"/>
      <c r="G1959" s="210"/>
      <c r="H1959" s="210"/>
      <c r="I1959" s="210"/>
      <c r="J1959" s="210"/>
      <c r="K1959" s="210"/>
      <c r="L1959" s="210"/>
      <c r="M1959" s="210"/>
      <c r="N1959" s="210"/>
      <c r="P1959" s="211"/>
    </row>
    <row r="1960" spans="3:16">
      <c r="C1960" s="209"/>
      <c r="G1960" s="210"/>
      <c r="H1960" s="210"/>
      <c r="I1960" s="210"/>
      <c r="J1960" s="210"/>
      <c r="K1960" s="210"/>
      <c r="L1960" s="210"/>
      <c r="M1960" s="210"/>
      <c r="N1960" s="210"/>
      <c r="P1960" s="211"/>
    </row>
    <row r="1961" spans="3:16">
      <c r="C1961" s="209"/>
      <c r="G1961" s="210"/>
      <c r="H1961" s="210"/>
      <c r="I1961" s="210"/>
      <c r="J1961" s="210"/>
      <c r="K1961" s="210"/>
      <c r="L1961" s="210"/>
      <c r="M1961" s="210"/>
      <c r="N1961" s="210"/>
      <c r="P1961" s="211"/>
    </row>
    <row r="1962" spans="3:16">
      <c r="C1962" s="209"/>
      <c r="G1962" s="210"/>
      <c r="H1962" s="210"/>
      <c r="I1962" s="210"/>
      <c r="J1962" s="210"/>
      <c r="K1962" s="210"/>
      <c r="L1962" s="210"/>
      <c r="M1962" s="210"/>
      <c r="N1962" s="210"/>
      <c r="P1962" s="211"/>
    </row>
    <row r="1963" spans="3:16">
      <c r="C1963" s="209"/>
      <c r="G1963" s="210"/>
      <c r="H1963" s="210"/>
      <c r="I1963" s="210"/>
      <c r="J1963" s="210"/>
      <c r="K1963" s="210"/>
      <c r="L1963" s="210"/>
      <c r="M1963" s="210"/>
      <c r="N1963" s="210"/>
      <c r="P1963" s="211"/>
    </row>
    <row r="1964" spans="3:16">
      <c r="C1964" s="209"/>
      <c r="G1964" s="210"/>
      <c r="H1964" s="210"/>
      <c r="I1964" s="210"/>
      <c r="J1964" s="210"/>
      <c r="K1964" s="210"/>
      <c r="L1964" s="210"/>
      <c r="M1964" s="210"/>
      <c r="N1964" s="210"/>
      <c r="P1964" s="211"/>
    </row>
    <row r="1965" spans="3:16">
      <c r="C1965" s="209"/>
      <c r="G1965" s="210"/>
      <c r="H1965" s="210"/>
      <c r="I1965" s="210"/>
      <c r="J1965" s="210"/>
      <c r="K1965" s="210"/>
      <c r="L1965" s="210"/>
      <c r="M1965" s="210"/>
      <c r="N1965" s="210"/>
      <c r="P1965" s="211"/>
    </row>
    <row r="1966" spans="3:16">
      <c r="C1966" s="209"/>
      <c r="G1966" s="210"/>
      <c r="H1966" s="210"/>
      <c r="I1966" s="210"/>
      <c r="J1966" s="210"/>
      <c r="K1966" s="210"/>
      <c r="L1966" s="210"/>
      <c r="M1966" s="210"/>
      <c r="N1966" s="210"/>
      <c r="P1966" s="211"/>
    </row>
    <row r="1967" spans="3:16">
      <c r="C1967" s="209"/>
      <c r="G1967" s="210"/>
      <c r="H1967" s="210"/>
      <c r="I1967" s="210"/>
      <c r="J1967" s="210"/>
      <c r="K1967" s="210"/>
      <c r="L1967" s="210"/>
      <c r="M1967" s="210"/>
      <c r="N1967" s="210"/>
      <c r="P1967" s="211"/>
    </row>
    <row r="1968" spans="3:16">
      <c r="C1968" s="209"/>
      <c r="G1968" s="210"/>
      <c r="H1968" s="210"/>
      <c r="I1968" s="210"/>
      <c r="J1968" s="210"/>
      <c r="K1968" s="210"/>
      <c r="L1968" s="210"/>
      <c r="M1968" s="210"/>
      <c r="N1968" s="210"/>
      <c r="P1968" s="211"/>
    </row>
    <row r="1969" spans="3:16">
      <c r="C1969" s="209"/>
      <c r="G1969" s="210"/>
      <c r="H1969" s="210"/>
      <c r="I1969" s="210"/>
      <c r="J1969" s="210"/>
      <c r="K1969" s="210"/>
      <c r="L1969" s="210"/>
      <c r="M1969" s="210"/>
      <c r="N1969" s="210"/>
      <c r="P1969" s="211"/>
    </row>
    <row r="1970" spans="3:16">
      <c r="C1970" s="209"/>
      <c r="G1970" s="210"/>
      <c r="H1970" s="210"/>
      <c r="I1970" s="210"/>
      <c r="J1970" s="210"/>
      <c r="K1970" s="210"/>
      <c r="L1970" s="210"/>
      <c r="M1970" s="210"/>
      <c r="N1970" s="210"/>
      <c r="P1970" s="211"/>
    </row>
    <row r="1971" spans="3:16">
      <c r="C1971" s="209"/>
      <c r="G1971" s="210"/>
      <c r="H1971" s="210"/>
      <c r="I1971" s="210"/>
      <c r="J1971" s="210"/>
      <c r="K1971" s="210"/>
      <c r="L1971" s="210"/>
      <c r="M1971" s="210"/>
      <c r="N1971" s="210"/>
      <c r="P1971" s="211"/>
    </row>
    <row r="1972" spans="3:16">
      <c r="C1972" s="209"/>
      <c r="G1972" s="210"/>
      <c r="H1972" s="210"/>
      <c r="I1972" s="210"/>
      <c r="J1972" s="210"/>
      <c r="K1972" s="210"/>
      <c r="L1972" s="210"/>
      <c r="M1972" s="210"/>
      <c r="N1972" s="210"/>
      <c r="P1972" s="211"/>
    </row>
    <row r="1973" spans="3:16">
      <c r="C1973" s="209"/>
      <c r="G1973" s="210"/>
      <c r="H1973" s="210"/>
      <c r="I1973" s="210"/>
      <c r="J1973" s="210"/>
      <c r="K1973" s="210"/>
      <c r="L1973" s="210"/>
      <c r="M1973" s="210"/>
      <c r="N1973" s="210"/>
      <c r="P1973" s="211"/>
    </row>
    <row r="1974" spans="3:16">
      <c r="C1974" s="209"/>
      <c r="G1974" s="210"/>
      <c r="H1974" s="210"/>
      <c r="I1974" s="210"/>
      <c r="J1974" s="210"/>
      <c r="K1974" s="210"/>
      <c r="L1974" s="210"/>
      <c r="M1974" s="210"/>
      <c r="N1974" s="210"/>
      <c r="P1974" s="211"/>
    </row>
    <row r="1975" spans="3:16">
      <c r="C1975" s="209"/>
      <c r="G1975" s="210"/>
      <c r="H1975" s="210"/>
      <c r="I1975" s="210"/>
      <c r="J1975" s="210"/>
      <c r="K1975" s="210"/>
      <c r="L1975" s="210"/>
      <c r="M1975" s="210"/>
      <c r="N1975" s="210"/>
      <c r="P1975" s="211"/>
    </row>
    <row r="1976" spans="3:16">
      <c r="C1976" s="209"/>
      <c r="G1976" s="210"/>
      <c r="H1976" s="210"/>
      <c r="I1976" s="210"/>
      <c r="J1976" s="210"/>
      <c r="K1976" s="210"/>
      <c r="L1976" s="210"/>
      <c r="M1976" s="210"/>
      <c r="N1976" s="210"/>
      <c r="P1976" s="211"/>
    </row>
    <row r="1977" spans="3:16">
      <c r="C1977" s="209"/>
      <c r="G1977" s="210"/>
      <c r="H1977" s="210"/>
      <c r="I1977" s="210"/>
      <c r="J1977" s="210"/>
      <c r="K1977" s="210"/>
      <c r="L1977" s="210"/>
      <c r="M1977" s="210"/>
      <c r="N1977" s="210"/>
      <c r="P1977" s="211"/>
    </row>
    <row r="1978" spans="3:16">
      <c r="C1978" s="209"/>
      <c r="G1978" s="210"/>
      <c r="H1978" s="210"/>
      <c r="I1978" s="210"/>
      <c r="J1978" s="210"/>
      <c r="K1978" s="210"/>
      <c r="L1978" s="210"/>
      <c r="M1978" s="210"/>
      <c r="N1978" s="210"/>
      <c r="P1978" s="211"/>
    </row>
    <row r="1979" spans="3:16">
      <c r="C1979" s="209"/>
      <c r="G1979" s="210"/>
      <c r="H1979" s="210"/>
      <c r="I1979" s="210"/>
      <c r="J1979" s="210"/>
      <c r="K1979" s="210"/>
      <c r="L1979" s="210"/>
      <c r="M1979" s="210"/>
      <c r="N1979" s="210"/>
      <c r="P1979" s="211"/>
    </row>
    <row r="1980" spans="3:16">
      <c r="C1980" s="209"/>
      <c r="G1980" s="210"/>
      <c r="H1980" s="210"/>
      <c r="I1980" s="210"/>
      <c r="J1980" s="210"/>
      <c r="K1980" s="210"/>
      <c r="L1980" s="210"/>
      <c r="M1980" s="210"/>
      <c r="N1980" s="210"/>
      <c r="P1980" s="211"/>
    </row>
    <row r="1981" spans="3:16">
      <c r="C1981" s="209"/>
      <c r="G1981" s="210"/>
      <c r="H1981" s="210"/>
      <c r="I1981" s="210"/>
      <c r="J1981" s="210"/>
      <c r="K1981" s="210"/>
      <c r="L1981" s="210"/>
      <c r="M1981" s="210"/>
      <c r="N1981" s="210"/>
      <c r="P1981" s="211"/>
    </row>
    <row r="1982" spans="3:16">
      <c r="C1982" s="209"/>
      <c r="G1982" s="210"/>
      <c r="H1982" s="210"/>
      <c r="I1982" s="210"/>
      <c r="J1982" s="210"/>
      <c r="K1982" s="210"/>
      <c r="L1982" s="210"/>
      <c r="M1982" s="210"/>
      <c r="N1982" s="210"/>
      <c r="P1982" s="211"/>
    </row>
    <row r="1983" spans="3:16">
      <c r="C1983" s="209"/>
      <c r="G1983" s="210"/>
      <c r="H1983" s="210"/>
      <c r="I1983" s="210"/>
      <c r="J1983" s="210"/>
      <c r="K1983" s="210"/>
      <c r="L1983" s="210"/>
      <c r="M1983" s="210"/>
      <c r="N1983" s="210"/>
      <c r="P1983" s="211"/>
    </row>
    <row r="1984" spans="3:16">
      <c r="C1984" s="209"/>
      <c r="G1984" s="210"/>
      <c r="H1984" s="210"/>
      <c r="I1984" s="210"/>
      <c r="J1984" s="210"/>
      <c r="K1984" s="210"/>
      <c r="L1984" s="210"/>
      <c r="M1984" s="210"/>
      <c r="N1984" s="210"/>
      <c r="P1984" s="211"/>
    </row>
    <row r="1985" spans="3:16">
      <c r="C1985" s="209"/>
      <c r="G1985" s="210"/>
      <c r="H1985" s="210"/>
      <c r="I1985" s="210"/>
      <c r="J1985" s="210"/>
      <c r="K1985" s="210"/>
      <c r="L1985" s="210"/>
      <c r="M1985" s="210"/>
      <c r="N1985" s="210"/>
      <c r="P1985" s="211"/>
    </row>
    <row r="1986" spans="3:16">
      <c r="C1986" s="209"/>
      <c r="G1986" s="210"/>
      <c r="H1986" s="210"/>
      <c r="I1986" s="210"/>
      <c r="J1986" s="210"/>
      <c r="K1986" s="210"/>
      <c r="L1986" s="210"/>
      <c r="M1986" s="210"/>
      <c r="N1986" s="210"/>
      <c r="P1986" s="211"/>
    </row>
    <row r="1987" spans="3:16">
      <c r="C1987" s="209"/>
      <c r="G1987" s="210"/>
      <c r="H1987" s="210"/>
      <c r="I1987" s="210"/>
      <c r="J1987" s="210"/>
      <c r="K1987" s="210"/>
      <c r="L1987" s="210"/>
      <c r="M1987" s="210"/>
      <c r="N1987" s="210"/>
      <c r="P1987" s="211"/>
    </row>
    <row r="1988" spans="3:16">
      <c r="C1988" s="209"/>
      <c r="G1988" s="210"/>
      <c r="H1988" s="210"/>
      <c r="I1988" s="210"/>
      <c r="J1988" s="210"/>
      <c r="K1988" s="210"/>
      <c r="L1988" s="210"/>
      <c r="M1988" s="210"/>
      <c r="N1988" s="210"/>
      <c r="P1988" s="211"/>
    </row>
    <row r="1989" spans="3:16">
      <c r="C1989" s="209"/>
      <c r="G1989" s="210"/>
      <c r="H1989" s="210"/>
      <c r="I1989" s="210"/>
      <c r="J1989" s="210"/>
      <c r="K1989" s="210"/>
      <c r="L1989" s="210"/>
      <c r="M1989" s="210"/>
      <c r="N1989" s="210"/>
      <c r="P1989" s="211"/>
    </row>
    <row r="1990" spans="3:16">
      <c r="C1990" s="209"/>
      <c r="G1990" s="210"/>
      <c r="H1990" s="210"/>
      <c r="I1990" s="210"/>
      <c r="J1990" s="210"/>
      <c r="K1990" s="210"/>
      <c r="L1990" s="210"/>
      <c r="M1990" s="210"/>
      <c r="N1990" s="210"/>
      <c r="P1990" s="211"/>
    </row>
    <row r="1991" spans="3:16">
      <c r="C1991" s="209"/>
      <c r="G1991" s="210"/>
      <c r="H1991" s="210"/>
      <c r="I1991" s="210"/>
      <c r="J1991" s="210"/>
      <c r="K1991" s="210"/>
      <c r="L1991" s="210"/>
      <c r="M1991" s="210"/>
      <c r="N1991" s="210"/>
      <c r="P1991" s="211"/>
    </row>
    <row r="1992" spans="3:16">
      <c r="C1992" s="209"/>
      <c r="G1992" s="210"/>
      <c r="H1992" s="210"/>
      <c r="I1992" s="210"/>
      <c r="J1992" s="210"/>
      <c r="K1992" s="210"/>
      <c r="L1992" s="210"/>
      <c r="M1992" s="210"/>
      <c r="N1992" s="210"/>
      <c r="P1992" s="211"/>
    </row>
    <row r="1993" spans="3:16">
      <c r="C1993" s="209"/>
      <c r="G1993" s="210"/>
      <c r="H1993" s="210"/>
      <c r="I1993" s="210"/>
      <c r="J1993" s="210"/>
      <c r="K1993" s="210"/>
      <c r="L1993" s="210"/>
      <c r="M1993" s="210"/>
      <c r="N1993" s="210"/>
      <c r="P1993" s="211"/>
    </row>
    <row r="1994" spans="3:16">
      <c r="C1994" s="209"/>
      <c r="G1994" s="210"/>
      <c r="H1994" s="210"/>
      <c r="I1994" s="210"/>
      <c r="J1994" s="210"/>
      <c r="K1994" s="210"/>
      <c r="L1994" s="210"/>
      <c r="M1994" s="210"/>
      <c r="N1994" s="210"/>
      <c r="P1994" s="211"/>
    </row>
    <row r="1995" spans="3:16">
      <c r="C1995" s="209"/>
      <c r="G1995" s="210"/>
      <c r="H1995" s="210"/>
      <c r="I1995" s="210"/>
      <c r="J1995" s="210"/>
      <c r="K1995" s="210"/>
      <c r="L1995" s="210"/>
      <c r="M1995" s="210"/>
      <c r="N1995" s="210"/>
      <c r="P1995" s="211"/>
    </row>
    <row r="1996" spans="3:16">
      <c r="C1996" s="209"/>
      <c r="G1996" s="210"/>
      <c r="H1996" s="210"/>
      <c r="I1996" s="210"/>
      <c r="J1996" s="210"/>
      <c r="K1996" s="210"/>
      <c r="L1996" s="210"/>
      <c r="M1996" s="210"/>
      <c r="N1996" s="210"/>
      <c r="P1996" s="211"/>
    </row>
    <row r="1997" spans="3:16">
      <c r="C1997" s="209"/>
      <c r="G1997" s="210"/>
      <c r="H1997" s="210"/>
      <c r="I1997" s="210"/>
      <c r="J1997" s="210"/>
      <c r="K1997" s="210"/>
      <c r="L1997" s="210"/>
      <c r="M1997" s="210"/>
      <c r="N1997" s="210"/>
      <c r="P1997" s="211"/>
    </row>
    <row r="1998" spans="3:16">
      <c r="C1998" s="209"/>
      <c r="G1998" s="210"/>
      <c r="H1998" s="210"/>
      <c r="I1998" s="210"/>
      <c r="J1998" s="210"/>
      <c r="K1998" s="210"/>
      <c r="L1998" s="210"/>
      <c r="M1998" s="210"/>
      <c r="N1998" s="210"/>
      <c r="P1998" s="211"/>
    </row>
    <row r="1999" spans="3:16">
      <c r="C1999" s="209"/>
      <c r="G1999" s="210"/>
      <c r="H1999" s="210"/>
      <c r="I1999" s="210"/>
      <c r="J1999" s="210"/>
      <c r="K1999" s="210"/>
      <c r="L1999" s="210"/>
      <c r="M1999" s="210"/>
      <c r="N1999" s="210"/>
      <c r="P1999" s="211"/>
    </row>
    <row r="2000" spans="3:16">
      <c r="C2000" s="209"/>
      <c r="G2000" s="210"/>
      <c r="H2000" s="210"/>
      <c r="I2000" s="210"/>
      <c r="J2000" s="210"/>
      <c r="K2000" s="210"/>
      <c r="L2000" s="210"/>
      <c r="M2000" s="210"/>
      <c r="N2000" s="210"/>
      <c r="P2000" s="211"/>
    </row>
  </sheetData>
  <mergeCells count="3">
    <mergeCell ref="AF3:AS3"/>
    <mergeCell ref="AF11:AS11"/>
    <mergeCell ref="AF21:AQ2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8340-FFD1-4C03-B0F1-3A9096D96D20}">
  <dimension ref="A2:K7"/>
  <sheetViews>
    <sheetView workbookViewId="0">
      <selection activeCell="K5" sqref="K5"/>
    </sheetView>
  </sheetViews>
  <sheetFormatPr defaultRowHeight="13.15"/>
  <cols>
    <col min="1" max="1" width="12.7109375" customWidth="1"/>
    <col min="2" max="2" width="12.140625" bestFit="1" customWidth="1"/>
    <col min="3" max="3" width="10.5703125" bestFit="1" customWidth="1"/>
    <col min="4" max="4" width="9.5703125" customWidth="1"/>
    <col min="8" max="8" width="12.42578125" style="102" bestFit="1" customWidth="1"/>
    <col min="9" max="9" width="12.140625" style="102" bestFit="1" customWidth="1"/>
    <col min="10" max="10" width="10.5703125" style="102" bestFit="1" customWidth="1"/>
    <col min="11" max="11" width="9.28515625" style="102" customWidth="1"/>
  </cols>
  <sheetData>
    <row r="2" spans="1:11" ht="17.45">
      <c r="A2" s="308" t="s">
        <v>209</v>
      </c>
      <c r="B2" s="309"/>
      <c r="C2" s="309"/>
      <c r="D2" s="310"/>
      <c r="H2" s="308" t="s">
        <v>210</v>
      </c>
      <c r="I2" s="309"/>
      <c r="J2" s="309"/>
      <c r="K2" s="310"/>
    </row>
    <row r="3" spans="1:11">
      <c r="A3" s="311" t="s">
        <v>25</v>
      </c>
      <c r="B3" s="313" t="s">
        <v>211</v>
      </c>
      <c r="C3" s="313" t="s">
        <v>212</v>
      </c>
      <c r="D3" s="316" t="s">
        <v>213</v>
      </c>
      <c r="H3" s="311" t="s">
        <v>25</v>
      </c>
      <c r="I3" s="313" t="s">
        <v>211</v>
      </c>
      <c r="J3" s="313" t="s">
        <v>212</v>
      </c>
      <c r="K3" s="316" t="s">
        <v>213</v>
      </c>
    </row>
    <row r="4" spans="1:11">
      <c r="A4" s="312"/>
      <c r="B4" s="314"/>
      <c r="C4" s="315"/>
      <c r="D4" s="317"/>
      <c r="H4" s="312"/>
      <c r="I4" s="314"/>
      <c r="J4" s="315"/>
      <c r="K4" s="317"/>
    </row>
    <row r="5" spans="1:11">
      <c r="A5" s="124">
        <v>46254</v>
      </c>
      <c r="B5" s="125">
        <v>7970</v>
      </c>
      <c r="C5" s="125">
        <v>510</v>
      </c>
      <c r="D5" s="134">
        <f>C5/B5</f>
        <v>6.3989962358845673E-2</v>
      </c>
      <c r="H5" s="129">
        <v>46259</v>
      </c>
      <c r="I5" s="125">
        <v>9150</v>
      </c>
      <c r="J5" s="125">
        <v>135</v>
      </c>
      <c r="K5" s="131">
        <f>J5/I5</f>
        <v>1.4754098360655738E-2</v>
      </c>
    </row>
    <row r="6" spans="1:11">
      <c r="A6" s="126">
        <v>46255</v>
      </c>
      <c r="B6" s="64">
        <v>9400</v>
      </c>
      <c r="C6" s="64">
        <v>716</v>
      </c>
      <c r="D6" s="135">
        <f t="shared" ref="D6:D7" si="0">C6/B6</f>
        <v>7.6170212765957451E-2</v>
      </c>
      <c r="H6" s="126">
        <v>46260</v>
      </c>
      <c r="I6" s="64">
        <v>9000</v>
      </c>
      <c r="J6" s="64">
        <v>160</v>
      </c>
      <c r="K6" s="132">
        <f t="shared" ref="K6:K7" si="1">J6/I6</f>
        <v>1.7777777777777778E-2</v>
      </c>
    </row>
    <row r="7" spans="1:11">
      <c r="A7" s="127">
        <v>46256</v>
      </c>
      <c r="B7" s="128">
        <v>9600</v>
      </c>
      <c r="C7" s="128">
        <v>736</v>
      </c>
      <c r="D7" s="136">
        <f t="shared" si="0"/>
        <v>7.6666666666666661E-2</v>
      </c>
      <c r="H7" s="130">
        <v>46261</v>
      </c>
      <c r="I7" s="128">
        <v>7500</v>
      </c>
      <c r="J7" s="128">
        <v>132</v>
      </c>
      <c r="K7" s="133">
        <f t="shared" si="1"/>
        <v>1.7600000000000001E-2</v>
      </c>
    </row>
  </sheetData>
  <mergeCells count="10">
    <mergeCell ref="A2:D2"/>
    <mergeCell ref="H2:K2"/>
    <mergeCell ref="H3:H4"/>
    <mergeCell ref="I3:I4"/>
    <mergeCell ref="J3:J4"/>
    <mergeCell ref="K3:K4"/>
    <mergeCell ref="A3:A4"/>
    <mergeCell ref="B3:B4"/>
    <mergeCell ref="C3:C4"/>
    <mergeCell ref="D3:D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D152B4464E984C83A542677C553DFD" ma:contentTypeVersion="3" ma:contentTypeDescription="Create a new document." ma:contentTypeScope="" ma:versionID="2b591b1f2becf88a86f289c034f99d21">
  <xsd:schema xmlns:xsd="http://www.w3.org/2001/XMLSchema" xmlns:xs="http://www.w3.org/2001/XMLSchema" xmlns:p="http://schemas.microsoft.com/office/2006/metadata/properties" xmlns:ns2="758ccc67-6075-476f-a59e-b332498085bf" targetNamespace="http://schemas.microsoft.com/office/2006/metadata/properties" ma:root="true" ma:fieldsID="0f319af7f233067754780fead5ce4cce" ns2:_="">
    <xsd:import namespace="758ccc67-6075-476f-a59e-b332498085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ccc67-6075-476f-a59e-b332498085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301E10-07A2-4233-B5DC-FE7F9756F824}"/>
</file>

<file path=customXml/itemProps2.xml><?xml version="1.0" encoding="utf-8"?>
<ds:datastoreItem xmlns:ds="http://schemas.openxmlformats.org/officeDocument/2006/customXml" ds:itemID="{7F077EA1-A940-4526-A341-CDEC708CEB5D}"/>
</file>

<file path=customXml/itemProps3.xml><?xml version="1.0" encoding="utf-8"?>
<ds:datastoreItem xmlns:ds="http://schemas.openxmlformats.org/officeDocument/2006/customXml" ds:itemID="{02EF7D36-D508-49EA-BFBE-BCAADE836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2026-06-17T06:19:38Z</dcterms:created>
  <dcterms:modified xsi:type="dcterms:W3CDTF">2026-10-13T10:03:42Z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0x010100F5D152B4464E984C83A542677C553DFD</vt:lpwstr>
  </property>
</Properties>
</file>